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xl/persons/person.xml" ContentType="application/vnd.ms-excel.perso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8623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FedericoZanardiLeoni\OneDrive - LEONI &amp; PARTNERS SRL\Desktop\"/>
    </mc:Choice>
  </mc:AlternateContent>
  <bookViews>
    <workbookView xWindow="-110" yWindow="-110" windowWidth="38620" windowHeight="21100" tabRatio="771" firstSheet="15" activeTab="28"/>
  </bookViews>
  <sheets>
    <sheet name="Programma" sheetId="78" state="hidden" r:id="rId1"/>
    <sheet name="MENU" sheetId="109" r:id="rId2"/>
    <sheet name="BCTool" sheetId="110" r:id="rId3"/>
    <sheet name="SW_SP_CONTI" sheetId="111" r:id="rId4"/>
    <sheet name="SW_CE_CONTI" sheetId="112" r:id="rId5"/>
    <sheet name="SW_FOR_TRI_OF-01" sheetId="113" r:id="rId6"/>
    <sheet name="SW_FOR_TRI_QC-01" sheetId="114" r:id="rId7"/>
    <sheet name="SW_FOR_FIN_OF-01" sheetId="115" r:id="rId8"/>
    <sheet name="SW_FOR_FIN_QC-01" sheetId="116" r:id="rId9"/>
    <sheet name="SW_FORECAST-01" sheetId="117" state="hidden" r:id="rId10"/>
    <sheet name="SW_BUDGET-01" sheetId="118" state="hidden" r:id="rId11"/>
    <sheet name="SW_SP_BIL-01" sheetId="119" r:id="rId12"/>
    <sheet name="SW_CE_BIL-01" sheetId="120" r:id="rId13"/>
    <sheet name="SW_SP_REP-01" sheetId="121" r:id="rId14"/>
    <sheet name="SW_CE_REP-01" sheetId="122" r:id="rId15"/>
    <sheet name="Riclassificato con Piano crisi" sheetId="124" r:id="rId16"/>
    <sheet name="Raccordo" sheetId="123" r:id="rId17"/>
    <sheet name="Input" sheetId="1" r:id="rId18"/>
    <sheet name="Hp Liquidazione Giudiziale" sheetId="106" state="hidden" r:id="rId19"/>
    <sheet name="Relazione_AI" sheetId="125" r:id="rId20"/>
    <sheet name="Test_Piat" sheetId="86" r:id="rId21"/>
    <sheet name="Passivo_Tipologie" sheetId="76" r:id="rId22"/>
    <sheet name="Piano concordatario" sheetId="79" state="hidden" r:id="rId23"/>
    <sheet name="PreDeduzione" sheetId="81" r:id="rId24"/>
    <sheet name="CRUSCOTTO" sheetId="40" state="hidden" r:id="rId25"/>
    <sheet name="Imm fin" sheetId="68" state="hidden" r:id="rId26"/>
    <sheet name="Attivo" sheetId="74" r:id="rId27"/>
    <sheet name="Passivo" sheetId="73" r:id="rId28"/>
    <sheet name="Gestione e Proposta concordatar" sheetId="69" r:id="rId29"/>
    <sheet name="C_Azienda" sheetId="108" r:id="rId30"/>
    <sheet name="Affitto" sheetId="107" r:id="rId31"/>
    <sheet name="CE-mese" sheetId="11" r:id="rId32"/>
    <sheet name="Cflow-mese" sheetId="22" r:id="rId33"/>
    <sheet name="Banca-mese" sheetId="12" r:id="rId34"/>
    <sheet name="SP-mese" sheetId="10" r:id="rId35"/>
    <sheet name="L_Iva" sheetId="13" r:id="rId36"/>
    <sheet name="I_Ult CE" sheetId="37" state="hidden" r:id="rId37"/>
  </sheets>
  <definedNames>
    <definedName name="elenco_gg_dilazione">#REF!</definedName>
    <definedName name="elenco_mensilita_anni_A_m">#REF!</definedName>
    <definedName name="elenco_mensilita_m">#REF!</definedName>
    <definedName name="tipologia_mensilita">#REF!</definedName>
    <definedName name="_xlnm._FilterDatabase" localSheetId="12" hidden="1">'SW_CE_BIL-01'!$A$3:$V$657</definedName>
    <definedName name="elenco_gg_dilazione" localSheetId="15">'Riclassificato con Piano crisi'!#REF!</definedName>
    <definedName name="elenco_mensilita_anni_A_m" localSheetId="15">'Riclassificato con Piano crisi'!#REF!</definedName>
    <definedName name="elenco_mensilita_m" localSheetId="15">'Riclassificato con Piano crisi'!#REF!</definedName>
    <definedName name="_xlnm._FilterDatabase" localSheetId="16" hidden="1">Raccordo!$A$1:$H$126</definedName>
    <definedName name="elenco_gg_dilazione" localSheetId="16">#REF!</definedName>
    <definedName name="elenco_mensilita_anni_A_m" localSheetId="16">#REF!</definedName>
    <definedName name="elenco_mensilita_m" localSheetId="16">#REF!</definedName>
    <definedName name="tipologia_mensilita" localSheetId="16">#REF!</definedName>
    <definedName name="_xlnm._FilterDatabase" localSheetId="21" hidden="1">Passivo_Tipologie!$B$4:$E$28</definedName>
    <definedName name="_xlnm._FilterDatabase" localSheetId="27" hidden="1">Passivo!$M$7:$M$12</definedName>
    <definedName name="_xlnm._FilterDatabase" localSheetId="28" hidden="1">'Gestione e Proposta concordatar'!$B$28:$B$56</definedName>
    <definedName name="_xlnm.Print_Area" localSheetId="32">'Cflow-mese'!$A$1:$DR$61</definedName>
  </definedNames>
  <calcPr/>
</workbook>
</file>

<file path=xl/comments1.xml><?xml version="1.0" encoding="utf-8"?>
<comments xmlns="http://schemas.openxmlformats.org/spreadsheetml/2006/main">
  <authors>
    <author>UTENTE</author>
    <author>Antonio</author>
  </authors>
  <commentList>
    <comment ref="A30" authorId="0">
      <text>
        <r>
          <rPr>
            <rFont val="Tahoma"/>
            <b val="1"/>
            <color indexed="81"/>
            <sz val="9"/>
            <scheme val="none"/>
          </rPr>
          <t>UTENTE:</t>
        </r>
        <r>
          <rPr>
            <rFont val="Tahoma"/>
            <color indexed="81"/>
            <sz val="9"/>
            <scheme val="none"/>
          </rPr>
          <t>_x000A_acqua+tari</t>
        </r>
      </text>
    </comment>
    <comment ref="A57" authorId="0">
      <text>
        <r>
          <rPr>
            <rFont val="Tahoma"/>
            <b val="1"/>
            <color indexed="81"/>
            <sz val="9"/>
            <scheme val="none"/>
          </rPr>
          <t>UTENTE:</t>
        </r>
        <r>
          <rPr>
            <rFont val="Tahoma"/>
            <color indexed="81"/>
            <sz val="9"/>
            <scheme val="none"/>
          </rPr>
          <t>_x000A_moglie Simone</t>
        </r>
      </text>
    </comment>
    <comment ref="A74" authorId="1">
      <text>
        <r>
          <rPr>
            <rFont val="Tahoma"/>
            <b val="1"/>
            <color indexed="81"/>
            <sz val="9"/>
            <scheme val="none"/>
          </rPr>
          <t>Antonio:</t>
        </r>
        <r>
          <rPr>
            <rFont val="Tahoma"/>
            <color indexed="81"/>
            <sz val="9"/>
            <scheme val="none"/>
          </rPr>
          <t>_x000A_quota aggiuntiva affitto mensile black</t>
        </r>
      </text>
    </comment>
    <comment ref="A84" authorId="0">
      <text>
        <r>
          <rPr>
            <rFont val="Tahoma"/>
            <b val="1"/>
            <color indexed="81"/>
            <sz val="9"/>
            <scheme val="none"/>
          </rPr>
          <t>UTENTE:</t>
        </r>
        <r>
          <rPr>
            <rFont val="Tahoma"/>
            <color indexed="81"/>
            <sz val="9"/>
            <scheme val="none"/>
          </rPr>
          <t xml:space="preserve">_x000A_stipendi </t>
        </r>
      </text>
    </comment>
    <comment ref="A85" authorId="1">
      <text>
        <r>
          <rPr>
            <rFont val="Tahoma"/>
            <b val="1"/>
            <color indexed="81"/>
            <sz val="9"/>
            <scheme val="none"/>
          </rPr>
          <t>Antonio:</t>
        </r>
        <r>
          <rPr>
            <rFont val="Tahoma"/>
            <color indexed="81"/>
            <sz val="9"/>
            <scheme val="none"/>
          </rPr>
          <t>_x000A_Chahan + Simone</t>
        </r>
      </text>
    </comment>
    <comment ref="A92" authorId="0">
      <text>
        <r>
          <rPr>
            <rFont val="Tahoma"/>
            <b val="1"/>
            <color indexed="81"/>
            <sz val="9"/>
            <scheme val="none"/>
          </rPr>
          <t>UTENTE:</t>
        </r>
        <r>
          <rPr>
            <rFont val="Tahoma"/>
            <color indexed="81"/>
            <sz val="9"/>
            <scheme val="none"/>
          </rPr>
          <t>_x000A_rimborsi spese/km</t>
        </r>
      </text>
    </comment>
    <comment ref="A103" authorId="1">
      <text>
        <r>
          <rPr>
            <rFont val="Tahoma"/>
            <b val="1"/>
            <color indexed="81"/>
            <sz val="9"/>
            <scheme val="none"/>
          </rPr>
          <t>Antonio:</t>
        </r>
        <r>
          <rPr>
            <rFont val="Tahoma"/>
            <color indexed="81"/>
            <sz val="9"/>
            <scheme val="none"/>
          </rPr>
          <t>_x000A_COSTI INDEDUCIBILI_x000A_</t>
        </r>
      </text>
    </comment>
  </commentList>
</comments>
</file>

<file path=xl/comments2.xml><?xml version="1.0" encoding="utf-8"?>
<comments xmlns="http://schemas.openxmlformats.org/spreadsheetml/2006/main">
  <authors>
    <author>tc={2049FD67-C2FA-FF47-A9B8-B4C2FC0DFE30}</author>
  </authors>
  <commentList>
    <comment ref="D46" authorId="0">
      <text>
        <r>
          <t>[Commento in thread]_x000A__x000A_La versione di Excel in uso consente di leggere questo commento in thread, ma tutte le modifiche a esso apportate verranno rimosse se il file viene aperto in una versione più recente di Excel. Ulteriori informazioni: https://go.microsoft.com/fwlink/?linkid=870924_x000A__x000A_Commento:_x000A_Agenti, artigiani, Cooperative ed eventuali fornitori con privilegi</t>
        </r>
      </text>
    </comment>
  </commentList>
</comments>
</file>

<file path=xl/comments3.xml><?xml version="1.0" encoding="utf-8"?>
<comments xmlns="http://schemas.openxmlformats.org/spreadsheetml/2006/main">
  <authors>
    <author>Gianluca Imperiale</author>
  </authors>
  <commentList>
    <comment ref="A21" authorId="0">
      <text>
        <r>
          <rPr>
            <rFont val="Tahoma"/>
            <b val="1"/>
            <color indexed="81"/>
            <sz val="9"/>
            <scheme val="none"/>
          </rPr>
          <t>quota privilegiata</t>
        </r>
        <r>
          <rPr>
            <rFont val="Tahoma"/>
            <color indexed="81"/>
            <sz val="9"/>
            <scheme val="none"/>
          </rPr>
          <t>_x000A_</t>
        </r>
      </text>
    </comment>
    <comment ref="A22" authorId="0">
      <text>
        <r>
          <rPr>
            <rFont val="Tahoma"/>
            <b val="1"/>
            <color indexed="81"/>
            <sz val="9"/>
            <scheme val="none"/>
          </rPr>
          <t>quota chirografaria</t>
        </r>
        <r>
          <rPr>
            <rFont val="Tahoma"/>
            <color indexed="81"/>
            <sz val="9"/>
            <scheme val="none"/>
          </rPr>
          <t>_x000A_</t>
        </r>
      </text>
    </comment>
  </commentList>
</comments>
</file>

<file path=xl/sharedStrings.xml><?xml version="1.0" encoding="utf-8"?>
<sst xmlns="http://schemas.openxmlformats.org/spreadsheetml/2006/main">
  <si>
    <t>Davide</t>
  </si>
  <si>
    <t>Gianluca</t>
  </si>
  <si>
    <t>Note</t>
  </si>
  <si>
    <t>10'</t>
  </si>
  <si>
    <t>Attori</t>
  </si>
  <si>
    <t>Consulente --&gt; elemento scatenate / rivolgersi a degli specialisti</t>
  </si>
  <si>
    <t>Iter</t>
  </si>
  <si>
    <t>5'</t>
  </si>
  <si>
    <t>Continuità vs Liquidazione</t>
  </si>
  <si>
    <t>Modello</t>
  </si>
  <si>
    <t>30'</t>
  </si>
  <si>
    <t>Attivo</t>
  </si>
  <si>
    <t>60'</t>
  </si>
  <si>
    <t>Passivo</t>
  </si>
  <si>
    <t>Budget</t>
  </si>
  <si>
    <t>Affitti di azienda</t>
  </si>
  <si>
    <t>PARAMETRI SW</t>
  </si>
  <si>
    <t>AZIENDA 1</t>
  </si>
  <si>
    <t>ANAGRAFICA PDC SP</t>
  </si>
  <si>
    <t>ANAGRAFICA PDC CE</t>
  </si>
  <si>
    <t>BUDGET ANNUALE</t>
  </si>
  <si>
    <t>BILANCI CONSUNTIVI SP RICLASSIFICATI PdC</t>
  </si>
  <si>
    <t>BILANCI CONSUNTIVI CE RICLASSIFICATI PdC</t>
  </si>
  <si>
    <t>ULTIMO BILANCI CONSUNTIVI SP da PdC Aziendale</t>
  </si>
  <si>
    <t>ULTIMO BILANCI CONSUNTIVI CE da PdC Aziendale</t>
  </si>
  <si>
    <t>FORECAST ONERI FINANZIARI RATE FINANZIAMENTI</t>
  </si>
  <si>
    <t>FORECAST QUOTE CAPITALE RATE FINANZIAMENTI</t>
  </si>
  <si>
    <t>FORECAST ONERI FINANZIARI RATEIZZAZIONI TRIBUTARIE</t>
  </si>
  <si>
    <t>FORECAST QUOTE CAPITALE RATEIZZAZIONE TRIBUTARIE</t>
  </si>
  <si>
    <t>DEVAJH1</t>
  </si>
  <si>
    <t>TIPO</t>
  </si>
  <si>
    <t>CE</t>
  </si>
  <si>
    <t>SP</t>
  </si>
  <si>
    <t>FOGLIO</t>
  </si>
  <si>
    <t>COLONNA</t>
  </si>
  <si>
    <t>RIGA</t>
  </si>
  <si>
    <t>DATA</t>
  </si>
  <si>
    <t>Data Ultima situazione contabile</t>
  </si>
  <si>
    <t>MENU</t>
  </si>
  <si>
    <t>B</t>
  </si>
  <si>
    <t>INS-CE</t>
  </si>
  <si>
    <t xml:space="preserve">Conto Economico </t>
  </si>
  <si>
    <t>SW_CE_BIL</t>
  </si>
  <si>
    <t>T</t>
  </si>
  <si>
    <t>INS-SP</t>
  </si>
  <si>
    <t>Stato Patrimoniale</t>
  </si>
  <si>
    <t>SW_SP_BIL</t>
  </si>
  <si>
    <t>CE_REP</t>
  </si>
  <si>
    <t>Riassuntivo Conto Economico</t>
  </si>
  <si>
    <t>SW_CE_REP</t>
  </si>
  <si>
    <t>SP_REP</t>
  </si>
  <si>
    <t>Riassuntivo Stato Patrimoniale</t>
  </si>
  <si>
    <t>SW_SP_REP</t>
  </si>
  <si>
    <t>S/N</t>
  </si>
  <si>
    <t>Significato</t>
  </si>
  <si>
    <t>Descrizione da inserire</t>
  </si>
  <si>
    <t>CE-N1</t>
  </si>
  <si>
    <t>Conto Economico Anno N-1</t>
  </si>
  <si>
    <t>H</t>
  </si>
  <si>
    <t>Inserimento anno N-1 in coda</t>
  </si>
  <si>
    <t>Bilancio</t>
  </si>
  <si>
    <t>CE-N2</t>
  </si>
  <si>
    <t>Conto Economico Anno N-2</t>
  </si>
  <si>
    <t>G</t>
  </si>
  <si>
    <t>Inserimento anno N-2 in coda</t>
  </si>
  <si>
    <t>CE-N3</t>
  </si>
  <si>
    <t>Conto Economico Anno N-3</t>
  </si>
  <si>
    <t>F</t>
  </si>
  <si>
    <t>Inserimento anno N-3 in coda</t>
  </si>
  <si>
    <t>CE-N4</t>
  </si>
  <si>
    <t>Conto Economico Anno N-4</t>
  </si>
  <si>
    <t>E</t>
  </si>
  <si>
    <t>Inserimento anno N-4 in coda</t>
  </si>
  <si>
    <t>SP-N1</t>
  </si>
  <si>
    <t>Stato Patrimoniale Anno N-1</t>
  </si>
  <si>
    <t>SP-N2</t>
  </si>
  <si>
    <t>Stato Patrimoniale Anno N-2</t>
  </si>
  <si>
    <t>Valore</t>
  </si>
  <si>
    <t>SP-N3</t>
  </si>
  <si>
    <t>Stato Patrimoniale Anno N-3</t>
  </si>
  <si>
    <t>Numero situazioni contabili infra-annuali (max 12)</t>
  </si>
  <si>
    <t>SP-N4</t>
  </si>
  <si>
    <t>Stato Patrimoniale Anno N-4</t>
  </si>
  <si>
    <t>Nome modello</t>
  </si>
  <si>
    <t>Modello AdR</t>
  </si>
  <si>
    <t>Gestione multiaziendale - Numero aziende</t>
  </si>
  <si>
    <t>INS-BUDGET</t>
  </si>
  <si>
    <t>BUDGET</t>
  </si>
  <si>
    <t>SW_BUDGET</t>
  </si>
  <si>
    <t>C</t>
  </si>
  <si>
    <t>PREVISIONALI</t>
  </si>
  <si>
    <t>PREVISIONALI ECONOMICI</t>
  </si>
  <si>
    <t>SW_FORECAST</t>
  </si>
  <si>
    <t>PREVISIONALI FINANZIAMENTI Quota Capitale</t>
  </si>
  <si>
    <t>SW_FOR_FIN_QC</t>
  </si>
  <si>
    <t>PREVISIONALI FINANZIAMENTI Oneri Finanziari</t>
  </si>
  <si>
    <t>SW_FOR_FIN_OF</t>
  </si>
  <si>
    <t>PREVISIONALI DEBITI TRIBUTARI Quota Capitale</t>
  </si>
  <si>
    <t>SW_FOR_TRI_QC</t>
  </si>
  <si>
    <t>PREVISIONALI DEBITI TRIBUTARI Sanzioni e Interessi</t>
  </si>
  <si>
    <t>SW_FOR_TRI_OF</t>
  </si>
  <si>
    <t>PIANO DEI CONTI</t>
  </si>
  <si>
    <t>NOMI CONTI SP</t>
  </si>
  <si>
    <t>SW_SP_CONTI</t>
  </si>
  <si>
    <t>NOMI CONTI CE</t>
  </si>
  <si>
    <t>SW_CE_CONTI</t>
  </si>
  <si>
    <t>Conto</t>
  </si>
  <si>
    <t>Descrizione</t>
  </si>
  <si>
    <t>CATEGORIA</t>
  </si>
  <si>
    <t>10100</t>
  </si>
  <si>
    <t>PARTECIPAZIONI IN IMPRESE CONTROLLATE</t>
  </si>
  <si>
    <t>IMMOBILIZZAZIONI FINANZIARIE</t>
  </si>
  <si>
    <t>10200</t>
  </si>
  <si>
    <t>PARTECIPAZIONI IN IMPRESE COLLEGATE</t>
  </si>
  <si>
    <t>10300</t>
  </si>
  <si>
    <t>PARTECIPAZIONI IN IMPRESE CONTROLLANTI</t>
  </si>
  <si>
    <t>10400</t>
  </si>
  <si>
    <t>ALTRE PARTECIPAZIONI</t>
  </si>
  <si>
    <t>10500</t>
  </si>
  <si>
    <t>IMMOBILIZZAZIONI IN CREDITI FINANZIARI</t>
  </si>
  <si>
    <t>10600</t>
  </si>
  <si>
    <t>ALTRI TITOLI</t>
  </si>
  <si>
    <t>10700</t>
  </si>
  <si>
    <t>AZIONI PROPRIE</t>
  </si>
  <si>
    <t>10800</t>
  </si>
  <si>
    <t>STRUMENTI FINANZIARI DER.ATTIVI</t>
  </si>
  <si>
    <t>10900</t>
  </si>
  <si>
    <t>ALTRE IMMOB.ZIONI IMMATERIALI</t>
  </si>
  <si>
    <t>IMMOBILIZZAZIONI IMMATERIALI</t>
  </si>
  <si>
    <t>11000</t>
  </si>
  <si>
    <t>AVVIAMENTO</t>
  </si>
  <si>
    <t>11100</t>
  </si>
  <si>
    <t>CONCESSIONI, LICENZE, MARCHI</t>
  </si>
  <si>
    <t>11200</t>
  </si>
  <si>
    <t>COSTI RIC.,SVIL.,PUBBL. DA AMM.</t>
  </si>
  <si>
    <t>11300</t>
  </si>
  <si>
    <t>DIRITTI DI BREV.E UTIL.OPERE ING</t>
  </si>
  <si>
    <t>11400</t>
  </si>
  <si>
    <t>IMM.IMM. IN CORSO E ACCONTI</t>
  </si>
  <si>
    <t>11500</t>
  </si>
  <si>
    <t>ALTRI BENI IMMATERIALI</t>
  </si>
  <si>
    <t>11600</t>
  </si>
  <si>
    <t>ATTREZZATURE IND.LI E COMM.LI</t>
  </si>
  <si>
    <t>IMMOBILIZZAZIONI MATERIALI</t>
  </si>
  <si>
    <t>11700</t>
  </si>
  <si>
    <t>AUTOMEZZI (ALTRI BENI)</t>
  </si>
  <si>
    <t>11800</t>
  </si>
  <si>
    <t>COSTI DI IMPIANTO E AMPLIAMENTO</t>
  </si>
  <si>
    <t>11900</t>
  </si>
  <si>
    <t>IMMOBIL. IN CORSO E ACCONTI</t>
  </si>
  <si>
    <t>12000</t>
  </si>
  <si>
    <t>IMPIANTI E MACCHINARIO</t>
  </si>
  <si>
    <t>12100</t>
  </si>
  <si>
    <t>MOBILI E MACC.D'UFF.(ALTRI BENI)</t>
  </si>
  <si>
    <t>12200</t>
  </si>
  <si>
    <t>TERRENI E FABBRICATI</t>
  </si>
  <si>
    <t>20100</t>
  </si>
  <si>
    <t>ACCONTI RIMANENZE</t>
  </si>
  <si>
    <t>RIMANENZE</t>
  </si>
  <si>
    <t>20200</t>
  </si>
  <si>
    <t>BENI IN LEASING</t>
  </si>
  <si>
    <t>IMMOBILIZZAZIONI LEASING</t>
  </si>
  <si>
    <t>20300</t>
  </si>
  <si>
    <t>LAVORI IN CORSO SU ORDINAZIONE</t>
  </si>
  <si>
    <t>20400</t>
  </si>
  <si>
    <t>MATERIE PRIME, SUSS.E DI CONSUMO</t>
  </si>
  <si>
    <t>20500</t>
  </si>
  <si>
    <t>PROD.IN CORSO DI LAV. E SEMILAV.</t>
  </si>
  <si>
    <t>20600</t>
  </si>
  <si>
    <t>PRODOTTI FINITI E MERCI</t>
  </si>
  <si>
    <t>30100</t>
  </si>
  <si>
    <t>ALTRI CREDITI TRIBUTARI</t>
  </si>
  <si>
    <t>CREDITI</t>
  </si>
  <si>
    <t>30200</t>
  </si>
  <si>
    <t>ALTRI CREDITI TRIBUTARI oltre i 12 mesi</t>
  </si>
  <si>
    <t>30300</t>
  </si>
  <si>
    <t>Attività Finanziaria ALTRE PARTECIPAZIONI</t>
  </si>
  <si>
    <t>30400</t>
  </si>
  <si>
    <t>Attività finanziaria STRUMENTI FINANZIARI</t>
  </si>
  <si>
    <t>30500</t>
  </si>
  <si>
    <t>Attività FinanziariALTRI TITOLI</t>
  </si>
  <si>
    <t>30600</t>
  </si>
  <si>
    <t>Attvità Finanziarie IN IMPRESE CONTR.</t>
  </si>
  <si>
    <t>30700</t>
  </si>
  <si>
    <t>CREDITI PER IMPOSTE ANTICIPATE</t>
  </si>
  <si>
    <t>30800</t>
  </si>
  <si>
    <t>CREDITI V/CLIENTI inferiori ai 12 mesi</t>
  </si>
  <si>
    <t>30900</t>
  </si>
  <si>
    <t>CREDITI V/CLIENTI superiori ai 12 mesi</t>
  </si>
  <si>
    <t>31000</t>
  </si>
  <si>
    <t>CREDITI V/DIPENDENTI</t>
  </si>
  <si>
    <t>31100</t>
  </si>
  <si>
    <t>CREDITI V/FORNITORI (ACCONTI)</t>
  </si>
  <si>
    <t>31200</t>
  </si>
  <si>
    <t>CREDITI V/IMPRESE Contr.te-Coll.te-Contr.ti inferiori ai 12 mesi</t>
  </si>
  <si>
    <t>31300</t>
  </si>
  <si>
    <t>CREDITI V/IMPRESE Contr.te-Coll.te-Contr.ti superiori ai 12 mesi</t>
  </si>
  <si>
    <t>31400</t>
  </si>
  <si>
    <t>CREDITI V/Istituti Previdenziali inferiori ai 12 mesi</t>
  </si>
  <si>
    <t>31500</t>
  </si>
  <si>
    <t>CREDITI V/Istituti Previdenziali superiori ai 12 mesi</t>
  </si>
  <si>
    <t>31600</t>
  </si>
  <si>
    <t>CREDITI V/SOCI</t>
  </si>
  <si>
    <t>31700</t>
  </si>
  <si>
    <t>CREDITI V/SOCI P/VERS.ANC.DOVUTI</t>
  </si>
  <si>
    <t>31800</t>
  </si>
  <si>
    <t>CREDITI DIVERSI</t>
  </si>
  <si>
    <t>31900</t>
  </si>
  <si>
    <t xml:space="preserve">CREDITO D'IMPOSTA </t>
  </si>
  <si>
    <t>32000</t>
  </si>
  <si>
    <t xml:space="preserve">Credito Ires e Irap </t>
  </si>
  <si>
    <t>32100</t>
  </si>
  <si>
    <t>Credito Iva</t>
  </si>
  <si>
    <t>32200</t>
  </si>
  <si>
    <t>Fatture da Emettere</t>
  </si>
  <si>
    <t>32300</t>
  </si>
  <si>
    <t>PARTECIPAZIONI V/IMPRESE Contr.te-Coll.te-Contr.ti inferiori ai 12 mesi</t>
  </si>
  <si>
    <t>32400</t>
  </si>
  <si>
    <t>RATEI ATTIVI</t>
  </si>
  <si>
    <t>RATEI E RISCONTI</t>
  </si>
  <si>
    <t>32500</t>
  </si>
  <si>
    <t>RISCONTI ATTIVI</t>
  </si>
  <si>
    <t>32600</t>
  </si>
  <si>
    <t>ASSEGNI</t>
  </si>
  <si>
    <t>LIQUIDITA E ESIGIBILITA' IMMEDIATE</t>
  </si>
  <si>
    <t>32700</t>
  </si>
  <si>
    <t>DENARO E VALORI IN CASSA</t>
  </si>
  <si>
    <t>32800</t>
  </si>
  <si>
    <t>DEPOSITI BANCARI E POSTALI attivi</t>
  </si>
  <si>
    <t>40000</t>
  </si>
  <si>
    <t>ALTRI FONDI PER RISCHI ED ONERI</t>
  </si>
  <si>
    <t>FONDI</t>
  </si>
  <si>
    <t>40100</t>
  </si>
  <si>
    <t>F.DI P/TRAT.QUIESC.E OBBL.SIMILI</t>
  </si>
  <si>
    <t>40200</t>
  </si>
  <si>
    <t>F.DI RISCHI SU CREDITI V. CLIENT</t>
  </si>
  <si>
    <t>40300</t>
  </si>
  <si>
    <t>F.DO SVALUT. IMMOB. IMMATERIALI</t>
  </si>
  <si>
    <t>40400</t>
  </si>
  <si>
    <t>F.DO SVALUT. IMMOB. MATERIALI</t>
  </si>
  <si>
    <t>40500</t>
  </si>
  <si>
    <t>F.DO SVALUTAZIONE MAGAZZINO</t>
  </si>
  <si>
    <t>40600</t>
  </si>
  <si>
    <t>F/SVAL. IMM. FINANZIARIE</t>
  </si>
  <si>
    <t>40700</t>
  </si>
  <si>
    <t>FONDO PER IMPOSTE</t>
  </si>
  <si>
    <t>40800</t>
  </si>
  <si>
    <t>TFR LAVORO SUBORDINATO</t>
  </si>
  <si>
    <t>50100</t>
  </si>
  <si>
    <t>F/AMM ALTRE IMMOB. IMMATERIALI</t>
  </si>
  <si>
    <t>F.DO AMM.TO IMM.NI IMMATERIALI</t>
  </si>
  <si>
    <t>50200</t>
  </si>
  <si>
    <t>F/AMM ATTREZ. IND.LI E COMM.LI</t>
  </si>
  <si>
    <t>F.DO AMM.TO IMM.NI MATERIALI</t>
  </si>
  <si>
    <t>50300</t>
  </si>
  <si>
    <t>F/AMM AVVIAMENTO</t>
  </si>
  <si>
    <t>50400</t>
  </si>
  <si>
    <t>F/AMM CONCESS. LICENZE MARCHI</t>
  </si>
  <si>
    <t>50500</t>
  </si>
  <si>
    <t>F/AMM COSTI DI IMPIANTO E AMPL.</t>
  </si>
  <si>
    <t>50600</t>
  </si>
  <si>
    <t>F/AMM COSTI DI RIC,SVIL,PUBB.AMM</t>
  </si>
  <si>
    <t>50700</t>
  </si>
  <si>
    <t>F/AMM DIRITTI DI BREV. E UT. OP.</t>
  </si>
  <si>
    <t>50800</t>
  </si>
  <si>
    <t>F/AMM FABBRICATI</t>
  </si>
  <si>
    <t>50900</t>
  </si>
  <si>
    <t>F/AMM IMPIANTI E MACCHINARIO</t>
  </si>
  <si>
    <t>51000</t>
  </si>
  <si>
    <t>F/AMM. ALTRI BENI MATERIALI</t>
  </si>
  <si>
    <t>51100</t>
  </si>
  <si>
    <t>F/AMM. AUTOMEZZI (ALTRI BENI)</t>
  </si>
  <si>
    <t>51200</t>
  </si>
  <si>
    <t>F/AMM. MOBILI E MACCH. D'UFFICIO</t>
  </si>
  <si>
    <t>60000</t>
  </si>
  <si>
    <t>ALTRE RISERVE</t>
  </si>
  <si>
    <t>RISERVE</t>
  </si>
  <si>
    <t>60100</t>
  </si>
  <si>
    <t>CAPITALE</t>
  </si>
  <si>
    <t>60200</t>
  </si>
  <si>
    <t>RISERVA DA SOPRAPREZ. AZ./QUOTE</t>
  </si>
  <si>
    <t>60300</t>
  </si>
  <si>
    <t>RISERVA LEGALE</t>
  </si>
  <si>
    <t>60400</t>
  </si>
  <si>
    <t>RISERVE DI RIVALUTAZIONE</t>
  </si>
  <si>
    <t>60500</t>
  </si>
  <si>
    <t>Riserve di Utili non distribuiti</t>
  </si>
  <si>
    <t>60600</t>
  </si>
  <si>
    <t>RISERVE STATUTARIE</t>
  </si>
  <si>
    <t>60700</t>
  </si>
  <si>
    <t>UTILE (PERDITA) DELL'ESERCIZIO</t>
  </si>
  <si>
    <t>UTILE PERDITA ESERCIZIO</t>
  </si>
  <si>
    <t>60800</t>
  </si>
  <si>
    <t>UTILI (PERDITE) PORTATI A NUOVO</t>
  </si>
  <si>
    <t>UTILE PERDITA A NUOVO</t>
  </si>
  <si>
    <t>60900</t>
  </si>
  <si>
    <t>Crediti Versamenti Aumento Capitale</t>
  </si>
  <si>
    <t>CREDITI X AUMENTO CAPITALE</t>
  </si>
  <si>
    <t>70000</t>
  </si>
  <si>
    <t>DEBITI V/BANCHE c/c passivi</t>
  </si>
  <si>
    <t>DEBITI</t>
  </si>
  <si>
    <t>70100</t>
  </si>
  <si>
    <t>ACCONTI DA CLIENTI E CAPARRE</t>
  </si>
  <si>
    <t>70200</t>
  </si>
  <si>
    <t>ALTRI DEBITI TRIBUTARI (OLTRE ESERCIZIO)</t>
  </si>
  <si>
    <t>70300</t>
  </si>
  <si>
    <t>ALTRI DEBITI V/DIPENDENTI (OLTRE ESERCIZIO)</t>
  </si>
  <si>
    <t>70400</t>
  </si>
  <si>
    <t>SINDACI E AMMINISTRATORI C/COMPENSI</t>
  </si>
  <si>
    <t>70500</t>
  </si>
  <si>
    <t>DEBITI DIVERSI E FATTURE DA RICEVERE</t>
  </si>
  <si>
    <t>70600</t>
  </si>
  <si>
    <t>DEBITI PREVIDENZIALI</t>
  </si>
  <si>
    <t>70700</t>
  </si>
  <si>
    <t>DEBITI PREVIDENZIALI RATEIZZATI</t>
  </si>
  <si>
    <t>70800</t>
  </si>
  <si>
    <t>DEBITI RAPP. DA TITOLI DI CRED.</t>
  </si>
  <si>
    <t>70900</t>
  </si>
  <si>
    <t>DEBITI TRIBUTARI RATEIZZATI</t>
  </si>
  <si>
    <t>71000</t>
  </si>
  <si>
    <t>DEBITI V/ALTRI FINANZIATORI</t>
  </si>
  <si>
    <t>71100</t>
  </si>
  <si>
    <t>DEBITI V/BANCHE Finanziamenti e Leasing</t>
  </si>
  <si>
    <t>71200</t>
  </si>
  <si>
    <t>DEBITI V/DIPENDENTI</t>
  </si>
  <si>
    <t>71300</t>
  </si>
  <si>
    <t>DEBITI V/FINANZIAMENTO SOCI</t>
  </si>
  <si>
    <t>71400</t>
  </si>
  <si>
    <t>DEBITI V/FORNITORI</t>
  </si>
  <si>
    <t>71500</t>
  </si>
  <si>
    <t>DEBITI V/FORNITORI BENI STRUMENTALI</t>
  </si>
  <si>
    <t>71600</t>
  </si>
  <si>
    <t>DEBITI V/GRUPPO FINANZIARI BREVE</t>
  </si>
  <si>
    <t>71700</t>
  </si>
  <si>
    <t>DEBITI V/GRUPPO FINANZIARI MEDIO LUNGO</t>
  </si>
  <si>
    <t>71800</t>
  </si>
  <si>
    <t>DEBITI V/IMPRESE GRUPPO COMM.LI BREVE</t>
  </si>
  <si>
    <t>71900</t>
  </si>
  <si>
    <t>DEBITI V/IMPRESE GRUPPO MEDIO LUNGO</t>
  </si>
  <si>
    <t>72000</t>
  </si>
  <si>
    <t>ERARIO C/IRES E IRAP BREVE</t>
  </si>
  <si>
    <t>72100</t>
  </si>
  <si>
    <t>ERARIO C/IVA</t>
  </si>
  <si>
    <t>72200</t>
  </si>
  <si>
    <t>ERARIO C/RIT. LAVORO DIPENDENTE E COLLABORATORI</t>
  </si>
  <si>
    <t>72300</t>
  </si>
  <si>
    <t>NOTE CREDITO DA EMETTERE</t>
  </si>
  <si>
    <t>72400</t>
  </si>
  <si>
    <t>OBBLIGAZIONI</t>
  </si>
  <si>
    <t>72500</t>
  </si>
  <si>
    <t>RATEI PASSIVI</t>
  </si>
  <si>
    <t>72600</t>
  </si>
  <si>
    <t>RISCONTI PASSIVI</t>
  </si>
  <si>
    <t>72700</t>
  </si>
  <si>
    <t>ALTRI DEBITI</t>
  </si>
  <si>
    <t>72800</t>
  </si>
  <si>
    <t>SOCI C/UTILI</t>
  </si>
  <si>
    <t>501000</t>
  </si>
  <si>
    <t>PRODOTTI FINITI C/VENDITE</t>
  </si>
  <si>
    <t>RICAVI</t>
  </si>
  <si>
    <t>502000</t>
  </si>
  <si>
    <t>MERCI C/VENDITE</t>
  </si>
  <si>
    <t>503000</t>
  </si>
  <si>
    <t>CORRISPETTIVI</t>
  </si>
  <si>
    <t>504000</t>
  </si>
  <si>
    <t>RESI SU VENDITE</t>
  </si>
  <si>
    <t>505000</t>
  </si>
  <si>
    <t>SCONTI SU VENDITE</t>
  </si>
  <si>
    <t>506000</t>
  </si>
  <si>
    <t>ABBUONI SU VENDITE</t>
  </si>
  <si>
    <t>507000</t>
  </si>
  <si>
    <t>PREMI SU VENDITE</t>
  </si>
  <si>
    <t>508000</t>
  </si>
  <si>
    <t>ALTRI RICAVI DELLE VENDITE</t>
  </si>
  <si>
    <t>509000</t>
  </si>
  <si>
    <t>RICAVI PER PRESTAZ. DI SERVIZI</t>
  </si>
  <si>
    <t>510000</t>
  </si>
  <si>
    <t>CORRISPET. PER PRESTAZ. DI SERV.</t>
  </si>
  <si>
    <t>511000</t>
  </si>
  <si>
    <t>ALTRI RICAVI DELLE PRESTAZIONI</t>
  </si>
  <si>
    <t>512000</t>
  </si>
  <si>
    <t>RICAVI DA SAL</t>
  </si>
  <si>
    <t>550000</t>
  </si>
  <si>
    <t>PRODOTTI IN CORSO DI LAVORAZIONE C/ESISTENZE INIZIALI</t>
  </si>
  <si>
    <t>RIMANENZE PF</t>
  </si>
  <si>
    <t>551000</t>
  </si>
  <si>
    <t>PRODOTTI IN CORSO DI LAVORAZIONE C/RIMANENZE FINALI</t>
  </si>
  <si>
    <t>552000</t>
  </si>
  <si>
    <t>SEMILAVORATI C/ESISTENZE INIZIALI</t>
  </si>
  <si>
    <t>553000</t>
  </si>
  <si>
    <t>SEMILAVORATI C/RIMANENZE FINALI</t>
  </si>
  <si>
    <t>554000</t>
  </si>
  <si>
    <t>PRODOTTI FINITI C/ESISTENZE INIZIALI</t>
  </si>
  <si>
    <t>555000</t>
  </si>
  <si>
    <t>PRODOTTI FINITI C/RIMANENZE FINALI</t>
  </si>
  <si>
    <t>556000</t>
  </si>
  <si>
    <t xml:space="preserve">LAVORI IN CORSO SU ORDINAZIONE  Rim IN</t>
  </si>
  <si>
    <t>557000</t>
  </si>
  <si>
    <t xml:space="preserve">LAVORI IN CORSO SU ORDINAZIONE  Rim Fin</t>
  </si>
  <si>
    <t>558000</t>
  </si>
  <si>
    <t>MATERIE PRIME C/ESIST.INIZIALI</t>
  </si>
  <si>
    <t>RIMANENZE MP</t>
  </si>
  <si>
    <t>559000</t>
  </si>
  <si>
    <t>MATERIE PRIME C/RIMANENZE FINALI</t>
  </si>
  <si>
    <t>560000</t>
  </si>
  <si>
    <t>MATERIE SUSS. C/ESIST.INIZIALI</t>
  </si>
  <si>
    <t>561000</t>
  </si>
  <si>
    <t>MATERIE SUSS. C/RIMAN. FINALI</t>
  </si>
  <si>
    <t>562000</t>
  </si>
  <si>
    <t>MATERIE DI CONS.C/ESIST.INIZIALI</t>
  </si>
  <si>
    <t>563000</t>
  </si>
  <si>
    <t>MATERIE DI CONSUMO C/RIM.FINALI</t>
  </si>
  <si>
    <t>564000</t>
  </si>
  <si>
    <t>MATERIALI VARI C/ESIST.INIZIALI</t>
  </si>
  <si>
    <t>565000</t>
  </si>
  <si>
    <t>MATERIALI VARI C/RIM. FINALI</t>
  </si>
  <si>
    <t>566000</t>
  </si>
  <si>
    <t>MATERIALI C/ESIST.INIZ.NON RILEV</t>
  </si>
  <si>
    <t>567000</t>
  </si>
  <si>
    <t>MATERIALI C/RIM.FINAL.NON RILEV.</t>
  </si>
  <si>
    <t>568000</t>
  </si>
  <si>
    <t>MERCI C/ESISTENZE INIZIALI</t>
  </si>
  <si>
    <t>569000</t>
  </si>
  <si>
    <t>MERCI C/RIM. FINALI</t>
  </si>
  <si>
    <t>570000</t>
  </si>
  <si>
    <t>CAPITALIZZAZIONE DI COSTI DI IMMOBILIZZAZIONI IMMATERIALI</t>
  </si>
  <si>
    <t>CAPITALIZZAZIONE COSTI</t>
  </si>
  <si>
    <t>571000</t>
  </si>
  <si>
    <t>COSTRUZIONI INTERNE DI IMMOBILIZZAZIONI MATERIALI</t>
  </si>
  <si>
    <t>601000</t>
  </si>
  <si>
    <t>MATERIE PRIME C/ACQUISTI</t>
  </si>
  <si>
    <t>MATERIE PRIME E MERCI</t>
  </si>
  <si>
    <t>602000</t>
  </si>
  <si>
    <t>MATERIE SUSS. C/ACQUISTI</t>
  </si>
  <si>
    <t>603000</t>
  </si>
  <si>
    <t>SEMILAVORATI C/ACQUISTI</t>
  </si>
  <si>
    <t>604000</t>
  </si>
  <si>
    <t>MATERIE DI CONSUMO C/ACQUISTI</t>
  </si>
  <si>
    <t>605000</t>
  </si>
  <si>
    <t>MERCI C/ACQUISTI</t>
  </si>
  <si>
    <t>606000</t>
  </si>
  <si>
    <t>IMBALLAGGI C/ACQUISTI</t>
  </si>
  <si>
    <t>650000</t>
  </si>
  <si>
    <t>TRASPORTI SU ACQUISTI E VENDITE</t>
  </si>
  <si>
    <t>SERVIZI</t>
  </si>
  <si>
    <t>651000</t>
  </si>
  <si>
    <t>DAZI E ONERI SU ACQUISTI</t>
  </si>
  <si>
    <t>652000</t>
  </si>
  <si>
    <t>LAVOR.DI TERZI P/PROD.DI BENI E SERVIZI</t>
  </si>
  <si>
    <t>653000</t>
  </si>
  <si>
    <t>ABBUONI E SCONTI PASSIVI</t>
  </si>
  <si>
    <t>654000</t>
  </si>
  <si>
    <t>ENERGIA ELETTRICA FORZA MOTRICE</t>
  </si>
  <si>
    <t>655000</t>
  </si>
  <si>
    <t>ENERGIA ELETTRICA ALTRI UTILIZZI</t>
  </si>
  <si>
    <t>656000</t>
  </si>
  <si>
    <t>UTENZE GAS</t>
  </si>
  <si>
    <t>657000</t>
  </si>
  <si>
    <t>UTENZE CARBURANTI E LUBRIFICANTI NON PER TRAZIONE</t>
  </si>
  <si>
    <t>658000</t>
  </si>
  <si>
    <t>ALTRE UTENZE</t>
  </si>
  <si>
    <t>659000</t>
  </si>
  <si>
    <t>CANONI DI MANUTENZIONE PERIODICA</t>
  </si>
  <si>
    <t>660000</t>
  </si>
  <si>
    <t>MANUTENZIONE BENI PROPRI MOBILI</t>
  </si>
  <si>
    <t>661000</t>
  </si>
  <si>
    <t>MANUTENZIONE BENI PROPRI IMMOBILI</t>
  </si>
  <si>
    <t>662000</t>
  </si>
  <si>
    <t>MANUTENZIONE BENI TERZI MOBILI</t>
  </si>
  <si>
    <t>663000</t>
  </si>
  <si>
    <t>MANUTENZIONE BENI TERZI IMMOBILI</t>
  </si>
  <si>
    <t>664000</t>
  </si>
  <si>
    <t>CONAI E COSTI DI SMALTIMENTO</t>
  </si>
  <si>
    <t>664010</t>
  </si>
  <si>
    <t>ALTRE MANUTENZIONI</t>
  </si>
  <si>
    <t>665000</t>
  </si>
  <si>
    <t>ASSICURAZIONI NON OBBLIGATORIE</t>
  </si>
  <si>
    <t>666000</t>
  </si>
  <si>
    <t>ASSICURAZIONI OBBLIGATORIE</t>
  </si>
  <si>
    <t>667000</t>
  </si>
  <si>
    <t>VIGILANZA</t>
  </si>
  <si>
    <t>668000</t>
  </si>
  <si>
    <t>COSTI PER SERVIZI DI PULIZIA</t>
  </si>
  <si>
    <t>669000</t>
  </si>
  <si>
    <t xml:space="preserve">COMPENSI AMMINISTRATORI </t>
  </si>
  <si>
    <t>670000</t>
  </si>
  <si>
    <t xml:space="preserve">COMPENSI SINDACI </t>
  </si>
  <si>
    <t>671000</t>
  </si>
  <si>
    <t>COMPENSI REVISORI</t>
  </si>
  <si>
    <t>672000</t>
  </si>
  <si>
    <t>COMPENSI COLLAB.COORD.</t>
  </si>
  <si>
    <t>673000</t>
  </si>
  <si>
    <t xml:space="preserve">COMPENSI LAVORO OCCASIONALE </t>
  </si>
  <si>
    <t>674000</t>
  </si>
  <si>
    <t>COSTI TRASFERTE E PEDAGGI AUTOSTRADALI</t>
  </si>
  <si>
    <t>675000</t>
  </si>
  <si>
    <t>COMPENSI PROFESSIONALI (ALTRI)</t>
  </si>
  <si>
    <t>676000</t>
  </si>
  <si>
    <t>PROVVIGIONI A INTERMEDIARI</t>
  </si>
  <si>
    <t>677000</t>
  </si>
  <si>
    <t>PUBBLICITA' E FIERE</t>
  </si>
  <si>
    <t>678000</t>
  </si>
  <si>
    <t>CONSULENZE FISCALI E CONTABILI</t>
  </si>
  <si>
    <t>679000</t>
  </si>
  <si>
    <t>CONSULENZE LEGALI</t>
  </si>
  <si>
    <t>680000</t>
  </si>
  <si>
    <t>UTENZE TELEFONICHE E CELLULARI</t>
  </si>
  <si>
    <t>681000</t>
  </si>
  <si>
    <t xml:space="preserve">SPESE DI RAPPRESENTANZA </t>
  </si>
  <si>
    <t>682000</t>
  </si>
  <si>
    <t>PASTI, SOGGIORNI E VIAGGI</t>
  </si>
  <si>
    <t>683000</t>
  </si>
  <si>
    <t>CARBURANTI PER AUTOMEZZI</t>
  </si>
  <si>
    <t>684000</t>
  </si>
  <si>
    <t>ALTRE CONSULENZA TECNICHE</t>
  </si>
  <si>
    <t>685000</t>
  </si>
  <si>
    <t>ONERI BANCARI</t>
  </si>
  <si>
    <t>686000</t>
  </si>
  <si>
    <t>ONERI DI FACTORING</t>
  </si>
  <si>
    <t>687000</t>
  </si>
  <si>
    <t>CANONE INTERNET E SOFTWARE</t>
  </si>
  <si>
    <t>688000</t>
  </si>
  <si>
    <t>CANONE ASSISTENZA</t>
  </si>
  <si>
    <t>689000</t>
  </si>
  <si>
    <t>ALTRI ACQUISTI DI MERCI E SIMILI</t>
  </si>
  <si>
    <t>690000</t>
  </si>
  <si>
    <t>FITTI ATTIVI</t>
  </si>
  <si>
    <t>691000</t>
  </si>
  <si>
    <t>CONSULENZE AMM.VE</t>
  </si>
  <si>
    <t>692000</t>
  </si>
  <si>
    <t>CONSULENZE TECNICHE</t>
  </si>
  <si>
    <t>693000</t>
  </si>
  <si>
    <t>PLUSVALENZE ORDINARIE</t>
  </si>
  <si>
    <t>694000</t>
  </si>
  <si>
    <t>CANCELLERIA</t>
  </si>
  <si>
    <t>695000</t>
  </si>
  <si>
    <t>MATERIALE PUBBLICITARIO</t>
  </si>
  <si>
    <t>696000</t>
  </si>
  <si>
    <t>ALTRI COSTI PER SERVIZI</t>
  </si>
  <si>
    <t>697000</t>
  </si>
  <si>
    <t xml:space="preserve">CARBURANTI E LUBRIFICANTI AUTOVETTURE </t>
  </si>
  <si>
    <t>698000</t>
  </si>
  <si>
    <t>CONTRIBUTI IN CONTO ESERCIZIO</t>
  </si>
  <si>
    <t>700000</t>
  </si>
  <si>
    <t>SPESE CONDOMINIALI E FACILITY</t>
  </si>
  <si>
    <t>GODIMENTO BENI TERZI</t>
  </si>
  <si>
    <t>701000</t>
  </si>
  <si>
    <t>FITTI PASSIVI (BENI IMMOBILI)</t>
  </si>
  <si>
    <t>702000</t>
  </si>
  <si>
    <t>CANONI AFFITTO D'AZIENDA</t>
  </si>
  <si>
    <t>703000</t>
  </si>
  <si>
    <t>NOLEGGIO ATTREZZATURE</t>
  </si>
  <si>
    <t>704000</t>
  </si>
  <si>
    <t>NOLEGGIO IMPIANTI</t>
  </si>
  <si>
    <t>705000</t>
  </si>
  <si>
    <t>NOLEGGIO AUTO</t>
  </si>
  <si>
    <t>706000</t>
  </si>
  <si>
    <t>ALTRI NOLEGGI</t>
  </si>
  <si>
    <t>707000</t>
  </si>
  <si>
    <t>LOCAZIONI PASSIVI (ALTRE)</t>
  </si>
  <si>
    <t>708000</t>
  </si>
  <si>
    <t>ONERI DIVERSI DI GESTIONE</t>
  </si>
  <si>
    <t>709000</t>
  </si>
  <si>
    <t>MINUSVALENZE ORDINARIE</t>
  </si>
  <si>
    <t>710000</t>
  </si>
  <si>
    <t xml:space="preserve">CANONI DI LEASING </t>
  </si>
  <si>
    <t>711000</t>
  </si>
  <si>
    <t>ALTRI COST.PER GOD.BENI DI TERZI</t>
  </si>
  <si>
    <t>750000</t>
  </si>
  <si>
    <t>SALARI E STIPENDI</t>
  </si>
  <si>
    <t>COSTI PERSONALE</t>
  </si>
  <si>
    <t>751000</t>
  </si>
  <si>
    <t xml:space="preserve">STIP.AMM.SOCI </t>
  </si>
  <si>
    <t>752000</t>
  </si>
  <si>
    <t>ONERI SOCIALI INPS</t>
  </si>
  <si>
    <t>753000</t>
  </si>
  <si>
    <t>ONERI SOCIALI INAIL</t>
  </si>
  <si>
    <t>754000</t>
  </si>
  <si>
    <t>ALTRI ONERI SOCIALI</t>
  </si>
  <si>
    <t>755000</t>
  </si>
  <si>
    <t>TFR</t>
  </si>
  <si>
    <t>756000</t>
  </si>
  <si>
    <t>TRATTAMENTO DI QUIESC.E SIMILI</t>
  </si>
  <si>
    <t>757000</t>
  </si>
  <si>
    <t>INDUMENTI DI LAVORO</t>
  </si>
  <si>
    <t>758000</t>
  </si>
  <si>
    <t>ALTRI COSTI DEL PERSONALE</t>
  </si>
  <si>
    <t>770000</t>
  </si>
  <si>
    <t>AMM.TO COSTI D'IMPIANTO</t>
  </si>
  <si>
    <t>AMMORTAMENTI IMMATERIALI</t>
  </si>
  <si>
    <t>771000</t>
  </si>
  <si>
    <t>AMM.TO COSTI DI AMPLIAMENTO</t>
  </si>
  <si>
    <t>772000</t>
  </si>
  <si>
    <t>AMM.TO COSTI RIC. SVIL. PUBBL.</t>
  </si>
  <si>
    <t>773000</t>
  </si>
  <si>
    <t>AMM.TO COSTI DI SVILUPPO</t>
  </si>
  <si>
    <t>774000</t>
  </si>
  <si>
    <t>AMM.TO DIRITTI DI BREVETTO</t>
  </si>
  <si>
    <t>775000</t>
  </si>
  <si>
    <t>AMM.TO DIR.DI UTIL.DELLE OP.ING.</t>
  </si>
  <si>
    <t>776000</t>
  </si>
  <si>
    <t>AMM.TO LIC.USO SOFT.A TEMP.IND.</t>
  </si>
  <si>
    <t>777000</t>
  </si>
  <si>
    <t>AMM.TO CONC.,LIC.E DIRITTI SIM.</t>
  </si>
  <si>
    <t>778000</t>
  </si>
  <si>
    <t>AMM.TO MARCHI DI FABB.E DI COMM.</t>
  </si>
  <si>
    <t>779000</t>
  </si>
  <si>
    <t>AMMORTAMENTO MARCHI INDEDUCIBILE</t>
  </si>
  <si>
    <t>780000</t>
  </si>
  <si>
    <t>AMM.TO LIC.USO SOFT.A TEMP.DET.</t>
  </si>
  <si>
    <t>781000</t>
  </si>
  <si>
    <t>AMM.TO AVVIAMENTO</t>
  </si>
  <si>
    <t>782000</t>
  </si>
  <si>
    <t>AMM.TO ALTRE IMM.IMMATERIALI</t>
  </si>
  <si>
    <t>790000</t>
  </si>
  <si>
    <t>AMM.TO ORDINARIO TERRENI</t>
  </si>
  <si>
    <t>AMMORTAMENTI MATERIALI</t>
  </si>
  <si>
    <t>791000</t>
  </si>
  <si>
    <t xml:space="preserve">AMM.TO ORD.FABBRICATI </t>
  </si>
  <si>
    <t>792000</t>
  </si>
  <si>
    <t>AMM.TO IMPIANTI E MACCHINARIO</t>
  </si>
  <si>
    <t>793000</t>
  </si>
  <si>
    <t>AMM.TO ATTREZ. IND.LI E COMM.LI</t>
  </si>
  <si>
    <t>794000</t>
  </si>
  <si>
    <t>AMM.TO MOBILI E MACCHINE D'UFF.</t>
  </si>
  <si>
    <t>795000</t>
  </si>
  <si>
    <t>AMM.TO AUTOMEZZI (ALTRI BENI)</t>
  </si>
  <si>
    <t>796000</t>
  </si>
  <si>
    <t>AMM.TO ALTRI BENI MATERIALI</t>
  </si>
  <si>
    <t>800000</t>
  </si>
  <si>
    <t>ACCANTONAMENTO PER RISCHI CREDITI</t>
  </si>
  <si>
    <t>ACCANTONAMENTI</t>
  </si>
  <si>
    <t>801000</t>
  </si>
  <si>
    <t>ALTRI ACCANTONAMENTI</t>
  </si>
  <si>
    <t>810000</t>
  </si>
  <si>
    <t>IMPOSTE INDIRETTE TASSE E IMPOSTE</t>
  </si>
  <si>
    <t>811000</t>
  </si>
  <si>
    <t>ALTRI ONERI DIVERSI DI GESTIONE</t>
  </si>
  <si>
    <t>820000</t>
  </si>
  <si>
    <t>PROVENTI STRAORDINARI</t>
  </si>
  <si>
    <t>821000</t>
  </si>
  <si>
    <t>RIVALUTAZIONI</t>
  </si>
  <si>
    <t>822000</t>
  </si>
  <si>
    <t>PLUSVALENZE STRAORDINARIE</t>
  </si>
  <si>
    <t>823000</t>
  </si>
  <si>
    <t>SOPRAVVENIENZE ORDINARIE</t>
  </si>
  <si>
    <t>824000</t>
  </si>
  <si>
    <t>ALTRI RICAVI E PROVENTI DIVERSI DALLE VENDITE E PRESTAZIONI</t>
  </si>
  <si>
    <t>825000</t>
  </si>
  <si>
    <t>CONTRIBUTI IN CONTO IMPIANTI</t>
  </si>
  <si>
    <t>830000</t>
  </si>
  <si>
    <t>ONERI STRAORDINARI</t>
  </si>
  <si>
    <t>831000</t>
  </si>
  <si>
    <t>ALTRI ONERI STRAORDINARI</t>
  </si>
  <si>
    <t>832000</t>
  </si>
  <si>
    <t>MINUSVALENZE STRAORDINARIE</t>
  </si>
  <si>
    <t>833000</t>
  </si>
  <si>
    <t>SOPRAVVENIENZE PASSIVE</t>
  </si>
  <si>
    <t>834000</t>
  </si>
  <si>
    <t>PERDITE SU CREDITI</t>
  </si>
  <si>
    <t>835000</t>
  </si>
  <si>
    <t>SVALUTAZIONE MAGAZZINO</t>
  </si>
  <si>
    <t>836000</t>
  </si>
  <si>
    <t>SVALUTAZIONE CREDITI FINANZIARI</t>
  </si>
  <si>
    <t>837000</t>
  </si>
  <si>
    <t>ALTRE SVALUTAZIONI</t>
  </si>
  <si>
    <t>840000</t>
  </si>
  <si>
    <t>PROVENTI DA PARTECIPAZIONI</t>
  </si>
  <si>
    <t>PROVENTI FINANZIARI</t>
  </si>
  <si>
    <t>841000</t>
  </si>
  <si>
    <t>INTERESSI ATTIVI FINANZIARI</t>
  </si>
  <si>
    <t>842000</t>
  </si>
  <si>
    <t>UTILI SU CAMBI</t>
  </si>
  <si>
    <t>843000</t>
  </si>
  <si>
    <t>ALTRI PROVENTI FINANZIARI</t>
  </si>
  <si>
    <t>850000</t>
  </si>
  <si>
    <t>INTERESSI PASSIVI C/C Bancari</t>
  </si>
  <si>
    <t>ONERI FINANZIARI</t>
  </si>
  <si>
    <t>851000</t>
  </si>
  <si>
    <t>INTERESSI PASSIVI Mutui e Finanziamenti</t>
  </si>
  <si>
    <t>852000</t>
  </si>
  <si>
    <t>PERDITE SU CAMBI</t>
  </si>
  <si>
    <t>853000</t>
  </si>
  <si>
    <t>MULTE, AMMENDE E SANZIONI</t>
  </si>
  <si>
    <t>854000</t>
  </si>
  <si>
    <t>ALTRI ONERI FINANZIARI</t>
  </si>
  <si>
    <t>860000</t>
  </si>
  <si>
    <t>ALTRE IMPOSTE (IRPEF)</t>
  </si>
  <si>
    <t>IMPOSTE</t>
  </si>
  <si>
    <t>861000</t>
  </si>
  <si>
    <t>IRAP DELL'ESERCIZIO</t>
  </si>
  <si>
    <t>862000</t>
  </si>
  <si>
    <t>IRES DELL'ESERCIZIO</t>
  </si>
  <si>
    <t>TIPOLOGIA</t>
  </si>
  <si>
    <t>Sanzioni e interessi</t>
  </si>
  <si>
    <t>Quota capitale</t>
  </si>
  <si>
    <t>Oneri finanziari</t>
  </si>
  <si>
    <t>Categoria</t>
  </si>
  <si>
    <t>VARIAZIONE RIMANENZE PRODOTTI IN CORSO DI LAVORAZIONE</t>
  </si>
  <si>
    <t>VARIAZIONE RIMANENZE SEMILAVORATI</t>
  </si>
  <si>
    <t>VARIAZIONE RIMANENZE PRODOTTI FINITI</t>
  </si>
  <si>
    <t>VARIAZIONE RIMANENZE LAVORI IN CORSO SU ORDINAZIONE</t>
  </si>
  <si>
    <t>VARIAZIONE RIMANENZE MATERIE PRIME C/RIMANENZE FINALI</t>
  </si>
  <si>
    <t>VARIAZIONE RIMANENZE MATERIE SUSSIDIARIE</t>
  </si>
  <si>
    <t>VARIAZIONE RIMANENZE MATERIE DI CONSUMO</t>
  </si>
  <si>
    <t>VARIAZIONE RIMANENZE MATERIE VARIE</t>
  </si>
  <si>
    <t>VARIAZIONE RIMANENZE MATERIALI</t>
  </si>
  <si>
    <t>VARIAZIONE RIMANENZE MERCI</t>
  </si>
  <si>
    <t>gen</t>
  </si>
  <si>
    <t>feb</t>
  </si>
  <si>
    <t>mar</t>
  </si>
  <si>
    <t>apr</t>
  </si>
  <si>
    <t>mag</t>
  </si>
  <si>
    <t>giu</t>
  </si>
  <si>
    <t>lug</t>
  </si>
  <si>
    <t>ago</t>
  </si>
  <si>
    <t>set</t>
  </si>
  <si>
    <t>ott</t>
  </si>
  <si>
    <t>nov</t>
  </si>
  <si>
    <t>dic</t>
  </si>
  <si>
    <t>CONTO RICLASSIFICATO</t>
  </si>
  <si>
    <t>CONTO IMPORTATO</t>
  </si>
  <si>
    <t>DESCRIZIONE</t>
  </si>
  <si>
    <t>N-4</t>
  </si>
  <si>
    <t>N-3</t>
  </si>
  <si>
    <t>N-2</t>
  </si>
  <si>
    <t>N-1</t>
  </si>
  <si>
    <t>PDC</t>
  </si>
  <si>
    <t xml:space="preserve">PDC </t>
  </si>
  <si>
    <t>Immobilizzazioni finanziarie</t>
  </si>
  <si>
    <t>Immobilizzazioni immateriali</t>
  </si>
  <si>
    <t>Immobilizzazioni materiali</t>
  </si>
  <si>
    <t>Rimanenze</t>
  </si>
  <si>
    <t>Crediti Tributari</t>
  </si>
  <si>
    <t>Crediti verso altri</t>
  </si>
  <si>
    <t>Clienti</t>
  </si>
  <si>
    <t>Crediti vs Dipendenti</t>
  </si>
  <si>
    <t>Anticipo da Fornitori</t>
  </si>
  <si>
    <t>Crediti v/Imprese controllate</t>
  </si>
  <si>
    <t>Crediti vs Enti Previdenziali</t>
  </si>
  <si>
    <t>Crediti verso Soci</t>
  </si>
  <si>
    <t>Ratei Attivi</t>
  </si>
  <si>
    <t>Risconti Attivi</t>
  </si>
  <si>
    <t xml:space="preserve">      Cassa denaro</t>
  </si>
  <si>
    <t xml:space="preserve">      Depositi bancari e postali</t>
  </si>
  <si>
    <t>Fondi e Rischi</t>
  </si>
  <si>
    <t>Fondo Ammortamento Immateriale</t>
  </si>
  <si>
    <t>Fondo Ammortamento Materiale</t>
  </si>
  <si>
    <t xml:space="preserve">Debiti Tributari </t>
  </si>
  <si>
    <t xml:space="preserve">Fondo  T.F.R.</t>
  </si>
  <si>
    <t>Riserve</t>
  </si>
  <si>
    <t>Capitale</t>
  </si>
  <si>
    <t>Altre riserve</t>
  </si>
  <si>
    <t>Riserva legale</t>
  </si>
  <si>
    <t>Riserve di Rivalutazione</t>
  </si>
  <si>
    <t xml:space="preserve">Risultati d'es. portati a nuovo </t>
  </si>
  <si>
    <t>Banche - c/c passivi</t>
  </si>
  <si>
    <t xml:space="preserve">Altri debiti  </t>
  </si>
  <si>
    <t>Debiti v/Dipendenti</t>
  </si>
  <si>
    <t>Debiti v/Fornitori</t>
  </si>
  <si>
    <t xml:space="preserve">Debiti Previdenziali </t>
  </si>
  <si>
    <t>Rateizzazioni tributari</t>
  </si>
  <si>
    <t xml:space="preserve">Debiti v/altri Finanziatori </t>
  </si>
  <si>
    <t>Banche - Finanziamenti</t>
  </si>
  <si>
    <t xml:space="preserve">Debito Iva </t>
  </si>
  <si>
    <t xml:space="preserve">Ratei e Risconti  Passivi </t>
  </si>
  <si>
    <t>Input</t>
  </si>
  <si>
    <t>Riclassifica PdC</t>
  </si>
  <si>
    <t>Importo</t>
  </si>
  <si>
    <t>Rettifiche</t>
  </si>
  <si>
    <t>Valore netto</t>
  </si>
  <si>
    <t>Accordi di ristrutturazione dei debiti con continuità indiretta ex art.57 CCII</t>
  </si>
  <si>
    <t>Anno Ultima Situazione Contabile</t>
  </si>
  <si>
    <t>Step 0 - Raccordo</t>
  </si>
  <si>
    <t>Step 1 - Dalla Situazione Contabile alla Situazione di Piano</t>
  </si>
  <si>
    <t>Step 2 - Piano in Continuità</t>
  </si>
  <si>
    <t>Step 4 - Cessione</t>
  </si>
  <si>
    <t>Raccordo data di spalla</t>
  </si>
  <si>
    <t>Gestione Attivo</t>
  </si>
  <si>
    <t>Affitto Azienda</t>
  </si>
  <si>
    <t>Cessione Azienda</t>
  </si>
  <si>
    <t>Gestione Passivo</t>
  </si>
  <si>
    <t>Liquidazione Iva</t>
  </si>
  <si>
    <t>Tipologie Passivo</t>
  </si>
  <si>
    <t>Prededuzione</t>
  </si>
  <si>
    <t>GESTIONE PIANO</t>
  </si>
  <si>
    <t>TABELLE RELAZIONE PER AI</t>
  </si>
  <si>
    <t>Attivo din ipotesi di liquidazione giudiziale</t>
  </si>
  <si>
    <t>Massa Immobiliare 1</t>
  </si>
  <si>
    <t>Massa Immobiliare 2</t>
  </si>
  <si>
    <t>Massa Immobiliare 3</t>
  </si>
  <si>
    <t>Massa Mobiliare</t>
  </si>
  <si>
    <t>Generale</t>
  </si>
  <si>
    <t>Azienda</t>
  </si>
  <si>
    <t>Cespiti</t>
  </si>
  <si>
    <t>Partecipazioni</t>
  </si>
  <si>
    <t>Crediti</t>
  </si>
  <si>
    <t>Disponibilità liquide</t>
  </si>
  <si>
    <t>A</t>
  </si>
  <si>
    <t>Totale realizzo attivo alla data di apertura della liquidazione giudiziale</t>
  </si>
  <si>
    <t>Azione revocatoria 1</t>
  </si>
  <si>
    <t>Azione revocatoria 2</t>
  </si>
  <si>
    <t>Azione revocatoria 3</t>
  </si>
  <si>
    <t>Azione revocatoria …</t>
  </si>
  <si>
    <t>Azione di responsabilità</t>
  </si>
  <si>
    <t>Totale realizzo azioni risarcitorie e recuperatorie esperibili dal Curatore</t>
  </si>
  <si>
    <t>A + B</t>
  </si>
  <si>
    <t>Valore di liquidazione del patrimonio in ipotesi di liquidazione giudiziale</t>
  </si>
  <si>
    <t>Passivo in ipotesi di liquidazione giudiziale</t>
  </si>
  <si>
    <t>Compenso Curatela</t>
  </si>
  <si>
    <t>Compenso Coadiutori</t>
  </si>
  <si>
    <t>Imposte e Tasse</t>
  </si>
  <si>
    <t>Varie</t>
  </si>
  <si>
    <t>…</t>
  </si>
  <si>
    <t>Totale Prededuzioni</t>
  </si>
  <si>
    <t>(A+B) - C</t>
  </si>
  <si>
    <t>Residuo attivo</t>
  </si>
  <si>
    <t>Ipotecario 1° grado Immobile massa 1</t>
  </si>
  <si>
    <t>Ipotecario 2° grado Immobile massa 1</t>
  </si>
  <si>
    <t>Ipotecario 2° grado Immobile massa 1 - Degradato</t>
  </si>
  <si>
    <t>Ipotecario 1° grado Immobile massa 2</t>
  </si>
  <si>
    <t>Residuo attivo da massa immobiliare</t>
  </si>
  <si>
    <t>001_Dipendenti</t>
  </si>
  <si>
    <t>002_Professionisti</t>
  </si>
  <si>
    <t>003_Fornitori</t>
  </si>
  <si>
    <t>004_Erario</t>
  </si>
  <si>
    <t>005_Inps</t>
  </si>
  <si>
    <t>Banche</t>
  </si>
  <si>
    <t>Fornitori</t>
  </si>
  <si>
    <t>Banche per finanziamenti</t>
  </si>
  <si>
    <t>Ipotecario 2° grado Immobile massa 1 - stralciato</t>
  </si>
  <si>
    <t>Fondo rischi</t>
  </si>
  <si>
    <t>TABELLA 1</t>
  </si>
  <si>
    <t>BILANCIO AL</t>
  </si>
  <si>
    <t>RETTIFICHE</t>
  </si>
  <si>
    <t>ATTIVO</t>
  </si>
  <si>
    <t>CONTABILE</t>
  </si>
  <si>
    <t>Cessioni</t>
  </si>
  <si>
    <t>Compensazioni</t>
  </si>
  <si>
    <t>Rettifiche Economiche</t>
  </si>
  <si>
    <t>Rettifica Patrimoniale</t>
  </si>
  <si>
    <t>F.do Svalutazione</t>
  </si>
  <si>
    <t>TOTALE RETTIFICHE</t>
  </si>
  <si>
    <t>ATTIVO RETTIFICATO</t>
  </si>
  <si>
    <t>Liquidità immediate</t>
  </si>
  <si>
    <t>Fornitori Note di Credito da Ricevere</t>
  </si>
  <si>
    <t>Crediti v/Imprese collegate</t>
  </si>
  <si>
    <t>Crediti v/Imprese controllanti</t>
  </si>
  <si>
    <t>Crediti v/Società del Gruppo</t>
  </si>
  <si>
    <t>TOTALE</t>
  </si>
  <si>
    <t>TABELLA 2</t>
  </si>
  <si>
    <t>Incrementi</t>
  </si>
  <si>
    <t>Decrementi</t>
  </si>
  <si>
    <t>Compensato</t>
  </si>
  <si>
    <t>Sanzioni e Accessori</t>
  </si>
  <si>
    <t>Interessi</t>
  </si>
  <si>
    <t>PASSIVO RETTIFICATO</t>
  </si>
  <si>
    <t>Fondi Ammortamento</t>
  </si>
  <si>
    <t>Fondo svalutazione partecipazioni</t>
  </si>
  <si>
    <t>Patrimonio netto</t>
  </si>
  <si>
    <t>TABELLA 3</t>
  </si>
  <si>
    <t>TIPOLOGIE PASSIVO</t>
  </si>
  <si>
    <t>NON ADERENTI</t>
  </si>
  <si>
    <t>Classe</t>
  </si>
  <si>
    <t>Specifica (eventuale)</t>
  </si>
  <si>
    <t>Ordine</t>
  </si>
  <si>
    <t>Tipologia Creditore</t>
  </si>
  <si>
    <t>Non Aderente Scaduto</t>
  </si>
  <si>
    <t>XXX</t>
  </si>
  <si>
    <t>0_1</t>
  </si>
  <si>
    <t>YYY</t>
  </si>
  <si>
    <t>0_2</t>
  </si>
  <si>
    <t>ZZZ</t>
  </si>
  <si>
    <t>0_3</t>
  </si>
  <si>
    <t>0_4</t>
  </si>
  <si>
    <t>0_5</t>
  </si>
  <si>
    <t>Non Aderente non Scaduto</t>
  </si>
  <si>
    <t>0_6</t>
  </si>
  <si>
    <t>0_7</t>
  </si>
  <si>
    <t>0_8</t>
  </si>
  <si>
    <t>0_9</t>
  </si>
  <si>
    <t>0_10</t>
  </si>
  <si>
    <t>TABELLA 4</t>
  </si>
  <si>
    <t>ADERENTI</t>
  </si>
  <si>
    <t>Aderenti</t>
  </si>
  <si>
    <t>Accollato</t>
  </si>
  <si>
    <t>AFFITTO D'AZIENDA</t>
  </si>
  <si>
    <t>anno</t>
  </si>
  <si>
    <t>mese</t>
  </si>
  <si>
    <t>Iva</t>
  </si>
  <si>
    <t>gg dilazione</t>
  </si>
  <si>
    <t>Incasso</t>
  </si>
  <si>
    <t>PREDEDUZIONE</t>
  </si>
  <si>
    <t>Imponibile</t>
  </si>
  <si>
    <t>Contributo integrativo</t>
  </si>
  <si>
    <t>Iva (%)</t>
  </si>
  <si>
    <t>Totale</t>
  </si>
  <si>
    <t xml:space="preserve"> SPESE DI PROCEDURA   </t>
  </si>
  <si>
    <t xml:space="preserve"> Advisor legale </t>
  </si>
  <si>
    <t xml:space="preserve"> Advisor finanziario e industriale </t>
  </si>
  <si>
    <t xml:space="preserve"> Attestatore </t>
  </si>
  <si>
    <t xml:space="preserve"> Perizia azienda</t>
  </si>
  <si>
    <t xml:space="preserve"> FONDO SPESE DI FUNZIONAMENTO</t>
  </si>
  <si>
    <t xml:space="preserve"> Assistenza contabile, amministrativa e fiscale e varie </t>
  </si>
  <si>
    <t>Liquidazione e Cancellazione Società</t>
  </si>
  <si>
    <t xml:space="preserve"> IMU    </t>
  </si>
  <si>
    <t xml:space="preserve"> TASI </t>
  </si>
  <si>
    <t xml:space="preserve"> Assicurazioni  </t>
  </si>
  <si>
    <t>Contingenze</t>
  </si>
  <si>
    <t xml:space="preserve"> Sindaci </t>
  </si>
  <si>
    <t xml:space="preserve"> Società di revisione </t>
  </si>
  <si>
    <t>CESSIONE AZIENDA</t>
  </si>
  <si>
    <t>Importo lordo:</t>
  </si>
  <si>
    <t>Accolli:</t>
  </si>
  <si>
    <t>Tfr</t>
  </si>
  <si>
    <t>Importo netto:</t>
  </si>
  <si>
    <t>ENTRATA NETTA</t>
  </si>
  <si>
    <t>TEST PRATICO PER LA VERIFICA DELLA RAGIONEVOLE PERSEGUIBILITA' DEL RISANAMENTO DISPONIBILE</t>
  </si>
  <si>
    <t>Piu</t>
  </si>
  <si>
    <t>Debito Scaduto di cui relativo ad iscrizioni di Ruolo</t>
  </si>
  <si>
    <t>Debito riscadenziato e Oggetto di Moratorie</t>
  </si>
  <si>
    <t>Linee di credito Bancarie utilizzate delle quali non si attende rinnovo</t>
  </si>
  <si>
    <t>Rate di mutui e finanziamenti in Scadenza nei successivi 2 anni</t>
  </si>
  <si>
    <t>Investimenti relativi alle Iniziative industriali che si intendono adottare</t>
  </si>
  <si>
    <t>meno</t>
  </si>
  <si>
    <t>ammontare delle risorse ritraibili dalla dismissione di cespiti(immobili, partecipazioni, impianti e macchinario) o rami di azienda compatibili con il fabbisogno industriale</t>
  </si>
  <si>
    <t>nuovi conferimenti e finanziamenti, anche postergati, previsti</t>
  </si>
  <si>
    <t>stima dell'eventuale margine operativo netto negativo nel primo anno, compreso dei componenti non ricorrenti</t>
  </si>
  <si>
    <t>TOTALE A (*)</t>
  </si>
  <si>
    <t>(*)Tale debito, nel caso in cui si ritenga ragionevole ottenere uno stralcio di parte di esso, può essere figurativamente ridotto, ai soli fini della conduzione del test, dell'ammontare dello stralcio</t>
  </si>
  <si>
    <t>Più</t>
  </si>
  <si>
    <t>Stima del Margine Operativo Lordi prospettico normalizzato annuo, prima delle componenti non ricorrenti, a regime</t>
  </si>
  <si>
    <t>Investimenti di mantenimento annui a regime</t>
  </si>
  <si>
    <t>Imposte del Reddito annue che dovranno essere assolte</t>
  </si>
  <si>
    <t xml:space="preserve">TOTALE B </t>
  </si>
  <si>
    <t>A/B</t>
  </si>
  <si>
    <t>&lt; 2</t>
  </si>
  <si>
    <t>un rapporto non superiore all’unità è indice di difficoltà contenuta o al massimo con un valore di 2. In tal caso, l'andamento corrente dell'impresa può essere sufficiente ad individuare il percorso di risanamento</t>
  </si>
  <si>
    <t>&gt;2 e &lt;4</t>
  </si>
  <si>
    <t>Il Risanamento dipende dall'efficacia e dall'esito delle Iniziative Industriali che si intendono adottare</t>
  </si>
  <si>
    <t>&gt;4 e &lt;6</t>
  </si>
  <si>
    <t>La presenza di un Margine Operativo lordo positivo non è sufficiente a consentire il risanamento dell'impresa e può rendersi necessaria la Cessione dell'Azienda</t>
  </si>
  <si>
    <t>MOL &lt; 0</t>
  </si>
  <si>
    <t>L'impresa si presenta in disequilibrio economico a regim, si rendono necessarie iniziative in discontinuità rispetto alla normale conduzione d'impresa</t>
  </si>
  <si>
    <t>RIEPIGLO PER TIPOLOGIA</t>
  </si>
  <si>
    <t>Attivo da liquidare</t>
  </si>
  <si>
    <t>PIANO</t>
  </si>
  <si>
    <t>ATTIVO DA LIQUIDAZIONE</t>
  </si>
  <si>
    <t>PASSIVO IN ORDINE</t>
  </si>
  <si>
    <t>DIFFERENZA</t>
  </si>
  <si>
    <t>PRELAZIONE</t>
  </si>
  <si>
    <t>PROPOSTA</t>
  </si>
  <si>
    <t>GESTIONE</t>
  </si>
  <si>
    <t>Minimo</t>
  </si>
  <si>
    <t>Cash flow a servizio del Pagamento dei Debiti</t>
  </si>
  <si>
    <t>Debito Residuo</t>
  </si>
  <si>
    <t>SALDO A DISPOSIZIONE</t>
  </si>
  <si>
    <t>Importo annuale, cassa e iva compresi</t>
  </si>
  <si>
    <t>Importo annuale</t>
  </si>
  <si>
    <t>Importo a forfait annuo</t>
  </si>
  <si>
    <t>SALDO FINALE</t>
  </si>
  <si>
    <t>CONTO ECONOMICO</t>
  </si>
  <si>
    <t>Fatturato</t>
  </si>
  <si>
    <t>1° Margine di Contribuzione</t>
  </si>
  <si>
    <t>2° Margine Contribuzione</t>
  </si>
  <si>
    <t>Reddito Operativo</t>
  </si>
  <si>
    <t>Reddito Netto</t>
  </si>
  <si>
    <t>FLUSSI FINANZIARI</t>
  </si>
  <si>
    <t>Totale Entrate</t>
  </si>
  <si>
    <t>Totale Uscite</t>
  </si>
  <si>
    <t>Flusso Finanziario</t>
  </si>
  <si>
    <t>SALDO INIZIALE BANCA</t>
  </si>
  <si>
    <t>SALDO FINALE BANCA</t>
  </si>
  <si>
    <t>DSCR</t>
  </si>
  <si>
    <t>FCFO</t>
  </si>
  <si>
    <t>Flusso Finanziario Servizio Debito</t>
  </si>
  <si>
    <t>PATRIMONIALE</t>
  </si>
  <si>
    <t>Cassa e Banca</t>
  </si>
  <si>
    <t>Crediti esegibili nell'esercizio</t>
  </si>
  <si>
    <t>Totale Rimanenze</t>
  </si>
  <si>
    <t>Nuove Immobilizzazioni materiali</t>
  </si>
  <si>
    <t>Nuove Immobilizzazioni immateriali</t>
  </si>
  <si>
    <t>Immobilizzazioni Finanziarie</t>
  </si>
  <si>
    <t>TOTALE ATTIVO</t>
  </si>
  <si>
    <t>Debiti Correnti in Continuità</t>
  </si>
  <si>
    <t>Debito a m/lungo termine in Continuità</t>
  </si>
  <si>
    <t>Capitale Netto</t>
  </si>
  <si>
    <t>TOTALE PASSIVO</t>
  </si>
  <si>
    <t xml:space="preserve">Equity </t>
  </si>
  <si>
    <t>Imm.ne fin 1</t>
  </si>
  <si>
    <t>Imm.ne fin 2</t>
  </si>
  <si>
    <t>Imm.ne fin 3</t>
  </si>
  <si>
    <t>Imm.ne fin 4</t>
  </si>
  <si>
    <t>Imm.ne fin 5</t>
  </si>
  <si>
    <t>Imm.ne fin 6</t>
  </si>
  <si>
    <t>Imm.ne fin 7</t>
  </si>
  <si>
    <t>Imm.ne fin 8</t>
  </si>
  <si>
    <t>Imm.ne fin 9</t>
  </si>
  <si>
    <t>Imm.ne fin 10</t>
  </si>
  <si>
    <t>Imm.ne fin 11</t>
  </si>
  <si>
    <t>Imm.ne fin 12</t>
  </si>
  <si>
    <t>Imm.ne fin 13</t>
  </si>
  <si>
    <t>Imm.ne fin 14</t>
  </si>
  <si>
    <t>Imm.ne fin 15</t>
  </si>
  <si>
    <t>Imm.ne fin 16</t>
  </si>
  <si>
    <t>Imm.ne fin 17</t>
  </si>
  <si>
    <t>Imm.ne fin 18</t>
  </si>
  <si>
    <t>Imm.ne fin 19</t>
  </si>
  <si>
    <t>Imm.ne fin 20</t>
  </si>
  <si>
    <t>Dettaglio SP Attivo</t>
  </si>
  <si>
    <t>Formule</t>
  </si>
  <si>
    <t>STATO PATRIMONIALE - Attivo</t>
  </si>
  <si>
    <t>Bilancio al</t>
  </si>
  <si>
    <t>Totale Rettifiche</t>
  </si>
  <si>
    <t>NOTE</t>
  </si>
  <si>
    <t>Da Liquidare</t>
  </si>
  <si>
    <t>ATTIVO PATRIMONIALE</t>
  </si>
  <si>
    <t>Banca</t>
  </si>
  <si>
    <t>Fornitore</t>
  </si>
  <si>
    <t>Cliente 1</t>
  </si>
  <si>
    <t>Cliente 2</t>
  </si>
  <si>
    <t>Cliente 3</t>
  </si>
  <si>
    <t>Cliente 4</t>
  </si>
  <si>
    <t>Cliente 5</t>
  </si>
  <si>
    <t>Cliente 6</t>
  </si>
  <si>
    <t>Cliente 7</t>
  </si>
  <si>
    <t>Cliente 8</t>
  </si>
  <si>
    <t>:::::::::::::::::::::::::::::::::::::::::::::::::::::::</t>
  </si>
  <si>
    <t xml:space="preserve">Fatture da  Emettere 1</t>
  </si>
  <si>
    <t xml:space="preserve">Fatture da  Emettere 2</t>
  </si>
  <si>
    <t xml:space="preserve">Fatture da  Emettere 3</t>
  </si>
  <si>
    <t xml:space="preserve">Fatture da  Emettere 4</t>
  </si>
  <si>
    <t xml:space="preserve">Fatture da  Emettere 5</t>
  </si>
  <si>
    <t xml:space="preserve">Fatture da  Emettere 6</t>
  </si>
  <si>
    <t xml:space="preserve">Fatture da  Emettere 7</t>
  </si>
  <si>
    <t xml:space="preserve">Fatture da  Emettere 8</t>
  </si>
  <si>
    <t>Crediti verso altri 1</t>
  </si>
  <si>
    <t>Crediti verso altri 2</t>
  </si>
  <si>
    <t>Crediti verso altri 3</t>
  </si>
  <si>
    <t>Crediti verso altri 4</t>
  </si>
  <si>
    <t>Anticipo da Fornitori 1</t>
  </si>
  <si>
    <t>Anticipo da Fornitori 2</t>
  </si>
  <si>
    <t>Fornitori Note di Credito da Ricevere 1</t>
  </si>
  <si>
    <t>Fornitori Note di Credito da Ricevere 2</t>
  </si>
  <si>
    <t>Crediti v/Imprese controllate 1</t>
  </si>
  <si>
    <t>Crediti v/Imprese controllate 2</t>
  </si>
  <si>
    <t>Crediti v/Imprese collegate 1</t>
  </si>
  <si>
    <t>Crediti v/Imprese collegate 2</t>
  </si>
  <si>
    <t>Crediti v/Imprese controllanti 1</t>
  </si>
  <si>
    <t>Crediti v/Imprese controllanti 2</t>
  </si>
  <si>
    <t>Crediti v/Società del Gruppo 1</t>
  </si>
  <si>
    <t>Crediti v/Società del Gruppo 2</t>
  </si>
  <si>
    <t>Credito Iva 1</t>
  </si>
  <si>
    <t>Credito Iva 2</t>
  </si>
  <si>
    <t>Crediti Tributari 1</t>
  </si>
  <si>
    <t>Crediti verso Soci 1</t>
  </si>
  <si>
    <t>Crediti verso Soci 2</t>
  </si>
  <si>
    <t>Crediti verso Enti Previdenziali 1</t>
  </si>
  <si>
    <t>Crediti verso Enti Previdenziali 2</t>
  </si>
  <si>
    <t>Crediti verso Dipendenti 1</t>
  </si>
  <si>
    <t>Crediti verso Dipendenti 2</t>
  </si>
  <si>
    <t>Ratei Attivi 1</t>
  </si>
  <si>
    <t>Ratei Attivi 2</t>
  </si>
  <si>
    <t>Risconti Attivi 1</t>
  </si>
  <si>
    <t>Risconti Attivi 2</t>
  </si>
  <si>
    <t>Continuità/Realizzo</t>
  </si>
  <si>
    <t>Aliq. Iva</t>
  </si>
  <si>
    <t>Giacenze Materie Prime Sussidiarie e di Consumo</t>
  </si>
  <si>
    <t>Giacenze Prodotti in Corso di Lavorazione</t>
  </si>
  <si>
    <t>Giacenze Prodotti Finiti</t>
  </si>
  <si>
    <t>Giacenze Prodotti Finiti obsoleti</t>
  </si>
  <si>
    <t xml:space="preserve">Immobilizzione Immateriale 1 </t>
  </si>
  <si>
    <t>Immobilizzione Immateriale 2</t>
  </si>
  <si>
    <t>Immobilizzione Immateriale 3</t>
  </si>
  <si>
    <t>Immobilizzione Immateriale 4</t>
  </si>
  <si>
    <t xml:space="preserve">Immobilizzione Materiale 1 </t>
  </si>
  <si>
    <t>Immobilizzione Materiale 2</t>
  </si>
  <si>
    <t>Immobilizzione Materiale 3</t>
  </si>
  <si>
    <t>Immobilizzione Materiale 4</t>
  </si>
  <si>
    <t>Immobilizzione Materiale 5</t>
  </si>
  <si>
    <t>Immobilizzione Materiale 6</t>
  </si>
  <si>
    <t>Immobilizzione Finanziarie 1 - Titoli azionari</t>
  </si>
  <si>
    <t>Immobilizzione Finanziarie 2</t>
  </si>
  <si>
    <t>Immobilizzione Finanziarie 3</t>
  </si>
  <si>
    <t>Immobilizzione Finanziarie 4</t>
  </si>
  <si>
    <t>Altri crediti a lungo termine</t>
  </si>
  <si>
    <t xml:space="preserve">TOTALE </t>
  </si>
  <si>
    <t>Tre punti vendita</t>
  </si>
  <si>
    <t>-- due detenuti direttamente</t>
  </si>
  <si>
    <t>---- uno ceduto</t>
  </si>
  <si>
    <t>---- uno condotto in continuità</t>
  </si>
  <si>
    <t>-- uno detenuto tramite partecipazione, ceduta</t>
  </si>
  <si>
    <t>Banca 1</t>
  </si>
  <si>
    <t>Banca 2</t>
  </si>
  <si>
    <t>Banca 3</t>
  </si>
  <si>
    <t>Banca 4</t>
  </si>
  <si>
    <t>Banca 5</t>
  </si>
  <si>
    <t>Banca 6</t>
  </si>
  <si>
    <t>Banca 7</t>
  </si>
  <si>
    <t>Fornitore 1</t>
  </si>
  <si>
    <t>Fornitore 2</t>
  </si>
  <si>
    <t>Fornitore 3</t>
  </si>
  <si>
    <t>Fornitore 4</t>
  </si>
  <si>
    <t>Fornitore 5</t>
  </si>
  <si>
    <t>Dettaglio Passivo</t>
  </si>
  <si>
    <t>STATO PATRIMONIALE - Passivo</t>
  </si>
  <si>
    <t>PASSIVO PATRIMONIALE</t>
  </si>
  <si>
    <t>Passivo Rettificato</t>
  </si>
  <si>
    <t>Tipologia</t>
  </si>
  <si>
    <t>Banca …..</t>
  </si>
  <si>
    <t>Fornitore 6</t>
  </si>
  <si>
    <t>Fornitore …......</t>
  </si>
  <si>
    <t>Debito Iva 1</t>
  </si>
  <si>
    <t>Debito Iva 2</t>
  </si>
  <si>
    <t>Debito Iva 3</t>
  </si>
  <si>
    <t>Debito Iva …....</t>
  </si>
  <si>
    <t>Rateizzazioni contributivi</t>
  </si>
  <si>
    <t xml:space="preserve">    Debiti Previdenziali 2</t>
  </si>
  <si>
    <t xml:space="preserve">    Debiti Previdenziali 3</t>
  </si>
  <si>
    <t xml:space="preserve">    Debiti Previdenziali …....</t>
  </si>
  <si>
    <t xml:space="preserve">    Debiti v/Dipendenti - Stipendi</t>
  </si>
  <si>
    <t xml:space="preserve">    Debiti v/Dipendenti - Ratei</t>
  </si>
  <si>
    <t xml:space="preserve">    Debiti v/Dipendenti - TFR</t>
  </si>
  <si>
    <t xml:space="preserve">    Debiti v/Dipendenti ….....</t>
  </si>
  <si>
    <t>Ritenute 1040</t>
  </si>
  <si>
    <t>Ritenute 1001</t>
  </si>
  <si>
    <t xml:space="preserve">    Debiti v/altri Finanziatori 1</t>
  </si>
  <si>
    <t xml:space="preserve">    Debiti v/altri Finanziatori 2</t>
  </si>
  <si>
    <t xml:space="preserve">    Debiti v/altri Finanziatori 3</t>
  </si>
  <si>
    <t xml:space="preserve">    Debiti v/altri Finanziatori…... </t>
  </si>
  <si>
    <t xml:space="preserve">    Finanziamento Banca 1</t>
  </si>
  <si>
    <t xml:space="preserve">    Finanziamento Banca 2</t>
  </si>
  <si>
    <t xml:space="preserve">    Finanziamento Banca 3</t>
  </si>
  <si>
    <t xml:space="preserve">    Finanziamento Banca ….......</t>
  </si>
  <si>
    <t xml:space="preserve">    Altri debiti  1</t>
  </si>
  <si>
    <t xml:space="preserve">    Altri debiti  2</t>
  </si>
  <si>
    <t xml:space="preserve">    Altri debiti  3</t>
  </si>
  <si>
    <t xml:space="preserve">    Altri debiti  4</t>
  </si>
  <si>
    <t xml:space="preserve">    Altri debiti  5</t>
  </si>
  <si>
    <t xml:space="preserve">    Altri debiti  6</t>
  </si>
  <si>
    <t xml:space="preserve">    Altri debiti  7</t>
  </si>
  <si>
    <t xml:space="preserve">    Altri debiti  …......</t>
  </si>
  <si>
    <t xml:space="preserve">    Ratei e Risconti  Passivi 1</t>
  </si>
  <si>
    <t xml:space="preserve">    Ratei e Risconti  Passivi 2</t>
  </si>
  <si>
    <t xml:space="preserve">    Ratei e Risconti  Passivi 3</t>
  </si>
  <si>
    <t xml:space="preserve">    Ratei e Risconti  …..</t>
  </si>
  <si>
    <t xml:space="preserve">    Fondo svalutazione crediti</t>
  </si>
  <si>
    <t>Fondi di trattamento di quiescenza e simili</t>
  </si>
  <si>
    <t>Fondi per imposte</t>
  </si>
  <si>
    <t>Fondi per Rischi e Oneri specifico</t>
  </si>
  <si>
    <t>Fondi per Rischi e Oneri generico</t>
  </si>
  <si>
    <t>Fondi per Rischi e Oneri</t>
  </si>
  <si>
    <t>Altri Fondi</t>
  </si>
  <si>
    <t>Risultato dell'esercizio / di periodo</t>
  </si>
  <si>
    <t>Quadratura</t>
  </si>
  <si>
    <t>input</t>
  </si>
  <si>
    <t>ANNO DI PIANO</t>
  </si>
  <si>
    <t xml:space="preserve">ANNO </t>
  </si>
  <si>
    <t>mese di Piano</t>
  </si>
  <si>
    <t>Cash flow da Incassi Saldi Patrimoniali Magazzino</t>
  </si>
  <si>
    <t>Cash flow da Incassi Saldi Patrimoniali Crediti</t>
  </si>
  <si>
    <t>Cash flow da Incassi Saldi Patrimoniali Cespiti</t>
  </si>
  <si>
    <t>Cash flow da Affitto Azienda</t>
  </si>
  <si>
    <t>Cash flow da Cessione Azienda</t>
  </si>
  <si>
    <t>TOTALE Finanza esterna</t>
  </si>
  <si>
    <t>Finanza Esterna</t>
  </si>
  <si>
    <t>Totale Flussi Finanziari</t>
  </si>
  <si>
    <t>Avanzo Iniziale di Periodo</t>
  </si>
  <si>
    <t>C= A + B</t>
  </si>
  <si>
    <t>D</t>
  </si>
  <si>
    <t>ag</t>
  </si>
  <si>
    <t>as</t>
  </si>
  <si>
    <t>be</t>
  </si>
  <si>
    <t>bq</t>
  </si>
  <si>
    <t>cc</t>
  </si>
  <si>
    <t>co</t>
  </si>
  <si>
    <t>da</t>
  </si>
  <si>
    <t>dm</t>
  </si>
  <si>
    <t>MINIMO prima dei debiti</t>
  </si>
  <si>
    <t xml:space="preserve">F=  C-D</t>
  </si>
  <si>
    <t>Flusso a disposizione non Aderenti</t>
  </si>
  <si>
    <t>OMOLOGA</t>
  </si>
  <si>
    <t>NON Aderenti</t>
  </si>
  <si>
    <t>Tipologia Credito</t>
  </si>
  <si>
    <t>Stralcio</t>
  </si>
  <si>
    <t>Trattamento</t>
  </si>
  <si>
    <t>Provento Straordinario</t>
  </si>
  <si>
    <t>Flusso non Aderenti</t>
  </si>
  <si>
    <t xml:space="preserve">H=  F-G</t>
  </si>
  <si>
    <t>Saldo a disposizione Aderenti</t>
  </si>
  <si>
    <t xml:space="preserve">I </t>
  </si>
  <si>
    <t>Flusso Aderenti</t>
  </si>
  <si>
    <t>Minimo finale Piano</t>
  </si>
  <si>
    <t>Saldo Finale</t>
  </si>
  <si>
    <t>Vendita</t>
  </si>
  <si>
    <t>Durata:</t>
  </si>
  <si>
    <t>Entrata Netta-&gt;</t>
  </si>
  <si>
    <t>Mese Vendita</t>
  </si>
  <si>
    <t>Anno Vendita</t>
  </si>
  <si>
    <t>Affitto</t>
  </si>
  <si>
    <t>Canone:</t>
  </si>
  <si>
    <t>Mensile</t>
  </si>
  <si>
    <t>Conto economico</t>
  </si>
  <si>
    <t>Costi di Acquisto</t>
  </si>
  <si>
    <t>Variazione Rimanenze</t>
  </si>
  <si>
    <t>Costo del Venduto</t>
  </si>
  <si>
    <t>Margine Contribuzione %</t>
  </si>
  <si>
    <t>Costi Variabili</t>
  </si>
  <si>
    <t>Costi Gestione</t>
  </si>
  <si>
    <t>Totale Costi Gestione</t>
  </si>
  <si>
    <t>Ammortamenti</t>
  </si>
  <si>
    <t xml:space="preserve">ammortamenti  Imm.ni Materiali da Bilancio</t>
  </si>
  <si>
    <t xml:space="preserve">ammortamenti  Imm.ni Immateriali da Bilancio</t>
  </si>
  <si>
    <t>ammortamenti Nuove Imm.ni Materiali</t>
  </si>
  <si>
    <t>ammortamenti Nuove Imm.ni immateriali</t>
  </si>
  <si>
    <t>Totale Ammortamenti</t>
  </si>
  <si>
    <t>Costi del Personale</t>
  </si>
  <si>
    <t>costi del personale dipendente</t>
  </si>
  <si>
    <t>accantonamento al TFR</t>
  </si>
  <si>
    <t>Totale Costo del Personale</t>
  </si>
  <si>
    <t>Acc.to Rischi Crediti</t>
  </si>
  <si>
    <t>% Reddito Operativo</t>
  </si>
  <si>
    <t>Gestione finanziaria</t>
  </si>
  <si>
    <t>Oneri Finanziari Preammortamento</t>
  </si>
  <si>
    <t>Oneri Finanziari Finanziamento</t>
  </si>
  <si>
    <t>Totale Gestione Finanziaria</t>
  </si>
  <si>
    <t>Reddito Anteimposte</t>
  </si>
  <si>
    <t>Imposte</t>
  </si>
  <si>
    <t>Ires</t>
  </si>
  <si>
    <t>Irap</t>
  </si>
  <si>
    <t>Totale Imposte</t>
  </si>
  <si>
    <t>Rendiconto Finanziario Indiretto</t>
  </si>
  <si>
    <t>A. Flussi finanziari derivanti dalla gestione reddituale (metodo indiretto)</t>
  </si>
  <si>
    <t>Utile (perdita) dell’esercizio</t>
  </si>
  <si>
    <t>Imposte sul reddito</t>
  </si>
  <si>
    <t>Interessi passivi/(interessi attivi)</t>
  </si>
  <si>
    <t>1. Reddito Operativo</t>
  </si>
  <si>
    <t>Rettifiche per elementi non monetari che non hanno avuto contropartita nel capitale circolante netto</t>
  </si>
  <si>
    <t>Accantonamenti ai fondi</t>
  </si>
  <si>
    <t>Ammortamenti delle immobilizzazioni</t>
  </si>
  <si>
    <t>2. Flusso finanziario prima delle variazioni del ccn</t>
  </si>
  <si>
    <t>Variazioni del capitale circolante netto</t>
  </si>
  <si>
    <t>Decremento/(incremento) delle rimanenze</t>
  </si>
  <si>
    <t>Decremento/(incremento) dei crediti vs clienti</t>
  </si>
  <si>
    <t>Incremento/(decremento) dei debiti verso fornitori</t>
  </si>
  <si>
    <t>Altre variazioni del capitale circolante netto</t>
  </si>
  <si>
    <t>3. Flusso finanziario dopo le variazioni del ccn</t>
  </si>
  <si>
    <t>(Imposte sul reddito pagate)</t>
  </si>
  <si>
    <t>Utilizzo dei fondi</t>
  </si>
  <si>
    <t>4. Flusso finanziario dopo le altre rettifiche</t>
  </si>
  <si>
    <t>Flusso finanziario della gestione reddituale (A)</t>
  </si>
  <si>
    <t>B. Flussi finanziari derivanti dall’attività d’investimento</t>
  </si>
  <si>
    <t>(Investimenti)</t>
  </si>
  <si>
    <t>Flusso finanziario dell’attività di investimento (B)</t>
  </si>
  <si>
    <t>C. Flussi finanziari derivanti dall’attività di finanziamento</t>
  </si>
  <si>
    <t>Mezzi di terzi</t>
  </si>
  <si>
    <t>Accensione finanziamenti</t>
  </si>
  <si>
    <t>Rimborso finanziamenti Bancari</t>
  </si>
  <si>
    <t>Rimborso finanziamenti Soci</t>
  </si>
  <si>
    <t>Finanziamento Fornitori Cespiti</t>
  </si>
  <si>
    <t>Oneri Finanziari</t>
  </si>
  <si>
    <t>Oneri Finanziari pre ammortamento</t>
  </si>
  <si>
    <t>Mezzi propri</t>
  </si>
  <si>
    <t>Aumento di capitale a pagamento</t>
  </si>
  <si>
    <t>Dividendi (e acconti su dividendi) pagati</t>
  </si>
  <si>
    <t>Flusso finanziario dell’attività di finanziamento (C)</t>
  </si>
  <si>
    <t>Incremento (decremento) delle disponibilità liquide (a ± b ± c)</t>
  </si>
  <si>
    <t>Disponibilità liquide inizio periodo</t>
  </si>
  <si>
    <t>Disponibilità liquide fine periodo</t>
  </si>
  <si>
    <t>Check</t>
  </si>
  <si>
    <t>Entrate</t>
  </si>
  <si>
    <t>Incasso Clienti</t>
  </si>
  <si>
    <t>Capitale Sociale</t>
  </si>
  <si>
    <t>Finanziamento Soci</t>
  </si>
  <si>
    <t>Finanziamento Banca</t>
  </si>
  <si>
    <t>Altri Incassi</t>
  </si>
  <si>
    <t>Uscite</t>
  </si>
  <si>
    <t>Uscite Costi Variabili</t>
  </si>
  <si>
    <t>Uscite Costi di Acquisto</t>
  </si>
  <si>
    <t xml:space="preserve"> Pagamento Fornitori imm.ni</t>
  </si>
  <si>
    <t xml:space="preserve"> Uscite dipendenti</t>
  </si>
  <si>
    <t xml:space="preserve"> Uscite Contributi</t>
  </si>
  <si>
    <t xml:space="preserve"> Utilizzo Tfr</t>
  </si>
  <si>
    <t xml:space="preserve"> Utilizzo  Altri Fondi</t>
  </si>
  <si>
    <t xml:space="preserve"> Uscite costi gestione</t>
  </si>
  <si>
    <t xml:space="preserve"> Altre Uscite</t>
  </si>
  <si>
    <t xml:space="preserve"> Liquidazione Iva</t>
  </si>
  <si>
    <t xml:space="preserve"> Canone Leasing</t>
  </si>
  <si>
    <t xml:space="preserve"> Rimoborso Finanziamenti</t>
  </si>
  <si>
    <t xml:space="preserve"> Rimoborso Finanziamenti Soci</t>
  </si>
  <si>
    <t xml:space="preserve"> Oneri Finanziari Preammortamento</t>
  </si>
  <si>
    <t xml:space="preserve"> Oneri Finanziari Finanziamento</t>
  </si>
  <si>
    <t xml:space="preserve"> Pagamento Ires</t>
  </si>
  <si>
    <t xml:space="preserve"> Pagamento Irap</t>
  </si>
  <si>
    <t xml:space="preserve"> Altri Debiti Tributari e Compensazione Crediti trib</t>
  </si>
  <si>
    <t xml:space="preserve"> Altri Debiti Prev  e Compensazione Crediti prev</t>
  </si>
  <si>
    <t xml:space="preserve"> Altri debiti Iva e Comp Cred Iva</t>
  </si>
  <si>
    <t xml:space="preserve"> Distribuzione Utile</t>
  </si>
  <si>
    <t>FLUSSO FINANZIARIO</t>
  </si>
  <si>
    <t>Data Iniziale</t>
  </si>
  <si>
    <t>Crediti v/clienti</t>
  </si>
  <si>
    <t>Enti Previd. ed Assistenziali</t>
  </si>
  <si>
    <t>Erario c/acc. Imposte e Ritenute</t>
  </si>
  <si>
    <t>Erario Iva</t>
  </si>
  <si>
    <t>Altri Crediti, fatture da emettere,crediti v. banca, ecc</t>
  </si>
  <si>
    <t>Totale Crediti Esigibili nell'Esercizio</t>
  </si>
  <si>
    <t>Rimanenze da Bilancio</t>
  </si>
  <si>
    <t>Nuove Rimanenze</t>
  </si>
  <si>
    <t xml:space="preserve">Immobilizzazioni Materiali  da Bilancio </t>
  </si>
  <si>
    <t>Immobili</t>
  </si>
  <si>
    <t xml:space="preserve">1) Fabbricati </t>
  </si>
  <si>
    <t>F.di Amm. Immobili</t>
  </si>
  <si>
    <t>1) F.do amm.to fabbricati industriali</t>
  </si>
  <si>
    <t xml:space="preserve">Impianti  Macchinari e Attrezzature</t>
  </si>
  <si>
    <t>1) Impianti e macchinari</t>
  </si>
  <si>
    <t>2) Attrezzature industriali e commerciali</t>
  </si>
  <si>
    <t>F.di Amm. Impianti Macch. Attrezzature</t>
  </si>
  <si>
    <t>1) F.do amm.to Impianti e macchinari</t>
  </si>
  <si>
    <t>2) F.do amm.to Attrezzature ind.li e com.li</t>
  </si>
  <si>
    <t>Totale Immobilizzazioni Materiali</t>
  </si>
  <si>
    <t xml:space="preserve">Immobilizzazioni Immateriali  da Bilancio </t>
  </si>
  <si>
    <t>Altri Costi Pluriennali</t>
  </si>
  <si>
    <t>1) Costi d'impianto e ampliamento</t>
  </si>
  <si>
    <t>2) Ricerca&amp; Sviluppo</t>
  </si>
  <si>
    <t>3) Altre immobilizzazioni immateriali</t>
  </si>
  <si>
    <t>F.di Amm. Imm.ni immateriali</t>
  </si>
  <si>
    <t>1) F.do amm.to Costi d'impianto e ampliamento</t>
  </si>
  <si>
    <t>2) F.do amm.to Ricerca&amp; Sviluppo</t>
  </si>
  <si>
    <t xml:space="preserve">3) F.do amm.to   Altre immobilizzazioni immateriali</t>
  </si>
  <si>
    <t>Totale Immobilizzazioni Immateriali</t>
  </si>
  <si>
    <t>Immobilizzazione Finanziarie da Bilancio</t>
  </si>
  <si>
    <t>Nuove Immobilizzazion i Finanziarie</t>
  </si>
  <si>
    <t>Totale Immobilizzazioni Finanziarie</t>
  </si>
  <si>
    <t>Totale Attivo</t>
  </si>
  <si>
    <t xml:space="preserve">1)  Commerciali</t>
  </si>
  <si>
    <t xml:space="preserve">2)  Immobilizzazioni</t>
  </si>
  <si>
    <t>Impiegati c/stipendi</t>
  </si>
  <si>
    <t>Enti Previd., Assistenziali, Ratei dipendenti</t>
  </si>
  <si>
    <t>Debiti tributari</t>
  </si>
  <si>
    <t>Altri debiti</t>
  </si>
  <si>
    <t>Totale Debiti Correnti</t>
  </si>
  <si>
    <t>Mutui e Finanziamenti</t>
  </si>
  <si>
    <t>Fondo TFR</t>
  </si>
  <si>
    <t>Altri Finanziamenti m/l termine</t>
  </si>
  <si>
    <t>Totale Debiti a m/lungo termine</t>
  </si>
  <si>
    <t>Capitale Sociale da Conferimento</t>
  </si>
  <si>
    <t>Riserva Legale</t>
  </si>
  <si>
    <t>Altre Riserve</t>
  </si>
  <si>
    <t>Utile a nuovo</t>
  </si>
  <si>
    <t>Risultato di Esercizio</t>
  </si>
  <si>
    <t>Totale Capitale Netto</t>
  </si>
  <si>
    <t>Totale Passivo</t>
  </si>
  <si>
    <t>CHECK</t>
  </si>
  <si>
    <t>Saldo Iva</t>
  </si>
  <si>
    <t>Iva a Debito</t>
  </si>
  <si>
    <t>Iva a Debito Vendite</t>
  </si>
  <si>
    <t>Iva a Credito</t>
  </si>
  <si>
    <t>Liquidazione mensile</t>
  </si>
  <si>
    <t>Riporto Iva a credito</t>
  </si>
  <si>
    <t>Pagamento Iva</t>
  </si>
  <si>
    <t xml:space="preserve">Var Credito iva </t>
  </si>
  <si>
    <t>Var Debito iva</t>
  </si>
  <si>
    <t>Uscita Iva</t>
  </si>
  <si>
    <t>ammortamenti materiali</t>
  </si>
  <si>
    <t>ammortamenti immateriali</t>
  </si>
</sst>
</file>

<file path=xl/styles.xml><?xml version="1.0" encoding="utf-8"?>
<styleSheet xmlns="http://schemas.openxmlformats.org/spreadsheetml/2006/main">
  <numFmts count="20">
    <numFmt numFmtId="6" formatCode="#,##0 &quot;€&quot;;[Red]-#,##0 &quot;€&quot;"/>
    <numFmt numFmtId="164" formatCode="[$-410]mmm-yy;@"/>
    <numFmt numFmtId="44" formatCode="_-* #,##0.00 &quot;€&quot;_-;-* #,##0.00 &quot;€&quot;_-;_-* &quot;-&quot;?? &quot;€&quot;_-;_-@_-"/>
    <numFmt numFmtId="165" formatCode="_-&quot;€&quot; * #,##0.00_-;-&quot;€&quot; * #,##0.00_-;_-&quot;€&quot; * &quot;-&quot;??_-;_-@_-"/>
    <numFmt numFmtId="166" formatCode="[$$-409]#,##0.00"/>
    <numFmt numFmtId="167" formatCode="[$-410]d mmmm yyyy;@"/>
    <numFmt numFmtId="168" formatCode="#,##0.00 &quot;€&quot;"/>
    <numFmt numFmtId="169" formatCode="_-* #,##0 &quot;€&quot;_-;-* #,##0 &quot;€&quot;_-;_-* &quot;-&quot;?? &quot;€&quot;_-;_-@_-"/>
    <numFmt numFmtId="170" formatCode="0.0000"/>
    <numFmt numFmtId="171" formatCode="_-* #,##0_-;-* #,##0_-;_-* &quot;-&quot;??_-;_-@_-"/>
    <numFmt numFmtId="42" formatCode="_-* #,##0 &quot;€&quot;_-;-* #,##0 &quot;€&quot;_-;_-* &quot;-&quot; &quot;€&quot;_-;_-@_-"/>
    <numFmt numFmtId="172" formatCode="#,##0_ ;[Red]-#,##0 "/>
    <numFmt numFmtId="173" formatCode="&quot;€&quot; #,##0"/>
    <numFmt numFmtId="174" formatCode="_-* #,##0_-;-* #,##0_-;_-* &quot;-&quot;_-;_-@_-"/>
    <numFmt numFmtId="175" formatCode="_-* #,##0.00_-;-* #,##0.00_-;_-* &quot;-&quot;_-;_-@_-"/>
    <numFmt numFmtId="176" formatCode="_-* #,##0.00_-;-* #,##0.00_-;_-* &quot;-&quot;??_-;_-@_-"/>
    <numFmt numFmtId="8" formatCode="#,##0.00 &quot;€&quot;;[Red]-#,##0.00 &quot;€&quot;"/>
    <numFmt numFmtId="177" formatCode="#,##0 &quot;€&quot;"/>
    <numFmt numFmtId="178" formatCode="#,##0.00_ ;[Red]-#,##0.00 "/>
    <numFmt numFmtId="179" formatCode="_-[$€] * #,##0.00_-;-[$€] * #,##0.00_-;_-[$€] * &quot;-&quot;??_-;_-@_-"/>
  </numFmts>
  <fonts count="64">
    <font>
      <sz val="11"/>
      <color theme="1"/>
      <name val="Calibri"/>
      <family val="2"/>
      <scheme val="minor"/>
    </font>
    <font>
      <sz val="16"/>
      <color theme="0"/>
      <name val="Calibri"/>
      <scheme val="minor"/>
    </font>
    <font>
      <b/>
      <sz val="11"/>
      <color theme="1"/>
      <name val="Calibri"/>
      <scheme val="minor"/>
    </font>
    <font>
      <u/>
      <sz val="11"/>
      <color theme="10"/>
      <name val="Calibri"/>
      <scheme val="minor"/>
    </font>
    <font>
      <b/>
      <sz val="11"/>
      <color theme="0"/>
      <name val="Calibri"/>
      <scheme val="minor"/>
    </font>
    <font>
      <sz val="10"/>
      <color theme="1"/>
      <name val="Calibri"/>
      <scheme val="minor"/>
    </font>
    <font>
      <b/>
      <sz val="9"/>
      <color theme="1"/>
      <name val="Calibri"/>
      <scheme val="minor"/>
    </font>
    <font>
      <b/>
      <sz val="9"/>
      <name val="Calibri"/>
      <scheme val="minor"/>
    </font>
    <font>
      <b/>
      <sz val="11"/>
      <name val="Calibri"/>
      <scheme val="minor"/>
    </font>
    <font>
      <sz val="9"/>
      <color theme="1"/>
      <name val="Calibri"/>
      <scheme val="minor"/>
    </font>
    <font>
      <u/>
      <sz val="11"/>
      <color rgb="FFFFFF00"/>
      <name val="Calibri"/>
      <scheme val="minor"/>
    </font>
    <font>
      <b/>
      <u/>
      <sz val="11"/>
      <color theme="0"/>
      <name val="Calibri"/>
      <scheme val="minor"/>
    </font>
    <font>
      <u/>
      <sz val="11"/>
      <color theme="0"/>
      <name val="Calibri"/>
      <scheme val="minor"/>
    </font>
    <font>
      <sz val="12"/>
      <color theme="0"/>
      <name val="Calibri"/>
      <scheme val="minor"/>
    </font>
    <font>
      <b/>
      <sz val="16"/>
      <color theme="0"/>
      <name val="Calibri"/>
      <scheme val="minor"/>
    </font>
    <font>
      <sz val="14"/>
      <name val="Calibri"/>
      <scheme val="minor"/>
    </font>
    <font>
      <b/>
      <sz val="11"/>
      <color rgb="FFC00000"/>
      <name val="Calibri"/>
      <scheme val="minor"/>
    </font>
    <font>
      <u/>
      <sz val="14"/>
      <name val="Calibri"/>
      <scheme val="minor"/>
    </font>
    <font>
      <u/>
      <sz val="14"/>
      <color theme="1"/>
      <name val="Calibri"/>
      <scheme val="minor"/>
    </font>
    <font>
      <u/>
      <sz val="14"/>
      <color theme="10"/>
      <name val="Calibri"/>
      <scheme val="minor"/>
    </font>
    <font>
      <sz val="11"/>
      <color theme="5"/>
      <name val="Calibri"/>
      <scheme val="minor"/>
    </font>
    <font>
      <b/>
      <i/>
      <sz val="11"/>
      <color theme="1"/>
      <name val="Calibri"/>
      <scheme val="minor"/>
    </font>
    <font>
      <i/>
      <sz val="11"/>
      <color theme="1"/>
      <name val="Calibri"/>
      <scheme val="minor"/>
    </font>
    <font>
      <sz val="11"/>
      <color rgb="FF000000"/>
      <name val="Calibri"/>
      <scheme val="minor"/>
    </font>
    <font>
      <b/>
      <sz val="12"/>
      <color theme="0"/>
      <name val="Calibri"/>
      <scheme val="minor"/>
    </font>
    <font>
      <sz val="24"/>
      <color theme="1"/>
      <name val="Calibri"/>
      <scheme val="minor"/>
    </font>
    <font>
      <b/>
      <sz val="14"/>
      <name val="Calibri"/>
      <scheme val="minor"/>
    </font>
    <font>
      <sz val="14"/>
      <color theme="1"/>
      <name val="Calibri"/>
      <scheme val="minor"/>
    </font>
    <font>
      <b/>
      <sz val="11"/>
      <color rgb="FFFF0000"/>
      <name val="Calibri"/>
      <scheme val="minor"/>
    </font>
    <font>
      <sz val="11"/>
      <color theme="0"/>
      <name val="Calibri"/>
      <scheme val="minor"/>
    </font>
    <font>
      <b/>
      <sz val="14"/>
      <color rgb="FFFFFF00"/>
      <name val="Calibri"/>
      <scheme val="minor"/>
    </font>
    <font>
      <sz val="11"/>
      <name val="Calibri"/>
      <scheme val="minor"/>
    </font>
    <font>
      <b/>
      <i/>
      <sz val="10"/>
      <color theme="4" tint="-0.249977111117893"/>
      <name val="Tahoma"/>
    </font>
    <font>
      <b/>
      <sz val="14"/>
      <color theme="6" tint="-0.499984740745262"/>
      <name val="Calibri"/>
      <scheme val="minor"/>
    </font>
    <font>
      <b/>
      <sz val="22"/>
      <color theme="6" tint="-0.499984740745262"/>
      <name val="Calibri"/>
      <scheme val="minor"/>
    </font>
    <font>
      <b/>
      <sz val="10"/>
      <color theme="6" tint="-0.499984740745262"/>
      <name val="Calibri"/>
      <scheme val="minor"/>
    </font>
    <font>
      <sz val="11"/>
      <color indexed="8"/>
      <name val="Calibri"/>
    </font>
    <font>
      <sz val="12"/>
      <name val="Calibri"/>
      <scheme val="minor"/>
    </font>
    <font>
      <sz val="11"/>
      <color indexed="8"/>
      <name val="Calibri"/>
      <scheme val="minor"/>
    </font>
    <font>
      <b/>
      <sz val="11"/>
      <color theme="4"/>
      <name val="Calibri"/>
      <scheme val="minor"/>
    </font>
    <font>
      <u/>
      <sz val="12"/>
      <color theme="10"/>
      <name val="Calibri"/>
      <scheme val="minor"/>
    </font>
    <font>
      <b/>
      <sz val="14"/>
      <color theme="1"/>
      <name val="Calibri"/>
      <scheme val="minor"/>
    </font>
    <font>
      <sz val="11"/>
      <color rgb="FFFF0000"/>
      <name val="Calibri"/>
      <scheme val="minor"/>
    </font>
    <font>
      <sz val="12"/>
      <color rgb="FFFFFF00"/>
      <name val="Calibri"/>
      <scheme val="minor"/>
    </font>
    <font>
      <i/>
      <sz val="12"/>
      <color theme="1"/>
      <name val="Calibri"/>
      <scheme val="minor"/>
    </font>
    <font>
      <b/>
      <sz val="12"/>
      <color theme="1"/>
      <name val="Calibri"/>
      <scheme val="minor"/>
    </font>
    <font>
      <b/>
      <u/>
      <sz val="12"/>
      <color theme="1"/>
      <name val="Calibri"/>
      <scheme val="minor"/>
    </font>
    <font>
      <sz val="9"/>
      <color indexed="8"/>
      <name val="Calibri"/>
    </font>
    <font>
      <b/>
      <sz val="12"/>
      <color theme="6" tint="-0.499984740745262"/>
      <name val="Calibri"/>
      <scheme val="minor"/>
    </font>
    <font>
      <b/>
      <sz val="16"/>
      <color theme="6" tint="-0.499984740745262"/>
      <name val="Calibri"/>
      <scheme val="minor"/>
    </font>
    <font>
      <b/>
      <sz val="9"/>
      <color indexed="8"/>
      <name val="Calibri"/>
    </font>
    <font>
      <b/>
      <sz val="11"/>
      <color indexed="8"/>
      <name val="Calibri"/>
    </font>
    <font>
      <b/>
      <sz val="11"/>
      <color theme="6" tint="-0.499984740745262"/>
      <name val="Calibri"/>
      <scheme val="minor"/>
    </font>
    <font>
      <b/>
      <sz val="18"/>
      <color theme="6" tint="-0.499984740745262"/>
      <name val="Calibri"/>
      <scheme val="minor"/>
    </font>
    <font>
      <b/>
      <sz val="10"/>
      <color indexed="8"/>
      <name val="Calibri"/>
    </font>
    <font>
      <sz val="10"/>
      <color indexed="8"/>
      <name val="Calibri"/>
    </font>
    <font>
      <b/>
      <sz val="10"/>
      <color indexed="9"/>
      <name val="Calibri"/>
    </font>
    <font>
      <sz val="10"/>
      <name val="Calibri"/>
      <scheme val="minor"/>
    </font>
    <font>
      <b/>
      <sz val="10"/>
      <color theme="1"/>
      <name val="Calibri"/>
      <scheme val="minor"/>
    </font>
    <font>
      <sz val="9"/>
      <name val="Calibri"/>
    </font>
    <font>
      <b/>
      <sz val="9"/>
      <name val="Calibri"/>
    </font>
    <font>
      <sz val="10"/>
      <name val="Arial"/>
    </font>
    <font>
      <b/>
      <sz val="9"/>
      <color indexed="81"/>
      <name val="Tahoma"/>
    </font>
    <font>
      <sz val="9"/>
      <color indexed="81"/>
      <name val="Tahoma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78484450819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52391125217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0" tint="-0.146671956541643"/>
        <bgColor indexed="64"/>
      </patternFill>
    </fill>
    <fill>
      <patternFill patternType="solid">
        <fgColor theme="4" tint="0.799371318704795"/>
        <bgColor indexed="64"/>
      </patternFill>
    </fill>
    <fill>
      <patternFill patternType="solid">
        <fgColor rgb="FFFAFED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79857783745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9" tint="0.799768059327982"/>
        <bgColor indexed="64"/>
      </patternFill>
    </fill>
    <fill>
      <patternFill patternType="solid">
        <fgColor theme="4" tint="0.79976805932798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8596148564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3" tint="0.79976805932798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76805932798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799768059327982"/>
        <bgColor indexed="64"/>
      </patternFill>
    </fill>
    <fill>
      <patternFill patternType="solid">
        <fgColor theme="8"/>
      </patternFill>
    </fill>
  </fills>
  <borders count="38">
    <border/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top style="medium">
        <color auto="1"/>
      </top>
      <bottom style="medium">
        <color auto="1"/>
      </bottom>
    </border>
    <border>
      <right style="dashed">
        <color indexed="64"/>
      </right>
      <top style="medium">
        <color indexed="64"/>
      </top>
      <bottom style="medium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</border>
    <border>
      <left style="thin">
        <color auto="1"/>
      </left>
      <right style="thin">
        <color auto="1"/>
      </right>
    </border>
    <border>
      <left style="medium">
        <color theme="8" tint="-0.249946592608417"/>
      </left>
      <right style="medium">
        <color theme="8" tint="-0.249946592608417"/>
      </right>
      <top style="medium">
        <color theme="8" tint="-0.249946592608417"/>
      </top>
      <bottom style="medium">
        <color theme="8" tint="-0.249946592608417"/>
      </bottom>
    </border>
    <border>
      <top style="thin">
        <color indexed="64"/>
      </top>
      <bottom style="thin">
        <color indexed="64"/>
      </bottom>
    </border>
    <border>
      <left style="medium">
        <color theme="8" tint="-0.249946592608417"/>
      </left>
      <top style="medium">
        <color theme="8" tint="-0.249946592608417"/>
      </top>
      <bottom style="medium">
        <color theme="8" tint="-0.249946592608417"/>
      </bottom>
    </border>
    <border>
      <right style="medium">
        <color theme="8" tint="-0.249946592608417"/>
      </right>
      <top style="medium">
        <color theme="8" tint="-0.249946592608417"/>
      </top>
      <bottom style="medium">
        <color theme="8" tint="-0.249946592608417"/>
      </bottom>
    </border>
    <border>
      <bottom style="double">
        <color indexed="64"/>
      </bottom>
    </border>
    <border>
      <bottom style="thin">
        <color auto="1"/>
      </bottom>
    </border>
    <border>
      <left style="thin">
        <color auto="1"/>
      </left>
    </border>
    <border>
      <right style="thin">
        <color auto="1"/>
      </right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</border>
    <border>
      <right style="thin">
        <color auto="1"/>
      </right>
      <bottom style="thin">
        <color auto="1"/>
      </bottom>
    </border>
    <border>
      <left style="thin">
        <color auto="1"/>
      </left>
      <top style="thin">
        <color auto="1"/>
      </top>
      <bottom style="thin">
        <color auto="1"/>
      </bottom>
    </border>
    <border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top style="thin">
        <color auto="1"/>
      </top>
    </border>
    <border>
      <top style="thin">
        <color auto="1"/>
      </top>
    </border>
    <border>
      <right style="thin">
        <color auto="1"/>
      </right>
      <top style="thin">
        <color auto="1"/>
      </top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ck">
        <color auto="1"/>
      </left>
    </border>
    <border>
      <left style="thick">
        <color theme="0"/>
      </left>
      <right style="thick">
        <color theme="0"/>
      </right>
      <top style="thick">
        <color theme="0"/>
      </top>
    </border>
    <border>
      <left style="thick">
        <color theme="0"/>
      </left>
      <right style="thick">
        <color theme="0"/>
      </right>
      <bottom style="thick">
        <color theme="0"/>
      </bottom>
    </border>
    <border>
      <left style="thin">
        <color auto="1"/>
      </left>
      <bottom style="thin">
        <color auto="1"/>
      </bottom>
    </border>
    <border>
      <left style="medium">
        <color auto="1"/>
      </left>
    </border>
    <border>
      <right style="thin">
        <color auto="1"/>
      </right>
      <bottom style="double">
        <color indexed="64"/>
      </bottom>
    </border>
    <border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dashed">
        <color indexed="64"/>
      </right>
      <top style="thin">
        <color auto="1"/>
      </top>
      <bottom style="thin">
        <color auto="1"/>
      </bottom>
    </border>
    <border>
      <top style="double">
        <color auto="1"/>
      </top>
      <bottom style="double">
        <color auto="1"/>
      </bottom>
    </border>
    <border>
      <bottom style="hair">
        <color auto="1"/>
      </bottom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</border>
    <border>
      <top style="hair">
        <color auto="1"/>
      </top>
      <bottom style="hair">
        <color auto="1"/>
      </bottom>
    </border>
    <border>
      <top style="hair">
        <color auto="1"/>
      </top>
    </border>
  </borders>
  <cellStyleXfs count="15">
    <xf numFmtId="0" fontId="0" fillId="0" borderId="0"/>
    <xf numFmtId="0" fontId="3" fillId="0" borderId="0" applyNumberFormat="0" applyFill="0" applyBorder="0" applyAlignment="0" applyProtection="0"/>
    <xf numFmtId="166" fontId="61" fillId="0" borderId="0"/>
    <xf numFmtId="9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36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9" fillId="35" borderId="0" applyNumberFormat="0" applyBorder="0" applyAlignment="0" applyProtection="0"/>
    <xf numFmtId="179" fontId="6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44" fontId="0" fillId="0" borderId="0" applyFont="0" applyFill="0" applyBorder="0" applyAlignment="0" applyProtection="0"/>
  </cellStyleXfs>
  <cellXfs count="354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/>
    </xf>
    <xf numFmtId="0" fontId="2" fillId="0" borderId="0" xfId="0" applyFont="1"/>
    <xf numFmtId="0" fontId="0" fillId="3" borderId="0" xfId="0" applyFill="1"/>
    <xf numFmtId="0" fontId="0" fillId="4" borderId="0" xfId="0" applyFill="1"/>
    <xf numFmtId="6" fontId="0" fillId="0" borderId="0" xfId="0" applyNumberFormat="1"/>
    <xf numFmtId="0" fontId="0" fillId="5" borderId="0" xfId="0" applyFill="1"/>
    <xf numFmtId="14" fontId="0" fillId="0" borderId="0" xfId="0" applyNumberFormat="1" applyAlignment="1">
      <alignment horizontal="left"/>
    </xf>
    <xf numFmtId="0" fontId="3" fillId="0" borderId="0" xfId="1"/>
    <xf numFmtId="0" fontId="0" fillId="6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0" fillId="7" borderId="1" xfId="0" applyFill="1" applyBorder="1"/>
    <xf numFmtId="0" fontId="2" fillId="8" borderId="2" xfId="0" applyFont="1" applyFill="1" applyBorder="1"/>
    <xf numFmtId="0" fontId="2" fillId="0" borderId="0" xfId="0" applyFont="1" applyAlignment="1">
      <alignment horizontal="right"/>
    </xf>
    <xf numFmtId="0" fontId="4" fillId="9" borderId="0" xfId="0" applyFont="1" applyFill="1" applyAlignment="1">
      <alignment horizontal="center" vertical="center"/>
    </xf>
    <xf numFmtId="14" fontId="0" fillId="0" borderId="0" xfId="0" applyNumberFormat="1"/>
    <xf numFmtId="2" fontId="0" fillId="0" borderId="0" xfId="0" applyNumberFormat="1" applyAlignment="1">
      <alignment horizontal="center"/>
    </xf>
    <xf numFmtId="3" fontId="5" fillId="10" borderId="2" xfId="0" applyNumberFormat="1" applyFont="1" applyFill="1" applyBorder="1" applyAlignment="1">
      <alignment horizontal="left" vertical="center"/>
    </xf>
    <xf numFmtId="0" fontId="2" fillId="11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1" fontId="4" fillId="9" borderId="0" xfId="0" applyNumberFormat="1" applyFont="1" applyFill="1" applyAlignment="1">
      <alignment horizontal="center" vertical="center"/>
    </xf>
    <xf numFmtId="164" fontId="4" fillId="9" borderId="0" xfId="0" applyNumberFormat="1" applyFont="1" applyFill="1" applyAlignment="1">
      <alignment horizontal="center" vertical="center"/>
    </xf>
    <xf numFmtId="0" fontId="0" fillId="12" borderId="2" xfId="0" applyFill="1" applyBorder="1" applyAlignment="1">
      <alignment vertical="center"/>
    </xf>
    <xf numFmtId="44" fontId="0" fillId="13" borderId="2" xfId="0" applyNumberFormat="1" applyFill="1" applyBorder="1" applyAlignment="1">
      <alignment vertical="center"/>
    </xf>
    <xf numFmtId="165" fontId="0" fillId="0" borderId="0" xfId="0" applyNumberFormat="1" applyAlignment="1">
      <alignment vertical="center"/>
    </xf>
    <xf numFmtId="0" fontId="0" fillId="0" borderId="0" xfId="0" applyAlignment="1">
      <alignment horizontal="right"/>
    </xf>
    <xf numFmtId="0" fontId="2" fillId="7" borderId="3" xfId="0" applyFont="1" applyFill="1" applyBorder="1"/>
    <xf numFmtId="0" fontId="2" fillId="12" borderId="2" xfId="0" applyFont="1" applyFill="1" applyBorder="1" applyAlignment="1">
      <alignment horizontal="right"/>
    </xf>
    <xf numFmtId="0" fontId="2" fillId="14" borderId="4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2" fillId="12" borderId="3" xfId="0" applyFont="1" applyFill="1" applyBorder="1" applyAlignment="1">
      <alignment horizontal="right"/>
    </xf>
    <xf numFmtId="166" fontId="4" fillId="15" borderId="2" xfId="2" applyFont="1" applyFill="1" applyBorder="1" applyAlignment="1">
      <alignment horizontal="center" vertical="center"/>
    </xf>
    <xf numFmtId="166" fontId="4" fillId="15" borderId="5" xfId="2" applyFont="1" applyFill="1" applyBorder="1" applyAlignment="1">
      <alignment horizontal="center" vertical="center"/>
    </xf>
    <xf numFmtId="0" fontId="9" fillId="0" borderId="0" xfId="0" applyFont="1"/>
    <xf numFmtId="0" fontId="5" fillId="16" borderId="6" xfId="0" applyFont="1" applyFill="1" applyBorder="1"/>
    <xf numFmtId="0" fontId="10" fillId="2" borderId="0" xfId="1" applyFont="1" applyFill="1" applyAlignment="1">
      <alignment horizontal="center" vertical="center"/>
    </xf>
    <xf numFmtId="166" fontId="4" fillId="15" borderId="7" xfId="2" applyFont="1" applyFill="1" applyBorder="1" applyAlignment="1">
      <alignment horizontal="center" vertical="center"/>
    </xf>
    <xf numFmtId="0" fontId="11" fillId="17" borderId="0" xfId="1" applyFont="1" applyFill="1" applyAlignment="1">
      <alignment horizontal="center" vertical="center"/>
    </xf>
    <xf numFmtId="44" fontId="0" fillId="0" borderId="0" xfId="0" applyNumberFormat="1"/>
    <xf numFmtId="44" fontId="0" fillId="18" borderId="6" xfId="0" applyNumberFormat="1" applyFill="1" applyBorder="1"/>
    <xf numFmtId="0" fontId="12" fillId="9" borderId="0" xfId="1" applyFont="1" applyFill="1" applyAlignment="1">
      <alignment horizontal="center" vertical="center"/>
    </xf>
    <xf numFmtId="2" fontId="13" fillId="9" borderId="0" xfId="0" applyNumberFormat="1" applyFont="1" applyFill="1" applyAlignment="1">
      <alignment horizontal="center" vertical="center"/>
    </xf>
    <xf numFmtId="0" fontId="14" fillId="2" borderId="0" xfId="0" applyFont="1" applyFill="1" applyAlignment="1">
      <alignment horizontal="right"/>
    </xf>
    <xf numFmtId="167" fontId="14" fillId="2" borderId="0" xfId="0" applyNumberFormat="1" applyFont="1" applyFill="1" applyAlignment="1">
      <alignment horizontal="left"/>
    </xf>
    <xf numFmtId="14" fontId="14" fillId="2" borderId="0" xfId="0" applyNumberFormat="1" applyFont="1" applyFill="1"/>
    <xf numFmtId="0" fontId="14" fillId="2" borderId="0" xfId="0" applyFont="1" applyFill="1"/>
    <xf numFmtId="0" fontId="15" fillId="19" borderId="8" xfId="1" applyFont="1" applyFill="1" applyBorder="1" applyAlignment="1">
      <alignment horizontal="center"/>
    </xf>
    <xf numFmtId="0" fontId="15" fillId="19" borderId="8" xfId="1" applyNumberFormat="1" applyFont="1" applyFill="1" applyBorder="1" applyAlignment="1">
      <alignment horizontal="center"/>
    </xf>
    <xf numFmtId="0" fontId="16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 wrapText="1"/>
    </xf>
    <xf numFmtId="0" fontId="17" fillId="3" borderId="8" xfId="1" applyFont="1" applyFill="1" applyBorder="1" applyAlignment="1">
      <alignment horizontal="center" vertical="center"/>
    </xf>
    <xf numFmtId="0" fontId="3" fillId="0" borderId="0" xfId="1" applyFill="1"/>
    <xf numFmtId="0" fontId="18" fillId="0" borderId="10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9" fillId="0" borderId="10" xfId="1" applyFont="1" applyBorder="1" applyAlignment="1">
      <alignment horizontal="center"/>
    </xf>
    <xf numFmtId="0" fontId="19" fillId="0" borderId="11" xfId="1" applyFont="1" applyBorder="1" applyAlignment="1">
      <alignment horizontal="center"/>
    </xf>
    <xf numFmtId="0" fontId="20" fillId="0" borderId="0" xfId="0" applyFont="1" applyAlignment="1">
      <alignment horizontal="left"/>
    </xf>
    <xf numFmtId="0" fontId="20" fillId="0" borderId="0" xfId="0" applyFont="1"/>
    <xf numFmtId="168" fontId="0" fillId="0" borderId="0" xfId="0" applyNumberFormat="1"/>
    <xf numFmtId="0" fontId="21" fillId="20" borderId="0" xfId="0" applyFont="1" applyFill="1"/>
    <xf numFmtId="168" fontId="0" fillId="20" borderId="0" xfId="0" applyNumberFormat="1" applyFill="1"/>
    <xf numFmtId="168" fontId="0" fillId="20" borderId="6" xfId="0" applyNumberFormat="1" applyFill="1" applyBorder="1"/>
    <xf numFmtId="168" fontId="0" fillId="0" borderId="12" xfId="0" applyNumberFormat="1" applyBorder="1"/>
    <xf numFmtId="0" fontId="2" fillId="0" borderId="13" xfId="0" applyFont="1" applyBorder="1"/>
    <xf numFmtId="168" fontId="2" fillId="0" borderId="13" xfId="0" applyNumberFormat="1" applyFont="1" applyBorder="1"/>
    <xf numFmtId="0" fontId="0" fillId="0" borderId="0" xfId="0" quotePrefix="1"/>
    <xf numFmtId="0" fontId="2" fillId="0" borderId="12" xfId="0" applyFont="1" applyBorder="1"/>
    <xf numFmtId="168" fontId="2" fillId="0" borderId="12" xfId="0" applyNumberFormat="1" applyFont="1" applyBorder="1"/>
    <xf numFmtId="10" fontId="22" fillId="0" borderId="0" xfId="3" applyNumberFormat="1" applyFont="1"/>
    <xf numFmtId="10" fontId="0" fillId="0" borderId="0" xfId="3" applyNumberFormat="1" applyFont="1"/>
    <xf numFmtId="164" fontId="12" fillId="21" borderId="0" xfId="1" applyNumberFormat="1" applyFont="1" applyFill="1" applyAlignment="1">
      <alignment horizontal="center"/>
    </xf>
    <xf numFmtId="0" fontId="2" fillId="0" borderId="9" xfId="0" applyFont="1" applyBorder="1" applyAlignment="1">
      <alignment horizontal="center"/>
    </xf>
    <xf numFmtId="0" fontId="2" fillId="22" borderId="0" xfId="0" applyFont="1" applyFill="1" applyAlignment="1">
      <alignment horizontal="center"/>
    </xf>
    <xf numFmtId="166" fontId="4" fillId="15" borderId="14" xfId="2" applyFont="1" applyFill="1" applyBorder="1" applyAlignment="1">
      <alignment horizontal="center" vertical="center" wrapText="1"/>
    </xf>
    <xf numFmtId="166" fontId="4" fillId="15" borderId="15" xfId="2" applyFont="1" applyFill="1" applyBorder="1" applyAlignment="1">
      <alignment horizontal="center" vertical="center" wrapText="1"/>
    </xf>
    <xf numFmtId="0" fontId="0" fillId="0" borderId="16" xfId="0" applyBorder="1"/>
    <xf numFmtId="4" fontId="0" fillId="0" borderId="0" xfId="0" applyNumberFormat="1"/>
    <xf numFmtId="4" fontId="0" fillId="23" borderId="0" xfId="0" applyNumberFormat="1" applyFill="1"/>
    <xf numFmtId="4" fontId="2" fillId="0" borderId="3" xfId="0" applyNumberFormat="1" applyFont="1" applyBorder="1"/>
    <xf numFmtId="4" fontId="2" fillId="23" borderId="3" xfId="0" applyNumberFormat="1" applyFont="1" applyFill="1" applyBorder="1"/>
    <xf numFmtId="38" fontId="0" fillId="0" borderId="16" xfId="0" applyNumberFormat="1" applyBorder="1"/>
    <xf numFmtId="0" fontId="0" fillId="0" borderId="17" xfId="0" applyBorder="1"/>
    <xf numFmtId="0" fontId="0" fillId="0" borderId="17" xfId="0" applyBorder="1" applyAlignment="1">
      <alignment wrapText="1"/>
    </xf>
    <xf numFmtId="3" fontId="4" fillId="15" borderId="14" xfId="2" applyNumberFormat="1" applyFont="1" applyFill="1" applyBorder="1" applyAlignment="1">
      <alignment horizontal="center" vertical="center" wrapText="1"/>
    </xf>
    <xf numFmtId="1" fontId="0" fillId="0" borderId="0" xfId="0" applyNumberFormat="1"/>
    <xf numFmtId="38" fontId="0" fillId="0" borderId="0" xfId="0" applyNumberFormat="1"/>
    <xf numFmtId="9" fontId="0" fillId="0" borderId="0" xfId="0" applyNumberFormat="1"/>
    <xf numFmtId="169" fontId="23" fillId="24" borderId="18" xfId="0" applyNumberFormat="1" applyFont="1" applyFill="1" applyBorder="1"/>
    <xf numFmtId="9" fontId="23" fillId="24" borderId="18" xfId="0" applyNumberFormat="1" applyFont="1" applyFill="1" applyBorder="1" applyAlignment="1">
      <alignment horizontal="center"/>
    </xf>
    <xf numFmtId="0" fontId="24" fillId="21" borderId="0" xfId="0" applyFont="1" applyFill="1" applyAlignment="1">
      <alignment vertical="center" wrapText="1"/>
    </xf>
    <xf numFmtId="0" fontId="2" fillId="0" borderId="17" xfId="0" applyFont="1" applyBorder="1" applyAlignment="1">
      <alignment horizontal="center"/>
    </xf>
    <xf numFmtId="169" fontId="2" fillId="0" borderId="0" xfId="0" applyNumberFormat="1" applyFont="1"/>
    <xf numFmtId="3" fontId="0" fillId="0" borderId="17" xfId="0" applyNumberFormat="1" applyBorder="1"/>
    <xf numFmtId="3" fontId="2" fillId="0" borderId="0" xfId="0" applyNumberFormat="1" applyFont="1"/>
    <xf numFmtId="0" fontId="0" fillId="0" borderId="2" xfId="0" applyBorder="1"/>
    <xf numFmtId="169" fontId="0" fillId="20" borderId="2" xfId="0" applyNumberFormat="1" applyFill="1" applyBorder="1"/>
    <xf numFmtId="0" fontId="0" fillId="0" borderId="2" xfId="0" applyBorder="1" applyAlignment="1">
      <alignment wrapText="1"/>
    </xf>
    <xf numFmtId="169" fontId="0" fillId="0" borderId="2" xfId="0" applyNumberFormat="1" applyBorder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169" fontId="0" fillId="3" borderId="2" xfId="0" applyNumberFormat="1" applyFill="1" applyBorder="1"/>
    <xf numFmtId="0" fontId="25" fillId="0" borderId="2" xfId="0" applyFont="1" applyBorder="1" applyAlignment="1">
      <alignment horizontal="center"/>
    </xf>
    <xf numFmtId="170" fontId="26" fillId="3" borderId="2" xfId="3" applyNumberFormat="1" applyFont="1" applyFill="1" applyBorder="1" applyAlignment="1">
      <alignment horizontal="center" vertical="center"/>
    </xf>
    <xf numFmtId="0" fontId="27" fillId="0" borderId="19" xfId="0" applyFont="1" applyBorder="1" applyAlignment="1">
      <alignment wrapText="1"/>
    </xf>
    <xf numFmtId="0" fontId="27" fillId="0" borderId="9" xfId="0" applyFont="1" applyBorder="1" applyAlignment="1">
      <alignment wrapText="1"/>
    </xf>
    <xf numFmtId="0" fontId="27" fillId="0" borderId="20" xfId="0" applyFont="1" applyBorder="1" applyAlignment="1">
      <alignment wrapText="1"/>
    </xf>
    <xf numFmtId="0" fontId="28" fillId="0" borderId="0" xfId="0" applyFont="1"/>
    <xf numFmtId="0" fontId="8" fillId="23" borderId="21" xfId="0" applyFont="1" applyFill="1" applyBorder="1" applyAlignment="1">
      <alignment horizontal="center" vertical="center"/>
    </xf>
    <xf numFmtId="0" fontId="8" fillId="23" borderId="22" xfId="0" applyFont="1" applyFill="1" applyBorder="1" applyAlignment="1">
      <alignment horizontal="center" vertical="center"/>
    </xf>
    <xf numFmtId="0" fontId="8" fillId="23" borderId="23" xfId="0" applyFont="1" applyFill="1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0" fontId="0" fillId="23" borderId="0" xfId="0" applyFill="1"/>
    <xf numFmtId="164" fontId="11" fillId="21" borderId="0" xfId="1" applyNumberFormat="1" applyFont="1" applyFill="1" applyAlignment="1">
      <alignment horizontal="center"/>
    </xf>
    <xf numFmtId="0" fontId="29" fillId="9" borderId="0" xfId="0" applyFont="1" applyFill="1" applyAlignment="1">
      <alignment horizontal="center" vertical="center"/>
    </xf>
    <xf numFmtId="6" fontId="30" fillId="2" borderId="0" xfId="0" applyNumberFormat="1" applyFont="1" applyFill="1" applyAlignment="1">
      <alignment horizontal="center" vertical="center"/>
    </xf>
    <xf numFmtId="6" fontId="2" fillId="0" borderId="0" xfId="0" applyNumberFormat="1" applyFont="1"/>
    <xf numFmtId="10" fontId="29" fillId="21" borderId="0" xfId="3" applyNumberFormat="1" applyFont="1" applyFill="1" applyAlignment="1">
      <alignment horizontal="center" vertical="center"/>
    </xf>
    <xf numFmtId="1" fontId="2" fillId="0" borderId="0" xfId="0" applyNumberFormat="1" applyFont="1" applyAlignment="1">
      <alignment horizontal="center"/>
    </xf>
    <xf numFmtId="0" fontId="24" fillId="21" borderId="0" xfId="0" applyFont="1" applyFill="1" applyAlignment="1">
      <alignment horizontal="center" vertical="center" wrapText="1"/>
    </xf>
    <xf numFmtId="6" fontId="0" fillId="23" borderId="0" xfId="0" applyNumberFormat="1" applyFill="1"/>
    <xf numFmtId="44" fontId="23" fillId="24" borderId="24" xfId="0" applyNumberFormat="1" applyFont="1" applyFill="1" applyBorder="1"/>
    <xf numFmtId="44" fontId="23" fillId="24" borderId="18" xfId="0" applyNumberFormat="1" applyFont="1" applyFill="1" applyBorder="1" applyAlignment="1">
      <alignment horizontal="left"/>
    </xf>
    <xf numFmtId="44" fontId="23" fillId="24" borderId="18" xfId="0" applyNumberFormat="1" applyFont="1" applyFill="1" applyBorder="1"/>
    <xf numFmtId="169" fontId="2" fillId="3" borderId="0" xfId="0" applyNumberFormat="1" applyFont="1" applyFill="1"/>
    <xf numFmtId="171" fontId="31" fillId="20" borderId="16" xfId="4" applyNumberFormat="1" applyFont="1" applyFill="1" applyBorder="1"/>
    <xf numFmtId="44" fontId="0" fillId="20" borderId="2" xfId="0" applyNumberFormat="1" applyFill="1" applyBorder="1"/>
    <xf numFmtId="9" fontId="0" fillId="20" borderId="2" xfId="3" applyFont="1" applyFill="1" applyBorder="1" applyAlignment="1">
      <alignment horizontal="center"/>
    </xf>
    <xf numFmtId="0" fontId="0" fillId="0" borderId="0" xfId="0" applyAlignment="1">
      <alignment vertical="center" wrapText="1"/>
    </xf>
    <xf numFmtId="169" fontId="23" fillId="25" borderId="18" xfId="0" applyNumberFormat="1" applyFont="1" applyFill="1" applyBorder="1"/>
    <xf numFmtId="0" fontId="2" fillId="3" borderId="7" xfId="0" applyFont="1" applyFill="1" applyBorder="1"/>
    <xf numFmtId="0" fontId="2" fillId="3" borderId="0" xfId="0" applyFont="1" applyFill="1"/>
    <xf numFmtId="171" fontId="0" fillId="0" borderId="0" xfId="0" applyNumberFormat="1"/>
    <xf numFmtId="0" fontId="0" fillId="0" borderId="25" xfId="0" applyBorder="1"/>
    <xf numFmtId="1" fontId="32" fillId="3" borderId="19" xfId="2" applyNumberFormat="1" applyFont="1" applyFill="1" applyBorder="1" applyAlignment="1">
      <alignment horizontal="center"/>
    </xf>
    <xf numFmtId="169" fontId="0" fillId="0" borderId="0" xfId="0" applyNumberFormat="1"/>
    <xf numFmtId="42" fontId="0" fillId="0" borderId="0" xfId="0" applyNumberFormat="1"/>
    <xf numFmtId="0" fontId="2" fillId="0" borderId="3" xfId="0" applyFont="1" applyBorder="1"/>
    <xf numFmtId="172" fontId="2" fillId="0" borderId="3" xfId="0" applyNumberFormat="1" applyFont="1" applyBorder="1"/>
    <xf numFmtId="172" fontId="0" fillId="0" borderId="0" xfId="0" applyNumberFormat="1"/>
    <xf numFmtId="42" fontId="0" fillId="0" borderId="25" xfId="0" applyNumberFormat="1" applyBorder="1"/>
    <xf numFmtId="0" fontId="33" fillId="0" borderId="0" xfId="0" applyFont="1"/>
    <xf numFmtId="0" fontId="34" fillId="0" borderId="0" xfId="0" applyFont="1"/>
    <xf numFmtId="0" fontId="35" fillId="0" borderId="6" xfId="0" applyFont="1" applyBorder="1"/>
    <xf numFmtId="173" fontId="2" fillId="0" borderId="0" xfId="0" applyNumberFormat="1" applyFont="1"/>
    <xf numFmtId="173" fontId="36" fillId="23" borderId="6" xfId="5" applyNumberFormat="1" applyFill="1" applyBorder="1" applyAlignment="1" applyProtection="1">
      <alignment horizontal="center"/>
      <protection locked="0"/>
    </xf>
    <xf numFmtId="164" fontId="12" fillId="21" borderId="0" xfId="1" applyNumberFormat="1" applyFont="1" applyFill="1" applyAlignment="1">
      <alignment horizontal="center" vertical="center"/>
    </xf>
    <xf numFmtId="38" fontId="0" fillId="26" borderId="0" xfId="0" applyNumberFormat="1" applyFill="1" applyAlignment="1">
      <alignment vertical="center"/>
    </xf>
    <xf numFmtId="164" fontId="2" fillId="0" borderId="0" xfId="0" applyNumberFormat="1" applyFont="1" applyAlignment="1">
      <alignment horizontal="center"/>
    </xf>
    <xf numFmtId="166" fontId="4" fillId="15" borderId="26" xfId="2" applyFont="1" applyFill="1" applyBorder="1" applyAlignment="1">
      <alignment horizontal="center" vertical="center" wrapText="1"/>
    </xf>
    <xf numFmtId="166" fontId="4" fillId="15" borderId="0" xfId="2" applyFont="1" applyFill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66" fontId="4" fillId="15" borderId="27" xfId="2" applyFont="1" applyFill="1" applyBorder="1" applyAlignment="1">
      <alignment horizontal="center" vertical="center" wrapText="1"/>
    </xf>
    <xf numFmtId="166" fontId="8" fillId="4" borderId="2" xfId="2" applyFont="1" applyFill="1" applyBorder="1" applyAlignment="1">
      <alignment horizontal="left" vertical="center"/>
    </xf>
    <xf numFmtId="171" fontId="31" fillId="4" borderId="2" xfId="4" applyNumberFormat="1" applyFont="1" applyFill="1" applyBorder="1"/>
    <xf numFmtId="171" fontId="8" fillId="4" borderId="2" xfId="4" applyNumberFormat="1" applyFont="1" applyFill="1" applyBorder="1"/>
    <xf numFmtId="174" fontId="8" fillId="4" borderId="2" xfId="2" applyNumberFormat="1" applyFont="1" applyFill="1" applyBorder="1"/>
    <xf numFmtId="166" fontId="8" fillId="23" borderId="2" xfId="2" applyFont="1" applyFill="1" applyBorder="1" applyAlignment="1">
      <alignment horizontal="left" vertical="center"/>
    </xf>
    <xf numFmtId="174" fontId="8" fillId="23" borderId="2" xfId="2" applyNumberFormat="1" applyFont="1" applyFill="1" applyBorder="1"/>
    <xf numFmtId="166" fontId="31" fillId="0" borderId="2" xfId="2" applyFont="1" applyBorder="1"/>
    <xf numFmtId="171" fontId="31" fillId="26" borderId="2" xfId="4" applyNumberFormat="1" applyFont="1" applyFill="1" applyBorder="1"/>
    <xf numFmtId="171" fontId="31" fillId="0" borderId="2" xfId="4" applyNumberFormat="1" applyFont="1" applyFill="1" applyBorder="1"/>
    <xf numFmtId="0" fontId="0" fillId="27" borderId="16" xfId="0" applyFill="1" applyBorder="1"/>
    <xf numFmtId="38" fontId="8" fillId="23" borderId="2" xfId="2" applyNumberFormat="1" applyFont="1" applyFill="1" applyBorder="1"/>
    <xf numFmtId="174" fontId="8" fillId="23" borderId="2" xfId="2" applyNumberFormat="1" applyFont="1" applyFill="1" applyBorder="1" applyAlignment="1">
      <alignment horizontal="center"/>
    </xf>
    <xf numFmtId="166" fontId="31" fillId="0" borderId="2" xfId="2" applyFont="1" applyBorder="1" applyAlignment="1">
      <alignment horizontal="left" vertical="center" indent="2"/>
    </xf>
    <xf numFmtId="171" fontId="31" fillId="16" borderId="2" xfId="4" applyNumberFormat="1" applyFont="1" applyFill="1" applyBorder="1"/>
    <xf numFmtId="38" fontId="31" fillId="20" borderId="2" xfId="4" applyNumberFormat="1" applyFont="1" applyFill="1" applyBorder="1"/>
    <xf numFmtId="171" fontId="31" fillId="20" borderId="2" xfId="4" applyNumberFormat="1" applyFont="1" applyFill="1" applyBorder="1"/>
    <xf numFmtId="38" fontId="31" fillId="16" borderId="2" xfId="4" applyNumberFormat="1" applyFont="1" applyFill="1" applyBorder="1"/>
    <xf numFmtId="38" fontId="31" fillId="3" borderId="2" xfId="4" applyNumberFormat="1" applyFont="1" applyFill="1" applyBorder="1"/>
    <xf numFmtId="171" fontId="31" fillId="16" borderId="16" xfId="4" applyNumberFormat="1" applyFont="1" applyFill="1" applyBorder="1"/>
    <xf numFmtId="171" fontId="31" fillId="3" borderId="2" xfId="4" applyNumberFormat="1" applyFont="1" applyFill="1" applyBorder="1"/>
    <xf numFmtId="171" fontId="8" fillId="0" borderId="2" xfId="4" applyNumberFormat="1" applyFont="1" applyFill="1" applyBorder="1"/>
    <xf numFmtId="174" fontId="8" fillId="3" borderId="21" xfId="2" applyNumberFormat="1" applyFont="1" applyFill="1" applyBorder="1"/>
    <xf numFmtId="174" fontId="8" fillId="3" borderId="23" xfId="2" applyNumberFormat="1" applyFont="1" applyFill="1" applyBorder="1" applyAlignment="1">
      <alignment horizontal="center"/>
    </xf>
    <xf numFmtId="171" fontId="31" fillId="3" borderId="14" xfId="4" applyNumberFormat="1" applyFont="1" applyFill="1" applyBorder="1"/>
    <xf numFmtId="171" fontId="31" fillId="3" borderId="15" xfId="4" applyNumberFormat="1" applyFont="1" applyFill="1" applyBorder="1"/>
    <xf numFmtId="174" fontId="8" fillId="3" borderId="14" xfId="2" applyNumberFormat="1" applyFont="1" applyFill="1" applyBorder="1"/>
    <xf numFmtId="174" fontId="8" fillId="3" borderId="15" xfId="2" applyNumberFormat="1" applyFont="1" applyFill="1" applyBorder="1" applyAlignment="1">
      <alignment horizontal="center"/>
    </xf>
    <xf numFmtId="174" fontId="31" fillId="20" borderId="2" xfId="4" applyNumberFormat="1" applyFont="1" applyFill="1" applyBorder="1"/>
    <xf numFmtId="175" fontId="31" fillId="20" borderId="2" xfId="4" applyNumberFormat="1" applyFont="1" applyFill="1" applyBorder="1"/>
    <xf numFmtId="171" fontId="31" fillId="23" borderId="2" xfId="4" applyNumberFormat="1" applyFont="1" applyFill="1" applyBorder="1"/>
    <xf numFmtId="171" fontId="31" fillId="3" borderId="16" xfId="4" applyNumberFormat="1" applyFont="1" applyFill="1" applyBorder="1"/>
    <xf numFmtId="38" fontId="31" fillId="23" borderId="2" xfId="4" applyNumberFormat="1" applyFont="1" applyFill="1" applyBorder="1"/>
    <xf numFmtId="171" fontId="31" fillId="3" borderId="21" xfId="4" applyNumberFormat="1" applyFont="1" applyFill="1" applyBorder="1"/>
    <xf numFmtId="171" fontId="31" fillId="3" borderId="23" xfId="4" applyNumberFormat="1" applyFont="1" applyFill="1" applyBorder="1"/>
    <xf numFmtId="171" fontId="31" fillId="3" borderId="0" xfId="4" applyNumberFormat="1" applyFont="1" applyFill="1" applyBorder="1"/>
    <xf numFmtId="166" fontId="31" fillId="28" borderId="2" xfId="2" applyFont="1" applyFill="1" applyBorder="1" applyAlignment="1">
      <alignment horizontal="left" vertical="center" indent="2"/>
    </xf>
    <xf numFmtId="171" fontId="31" fillId="28" borderId="2" xfId="4" applyNumberFormat="1" applyFont="1" applyFill="1" applyBorder="1"/>
    <xf numFmtId="171" fontId="31" fillId="28" borderId="0" xfId="4" applyNumberFormat="1" applyFont="1" applyFill="1" applyBorder="1"/>
    <xf numFmtId="171" fontId="8" fillId="3" borderId="0" xfId="4" applyNumberFormat="1" applyFont="1" applyFill="1" applyBorder="1"/>
    <xf numFmtId="171" fontId="31" fillId="3" borderId="22" xfId="4" applyNumberFormat="1" applyFont="1" applyFill="1" applyBorder="1"/>
    <xf numFmtId="174" fontId="8" fillId="0" borderId="2" xfId="2" applyNumberFormat="1" applyFont="1" applyBorder="1"/>
    <xf numFmtId="9" fontId="31" fillId="20" borderId="16" xfId="3" applyFont="1" applyFill="1" applyBorder="1"/>
    <xf numFmtId="171" fontId="31" fillId="3" borderId="28" xfId="4" applyNumberFormat="1" applyFont="1" applyFill="1" applyBorder="1"/>
    <xf numFmtId="171" fontId="31" fillId="3" borderId="13" xfId="4" applyNumberFormat="1" applyFont="1" applyFill="1" applyBorder="1"/>
    <xf numFmtId="166" fontId="8" fillId="23" borderId="2" xfId="2" applyFont="1" applyFill="1" applyBorder="1"/>
    <xf numFmtId="174" fontId="31" fillId="0" borderId="2" xfId="2" applyNumberFormat="1" applyFont="1" applyBorder="1"/>
    <xf numFmtId="171" fontId="2" fillId="0" borderId="0" xfId="0" applyNumberFormat="1" applyFont="1"/>
    <xf numFmtId="176" fontId="2" fillId="29" borderId="2" xfId="6" applyFont="1" applyFill="1" applyBorder="1" applyAlignment="1">
      <alignment vertical="center"/>
    </xf>
    <xf numFmtId="174" fontId="8" fillId="29" borderId="2" xfId="2" applyNumberFormat="1" applyFont="1" applyFill="1" applyBorder="1" applyAlignment="1">
      <alignment vertical="center"/>
    </xf>
    <xf numFmtId="38" fontId="8" fillId="29" borderId="2" xfId="2" applyNumberFormat="1" applyFont="1" applyFill="1" applyBorder="1"/>
    <xf numFmtId="174" fontId="0" fillId="0" borderId="0" xfId="0" applyNumberFormat="1"/>
    <xf numFmtId="10" fontId="22" fillId="0" borderId="0" xfId="3" applyNumberFormat="1" applyFont="1" applyAlignment="1">
      <alignment horizontal="center"/>
    </xf>
    <xf numFmtId="0" fontId="0" fillId="20" borderId="0" xfId="0" applyFill="1"/>
    <xf numFmtId="0" fontId="0" fillId="20" borderId="0" xfId="0" quotePrefix="1" applyFill="1"/>
    <xf numFmtId="176" fontId="0" fillId="4" borderId="0" xfId="0" applyNumberFormat="1" applyFill="1"/>
    <xf numFmtId="38" fontId="11" fillId="9" borderId="0" xfId="1" applyNumberFormat="1" applyFont="1" applyFill="1"/>
    <xf numFmtId="38" fontId="0" fillId="26" borderId="0" xfId="0" applyNumberFormat="1" applyFill="1"/>
    <xf numFmtId="38" fontId="4" fillId="15" borderId="0" xfId="2" applyNumberFormat="1" applyFont="1" applyFill="1" applyAlignment="1">
      <alignment horizontal="center" vertical="center" wrapText="1"/>
    </xf>
    <xf numFmtId="38" fontId="8" fillId="30" borderId="2" xfId="4" applyNumberFormat="1" applyFont="1" applyFill="1" applyBorder="1" applyAlignment="1">
      <alignment horizontal="left" vertical="center"/>
    </xf>
    <xf numFmtId="38" fontId="31" fillId="30" borderId="2" xfId="2" applyNumberFormat="1" applyFont="1" applyFill="1" applyBorder="1"/>
    <xf numFmtId="38" fontId="8" fillId="23" borderId="0" xfId="2" applyNumberFormat="1" applyFont="1" applyFill="1" applyAlignment="1">
      <alignment horizontal="center" vertical="center" wrapText="1"/>
    </xf>
    <xf numFmtId="38" fontId="0" fillId="0" borderId="2" xfId="4" applyNumberFormat="1" applyFont="1" applyBorder="1" applyAlignment="1">
      <alignment horizontal="left" vertical="center" indent="1"/>
    </xf>
    <xf numFmtId="38" fontId="8" fillId="20" borderId="2" xfId="2" applyNumberFormat="1" applyFont="1" applyFill="1" applyBorder="1"/>
    <xf numFmtId="38" fontId="31" fillId="31" borderId="2" xfId="2" applyNumberFormat="1" applyFont="1" applyFill="1" applyBorder="1"/>
    <xf numFmtId="38" fontId="31" fillId="20" borderId="2" xfId="4" applyNumberFormat="1" applyFont="1" applyFill="1" applyBorder="1" applyAlignment="1">
      <alignment vertical="center"/>
    </xf>
    <xf numFmtId="38" fontId="31" fillId="3" borderId="2" xfId="4" applyNumberFormat="1" applyFont="1" applyFill="1" applyBorder="1" applyAlignment="1">
      <alignment vertical="center"/>
    </xf>
    <xf numFmtId="38" fontId="31" fillId="0" borderId="2" xfId="2" applyNumberFormat="1" applyFont="1" applyBorder="1"/>
    <xf numFmtId="38" fontId="0" fillId="0" borderId="2" xfId="0" applyNumberFormat="1" applyBorder="1"/>
    <xf numFmtId="38" fontId="0" fillId="0" borderId="0" xfId="0" applyNumberFormat="1" applyAlignment="1">
      <alignment horizontal="center"/>
    </xf>
    <xf numFmtId="38" fontId="31" fillId="0" borderId="2" xfId="2" applyNumberFormat="1" applyFont="1" applyBorder="1" applyAlignment="1">
      <alignment horizontal="left" vertical="center" indent="2"/>
    </xf>
    <xf numFmtId="38" fontId="31" fillId="20" borderId="2" xfId="2" applyNumberFormat="1" applyFont="1" applyFill="1" applyBorder="1"/>
    <xf numFmtId="38" fontId="31" fillId="0" borderId="2" xfId="4" applyNumberFormat="1" applyFont="1" applyFill="1" applyBorder="1"/>
    <xf numFmtId="38" fontId="8" fillId="26" borderId="2" xfId="2" applyNumberFormat="1" applyFont="1" applyFill="1" applyBorder="1"/>
    <xf numFmtId="38" fontId="31" fillId="23" borderId="2" xfId="4" applyNumberFormat="1" applyFont="1" applyFill="1" applyBorder="1" applyAlignment="1">
      <alignment vertical="center"/>
    </xf>
    <xf numFmtId="38" fontId="31" fillId="23" borderId="2" xfId="2" applyNumberFormat="1" applyFont="1" applyFill="1" applyBorder="1"/>
    <xf numFmtId="38" fontId="8" fillId="16" borderId="2" xfId="2" applyNumberFormat="1" applyFont="1" applyFill="1" applyBorder="1"/>
    <xf numFmtId="38" fontId="31" fillId="0" borderId="2" xfId="4" applyNumberFormat="1" applyFont="1" applyFill="1" applyBorder="1" applyAlignment="1">
      <alignment horizontal="left" vertical="center" indent="2"/>
    </xf>
    <xf numFmtId="38" fontId="37" fillId="0" borderId="2" xfId="7" applyNumberFormat="1" applyFont="1" applyFill="1" applyBorder="1" applyAlignment="1">
      <alignment horizontal="left" vertical="center" indent="2"/>
    </xf>
    <xf numFmtId="38" fontId="38" fillId="0" borderId="2" xfId="2" applyNumberFormat="1" applyFont="1" applyBorder="1"/>
    <xf numFmtId="38" fontId="2" fillId="29" borderId="2" xfId="6" applyNumberFormat="1" applyFont="1" applyFill="1" applyBorder="1" applyAlignment="1">
      <alignment vertical="center"/>
    </xf>
    <xf numFmtId="38" fontId="8" fillId="29" borderId="2" xfId="2" applyNumberFormat="1" applyFont="1" applyFill="1" applyBorder="1" applyAlignment="1">
      <alignment vertical="center"/>
    </xf>
    <xf numFmtId="38" fontId="22" fillId="0" borderId="0" xfId="0" applyNumberFormat="1" applyFont="1" applyAlignment="1">
      <alignment horizontal="right"/>
    </xf>
    <xf numFmtId="40" fontId="8" fillId="23" borderId="2" xfId="2" applyNumberFormat="1" applyFont="1" applyFill="1" applyBorder="1"/>
    <xf numFmtId="40" fontId="0" fillId="0" borderId="0" xfId="0" applyNumberFormat="1"/>
    <xf numFmtId="42" fontId="2" fillId="0" borderId="0" xfId="0" applyNumberFormat="1" applyFont="1"/>
    <xf numFmtId="6" fontId="0" fillId="0" borderId="2" xfId="0" applyNumberFormat="1" applyBorder="1"/>
    <xf numFmtId="0" fontId="0" fillId="3" borderId="29" xfId="0" applyFill="1" applyBorder="1"/>
    <xf numFmtId="0" fontId="39" fillId="0" borderId="2" xfId="0" applyFont="1" applyBorder="1"/>
    <xf numFmtId="0" fontId="40" fillId="0" borderId="2" xfId="1" applyFont="1" applyBorder="1"/>
    <xf numFmtId="42" fontId="41" fillId="0" borderId="30" xfId="0" applyNumberFormat="1" applyFont="1" applyBorder="1"/>
    <xf numFmtId="0" fontId="2" fillId="4" borderId="3" xfId="0" applyFont="1" applyFill="1" applyBorder="1" applyAlignment="1">
      <alignment horizontal="center"/>
    </xf>
    <xf numFmtId="6" fontId="2" fillId="0" borderId="2" xfId="0" applyNumberFormat="1" applyFont="1" applyBorder="1"/>
    <xf numFmtId="42" fontId="2" fillId="4" borderId="31" xfId="0" applyNumberFormat="1" applyFont="1" applyFill="1" applyBorder="1" applyAlignment="1">
      <alignment horizontal="center"/>
    </xf>
    <xf numFmtId="44" fontId="3" fillId="29" borderId="2" xfId="1" applyNumberFormat="1" applyFill="1" applyBorder="1"/>
    <xf numFmtId="0" fontId="42" fillId="0" borderId="0" xfId="0" applyFont="1" applyAlignment="1">
      <alignment horizontal="right"/>
    </xf>
    <xf numFmtId="42" fontId="2" fillId="0" borderId="12" xfId="0" applyNumberFormat="1" applyFont="1" applyBorder="1"/>
    <xf numFmtId="0" fontId="2" fillId="28" borderId="6" xfId="0" applyFont="1" applyFill="1" applyBorder="1" applyAlignment="1">
      <alignment horizontal="center" vertical="center"/>
    </xf>
    <xf numFmtId="0" fontId="4" fillId="32" borderId="6" xfId="0" applyFont="1" applyFill="1" applyBorder="1" applyAlignment="1">
      <alignment horizontal="center" vertical="center"/>
    </xf>
    <xf numFmtId="169" fontId="24" fillId="9" borderId="0" xfId="0" applyNumberFormat="1" applyFont="1" applyFill="1" applyAlignment="1">
      <alignment horizontal="center" vertical="center"/>
    </xf>
    <xf numFmtId="44" fontId="2" fillId="0" borderId="0" xfId="0" applyNumberFormat="1" applyFont="1"/>
    <xf numFmtId="0" fontId="2" fillId="3" borderId="2" xfId="0" applyFont="1" applyFill="1" applyBorder="1"/>
    <xf numFmtId="0" fontId="2" fillId="3" borderId="2" xfId="0" applyFont="1" applyFill="1" applyBorder="1" applyAlignment="1">
      <alignment horizontal="center"/>
    </xf>
    <xf numFmtId="8" fontId="0" fillId="0" borderId="0" xfId="0" applyNumberFormat="1" applyAlignment="1">
      <alignment horizontal="center"/>
    </xf>
    <xf numFmtId="169" fontId="2" fillId="0" borderId="32" xfId="0" applyNumberFormat="1" applyFont="1" applyBorder="1" applyAlignment="1">
      <alignment readingOrder="2"/>
    </xf>
    <xf numFmtId="6" fontId="31" fillId="0" borderId="16" xfId="4" applyNumberFormat="1" applyFont="1" applyFill="1" applyBorder="1"/>
    <xf numFmtId="169" fontId="31" fillId="0" borderId="16" xfId="4" applyNumberFormat="1" applyFont="1" applyFill="1" applyBorder="1"/>
    <xf numFmtId="169" fontId="2" fillId="0" borderId="32" xfId="0" applyNumberFormat="1" applyFont="1" applyBorder="1"/>
    <xf numFmtId="169" fontId="0" fillId="3" borderId="0" xfId="0" applyNumberFormat="1" applyFill="1"/>
    <xf numFmtId="169" fontId="0" fillId="20" borderId="0" xfId="0" applyNumberFormat="1" applyFill="1"/>
    <xf numFmtId="10" fontId="0" fillId="20" borderId="0" xfId="3" applyNumberFormat="1" applyFont="1" applyFill="1" applyBorder="1" applyAlignment="1">
      <alignment horizontal="center"/>
    </xf>
    <xf numFmtId="0" fontId="2" fillId="26" borderId="3" xfId="0" applyFont="1" applyFill="1" applyBorder="1"/>
    <xf numFmtId="6" fontId="0" fillId="26" borderId="2" xfId="0" applyNumberFormat="1" applyFill="1" applyBorder="1"/>
    <xf numFmtId="6" fontId="0" fillId="29" borderId="2" xfId="0" applyNumberFormat="1" applyFill="1" applyBorder="1"/>
    <xf numFmtId="6" fontId="2" fillId="26" borderId="2" xfId="0" applyNumberFormat="1" applyFont="1" applyFill="1" applyBorder="1"/>
    <xf numFmtId="6" fontId="2" fillId="4" borderId="2" xfId="0" applyNumberFormat="1" applyFont="1" applyFill="1" applyBorder="1"/>
    <xf numFmtId="9" fontId="43" fillId="2" borderId="0" xfId="0" applyNumberFormat="1" applyFont="1" applyFill="1" applyAlignment="1">
      <alignment horizontal="center" vertical="center"/>
    </xf>
    <xf numFmtId="8" fontId="31" fillId="0" borderId="16" xfId="4" applyNumberFormat="1" applyFont="1" applyFill="1" applyBorder="1"/>
    <xf numFmtId="169" fontId="2" fillId="0" borderId="32" xfId="0" applyNumberFormat="1" applyFont="1" applyBorder="1" applyAlignment="1">
      <alignment horizontal="center"/>
    </xf>
    <xf numFmtId="8" fontId="0" fillId="0" borderId="0" xfId="0" applyNumberFormat="1"/>
    <xf numFmtId="0" fontId="24" fillId="0" borderId="0" xfId="0" applyFont="1" applyAlignment="1">
      <alignment horizontal="center"/>
    </xf>
    <xf numFmtId="1" fontId="32" fillId="3" borderId="21" xfId="2" applyNumberFormat="1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38" fontId="31" fillId="0" borderId="2" xfId="4" applyNumberFormat="1" applyFont="1" applyFill="1" applyBorder="1" applyAlignment="1">
      <alignment vertical="center"/>
    </xf>
    <xf numFmtId="0" fontId="44" fillId="0" borderId="2" xfId="0" applyFont="1" applyBorder="1" applyAlignment="1">
      <alignment horizontal="right"/>
    </xf>
    <xf numFmtId="0" fontId="45" fillId="0" borderId="0" xfId="0" applyFont="1"/>
    <xf numFmtId="177" fontId="45" fillId="0" borderId="0" xfId="0" applyNumberFormat="1" applyFont="1"/>
    <xf numFmtId="0" fontId="2" fillId="26" borderId="2" xfId="0" applyFont="1" applyFill="1" applyBorder="1"/>
    <xf numFmtId="6" fontId="0" fillId="3" borderId="2" xfId="0" applyNumberFormat="1" applyFill="1" applyBorder="1"/>
    <xf numFmtId="0" fontId="31" fillId="0" borderId="2" xfId="4" applyNumberFormat="1" applyFont="1" applyFill="1" applyBorder="1" applyAlignment="1">
      <alignment vertical="center"/>
    </xf>
    <xf numFmtId="0" fontId="46" fillId="0" borderId="0" xfId="0" applyFont="1" applyAlignment="1">
      <alignment horizontal="center"/>
    </xf>
    <xf numFmtId="0" fontId="47" fillId="33" borderId="0" xfId="0" applyFont="1" applyFill="1"/>
    <xf numFmtId="0" fontId="48" fillId="34" borderId="33" xfId="0" applyFont="1" applyFill="1" applyBorder="1"/>
    <xf numFmtId="0" fontId="34" fillId="34" borderId="33" xfId="0" applyFont="1" applyFill="1" applyBorder="1"/>
    <xf numFmtId="169" fontId="0" fillId="34" borderId="33" xfId="0" applyNumberFormat="1" applyFill="1" applyBorder="1"/>
    <xf numFmtId="9" fontId="0" fillId="0" borderId="0" xfId="3" applyFont="1"/>
    <xf numFmtId="0" fontId="36" fillId="33" borderId="34" xfId="0" applyFont="1" applyFill="1" applyBorder="1"/>
    <xf numFmtId="0" fontId="49" fillId="0" borderId="0" xfId="0" applyFont="1"/>
    <xf numFmtId="0" fontId="41" fillId="20" borderId="33" xfId="0" applyFont="1" applyFill="1" applyBorder="1"/>
    <xf numFmtId="0" fontId="2" fillId="20" borderId="33" xfId="0" applyFont="1" applyFill="1" applyBorder="1"/>
    <xf numFmtId="169" fontId="2" fillId="20" borderId="33" xfId="0" applyNumberFormat="1" applyFont="1" applyFill="1" applyBorder="1"/>
    <xf numFmtId="9" fontId="2" fillId="0" borderId="0" xfId="3" applyFont="1" applyAlignment="1">
      <alignment horizontal="center"/>
    </xf>
    <xf numFmtId="0" fontId="50" fillId="33" borderId="0" xfId="0" applyFont="1" applyFill="1"/>
    <xf numFmtId="0" fontId="51" fillId="33" borderId="0" xfId="0" applyFont="1" applyFill="1"/>
    <xf numFmtId="0" fontId="51" fillId="33" borderId="34" xfId="0" applyFont="1" applyFill="1" applyBorder="1"/>
    <xf numFmtId="44" fontId="0" fillId="20" borderId="35" xfId="0" applyNumberFormat="1" applyFill="1" applyBorder="1"/>
    <xf numFmtId="169" fontId="2" fillId="34" borderId="33" xfId="0" applyNumberFormat="1" applyFont="1" applyFill="1" applyBorder="1"/>
    <xf numFmtId="0" fontId="48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48" fillId="0" borderId="0" xfId="0" applyFont="1"/>
    <xf numFmtId="169" fontId="2" fillId="6" borderId="33" xfId="0" applyNumberFormat="1" applyFont="1" applyFill="1" applyBorder="1"/>
    <xf numFmtId="0" fontId="52" fillId="0" borderId="0" xfId="0" applyFont="1"/>
    <xf numFmtId="172" fontId="2" fillId="20" borderId="33" xfId="0" applyNumberFormat="1" applyFont="1" applyFill="1" applyBorder="1"/>
    <xf numFmtId="0" fontId="29" fillId="9" borderId="0" xfId="0" applyFont="1" applyFill="1" applyAlignment="1">
      <alignment horizontal="right"/>
    </xf>
    <xf numFmtId="178" fontId="29" fillId="9" borderId="0" xfId="0" applyNumberFormat="1" applyFont="1" applyFill="1"/>
    <xf numFmtId="0" fontId="29" fillId="0" borderId="0" xfId="0" applyFont="1"/>
    <xf numFmtId="0" fontId="53" fillId="0" borderId="0" xfId="0" applyFont="1"/>
    <xf numFmtId="0" fontId="54" fillId="0" borderId="0" xfId="8" applyFont="1" applyAlignment="1">
      <alignment horizontal="center"/>
    </xf>
    <xf numFmtId="0" fontId="0" fillId="0" borderId="34" xfId="0" applyBorder="1"/>
    <xf numFmtId="0" fontId="0" fillId="0" borderId="36" xfId="0" applyBorder="1"/>
    <xf numFmtId="0" fontId="55" fillId="0" borderId="0" xfId="8" quotePrefix="1" applyFont="1"/>
    <xf numFmtId="0" fontId="55" fillId="0" borderId="0" xfId="8" applyFont="1"/>
    <xf numFmtId="0" fontId="55" fillId="33" borderId="0" xfId="8" applyFont="1" applyFill="1"/>
    <xf numFmtId="0" fontId="56" fillId="33" borderId="0" xfId="8" applyFont="1" applyFill="1"/>
    <xf numFmtId="0" fontId="47" fillId="0" borderId="0" xfId="0" applyFont="1"/>
    <xf numFmtId="0" fontId="2" fillId="0" borderId="34" xfId="0" applyFont="1" applyBorder="1"/>
    <xf numFmtId="0" fontId="2" fillId="0" borderId="36" xfId="0" applyFont="1" applyBorder="1"/>
    <xf numFmtId="0" fontId="2" fillId="5" borderId="33" xfId="0" applyFont="1" applyFill="1" applyBorder="1"/>
    <xf numFmtId="169" fontId="2" fillId="5" borderId="33" xfId="0" applyNumberFormat="1" applyFont="1" applyFill="1" applyBorder="1"/>
    <xf numFmtId="0" fontId="2" fillId="0" borderId="33" xfId="0" applyFont="1" applyBorder="1"/>
    <xf numFmtId="169" fontId="2" fillId="0" borderId="33" xfId="0" applyNumberFormat="1" applyFont="1" applyBorder="1"/>
    <xf numFmtId="0" fontId="5" fillId="0" borderId="34" xfId="0" applyFont="1" applyBorder="1"/>
    <xf numFmtId="0" fontId="5" fillId="0" borderId="36" xfId="0" applyFont="1" applyBorder="1"/>
    <xf numFmtId="0" fontId="5" fillId="0" borderId="0" xfId="0" applyFont="1"/>
    <xf numFmtId="0" fontId="57" fillId="0" borderId="36" xfId="0" applyFont="1" applyBorder="1"/>
    <xf numFmtId="0" fontId="47" fillId="0" borderId="0" xfId="0" quotePrefix="1" applyFont="1"/>
    <xf numFmtId="0" fontId="50" fillId="0" borderId="0" xfId="0" applyFont="1"/>
    <xf numFmtId="0" fontId="58" fillId="0" borderId="36" xfId="0" applyFont="1" applyBorder="1"/>
    <xf numFmtId="169" fontId="0" fillId="6" borderId="0" xfId="0" applyNumberFormat="1" applyFill="1"/>
    <xf numFmtId="0" fontId="4" fillId="9" borderId="0" xfId="0" applyFont="1" applyFill="1"/>
    <xf numFmtId="169" fontId="29" fillId="9" borderId="0" xfId="0" applyNumberFormat="1" applyFont="1" applyFill="1"/>
    <xf numFmtId="1" fontId="2" fillId="0" borderId="0" xfId="0" applyNumberFormat="1" applyFont="1"/>
    <xf numFmtId="1" fontId="2" fillId="0" borderId="0" xfId="0" applyNumberFormat="1" applyFont="1" applyAlignment="1">
      <alignment horizontal="right"/>
    </xf>
    <xf numFmtId="0" fontId="0" fillId="0" borderId="37" xfId="0" applyBorder="1"/>
    <xf numFmtId="0" fontId="59" fillId="33" borderId="36" xfId="0" applyFont="1" applyFill="1" applyBorder="1"/>
    <xf numFmtId="0" fontId="59" fillId="33" borderId="0" xfId="0" applyFont="1" applyFill="1"/>
    <xf numFmtId="174" fontId="0" fillId="0" borderId="2" xfId="0" applyNumberFormat="1" applyBorder="1"/>
    <xf numFmtId="0" fontId="59" fillId="33" borderId="37" xfId="0" applyFont="1" applyFill="1" applyBorder="1"/>
    <xf numFmtId="0" fontId="60" fillId="33" borderId="0" xfId="0" applyFont="1" applyFill="1"/>
    <xf numFmtId="42" fontId="36" fillId="23" borderId="6" xfId="5" applyNumberFormat="1" applyFill="1" applyBorder="1" applyAlignment="1" applyProtection="1">
      <alignment horizontal="center"/>
      <protection locked="0"/>
    </xf>
    <xf numFmtId="0" fontId="33" fillId="0" borderId="33" xfId="0" applyFont="1" applyBorder="1"/>
    <xf numFmtId="0" fontId="51" fillId="33" borderId="33" xfId="0" applyFont="1" applyFill="1" applyBorder="1"/>
    <xf numFmtId="169" fontId="33" fillId="3" borderId="0" xfId="0" applyNumberFormat="1" applyFont="1" applyFill="1"/>
  </cellXfs>
  <cellStyles count="15">
    <cellStyle name="Normal" xfId="0" builtinId="0"/>
    <cellStyle name="Hyperlink" xfId="1" builtinId="8"/>
    <cellStyle name="Normale 3" xfId="2"/>
    <cellStyle name="Percent" xfId="3" builtinId="5"/>
    <cellStyle name="Migliaia 2" xfId="4"/>
    <cellStyle name="Excel Built-in Normal" xfId="5"/>
    <cellStyle name="Migliaia 3" xfId="6"/>
    <cellStyle name="Comma" xfId="7" builtinId="3"/>
    <cellStyle name="Normal 3" xfId="8"/>
    <cellStyle name="Colore 5 2" xfId="9"/>
    <cellStyle name="Euro" xfId="10"/>
    <cellStyle name="Migliaia 2 2" xfId="11"/>
    <cellStyle name="Migliaia 3 2" xfId="12"/>
    <cellStyle name="Migliaia 4" xfId="13"/>
    <cellStyle name="Valuta 2" xfId="14"/>
  </cellStyles>
  <dxfs count="7">
    <dxf>
      <fill>
        <patternFill>
          <bgColor theme="9" tint="0.799768059327982"/>
        </patternFill>
      </fill>
    </dxf>
    <dxf>
      <font>
        <b val="0"/>
        <i val="0"/>
        <strike val="0"/>
        <color theme="1"/>
      </font>
      <fill>
        <patternFill>
          <bgColor theme="8" tint="0.799768059327982"/>
        </patternFill>
      </fill>
    </dxf>
    <dxf>
      <font>
        <b val="0"/>
        <i val="0"/>
        <strike val="0"/>
        <color theme="1"/>
      </font>
      <fill>
        <patternFill>
          <bgColor theme="7" tint="0.799768059327982"/>
        </patternFill>
      </fill>
    </dxf>
    <dxf>
      <font>
        <color rgb="FF9C0006"/>
      </font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Relationship Id="rId24" Type="http://schemas.openxmlformats.org/officeDocument/2006/relationships/worksheet" Target="worksheets/sheet24.xml" /><Relationship Id="rId25" Type="http://schemas.openxmlformats.org/officeDocument/2006/relationships/worksheet" Target="worksheets/sheet25.xml" /><Relationship Id="rId26" Type="http://schemas.openxmlformats.org/officeDocument/2006/relationships/worksheet" Target="worksheets/sheet26.xml" /><Relationship Id="rId27" Type="http://schemas.openxmlformats.org/officeDocument/2006/relationships/worksheet" Target="worksheets/sheet27.xml" /><Relationship Id="rId28" Type="http://schemas.openxmlformats.org/officeDocument/2006/relationships/worksheet" Target="worksheets/sheet28.xml" /><Relationship Id="rId29" Type="http://schemas.openxmlformats.org/officeDocument/2006/relationships/worksheet" Target="worksheets/sheet29.xml" /><Relationship Id="rId30" Type="http://schemas.openxmlformats.org/officeDocument/2006/relationships/worksheet" Target="worksheets/sheet30.xml" /><Relationship Id="rId31" Type="http://schemas.openxmlformats.org/officeDocument/2006/relationships/worksheet" Target="worksheets/sheet31.xml" /><Relationship Id="rId32" Type="http://schemas.openxmlformats.org/officeDocument/2006/relationships/worksheet" Target="worksheets/sheet32.xml" /><Relationship Id="rId33" Type="http://schemas.openxmlformats.org/officeDocument/2006/relationships/worksheet" Target="worksheets/sheet33.xml" /><Relationship Id="rId34" Type="http://schemas.openxmlformats.org/officeDocument/2006/relationships/worksheet" Target="worksheets/sheet34.xml" /><Relationship Id="rId35" Type="http://schemas.openxmlformats.org/officeDocument/2006/relationships/worksheet" Target="worksheets/sheet35.xml" /><Relationship Id="rId36" Type="http://schemas.openxmlformats.org/officeDocument/2006/relationships/worksheet" Target="worksheets/sheet36.xml" /><Relationship Id="rId37" Type="http://schemas.openxmlformats.org/officeDocument/2006/relationships/worksheet" Target="worksheets/sheet37.xml" /><Relationship Id="rId38" Type="http://schemas.openxmlformats.org/officeDocument/2006/relationships/customXml" Target="../customXml/item1.xml" /><Relationship Id="rId39" Type="http://schemas.openxmlformats.org/officeDocument/2006/relationships/styles" Target="styles.xml" /><Relationship Id="rId40" Type="http://schemas.openxmlformats.org/officeDocument/2006/relationships/theme" Target="theme/theme1.xml" /><Relationship Id="rId41" Type="http://schemas.openxmlformats.org/officeDocument/2006/relationships/sharedStrings" Target="sharedStrings.xml" /><Relationship Id="rId42" Type="http://schemas.microsoft.com/office/2017/10/relationships/person" Target="persons/person.xml" /></Relationships>
</file>

<file path=xl/persons/person.xml><?xml version="1.0" encoding="utf-8"?>
<personList xmlns="http://schemas.microsoft.com/office/spreadsheetml/2018/threadedcomments">
  <person displayName="Gianluca Pettinella" id="{308176E9-D2A0-4A6A-A191-9931C5655A5D}" userId="Gianluca Pettinella" providerId="None"/>
</personList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threadedComments/threadedComment1.xml><?xml version="1.0" encoding="utf-8"?>
<ThreadedComments xmlns="http://schemas.microsoft.com/office/spreadsheetml/2018/threadedcomments">
  <threadedComment ref="D46" dT="2021-09-13T14:42:57.64" personId="{308176E9-D2A0-4A6A-A191-9931C5655A5D}" id="{2049FD67-C2FA-FF47-A9B8-B4C2FC0DFE30}">
    <text>Agenti, artigiani, Cooperative ed eventuali fornitori con privilegi</text>
  </threadedComment>
</ThreadedComment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1.xml" /></Relationships>
</file>

<file path=xl/worksheets/_rels/sheet1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19.xml.rels>&#65279;<?xml version="1.0" encoding="utf-8"?>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2.xml" /><Relationship Id="rId3" Type="http://schemas.microsoft.com/office/2017/10/relationships/threadedComment" Target="../threadedComments/threadedComment1.xml" /></Relationships>
</file>

<file path=xl/worksheets/_rels/sheet2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2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28.xml.rels>&#65279;<?xml version="1.0" encoding="utf-8"?>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3.xml" /></Relationships>
</file>

<file path=xl/worksheets/_rels/sheet29.xml.rels>&#65279;<?xml version="1.0" encoding="utf-8"?><Relationships xmlns="http://schemas.openxmlformats.org/package/2006/relationships"><Relationship Id="rId1" Type="http://schemas.openxmlformats.org/officeDocument/2006/relationships/hyperlink" Target="../../../../../../Desktop/Piano%20risanamento%20art.56%20.xlsx" TargetMode="External" /><Relationship Id="rId2" Type="http://schemas.openxmlformats.org/officeDocument/2006/relationships/printerSettings" Target="../printerSettings/printerSettings5.bin" /></Relationships>
</file>

<file path=xl/worksheets/_rels/sheet3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3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3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3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3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3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zoomScale="150" zoomScaleNormal="150" workbookViewId="0">
      <selection activeCell="B8" sqref="B8"/>
    </sheetView>
  </sheetViews>
  <sheetFormatPr defaultColWidth="11.42578" defaultRowHeight="15"/>
  <cols>
    <col min="3" max="4" width="25" customWidth="1"/>
    <col min="5" max="5" width="50.85547" bestFit="1" customWidth="1"/>
  </cols>
  <sheetData>
    <row r="3" ht="14.5">
      <c r="C3" t="s">
        <v>0</v>
      </c>
      <c r="D3" t="s">
        <v>1</v>
      </c>
      <c r="E3" t="s">
        <v>2</v>
      </c>
    </row>
    <row r="4" ht="14.5">
      <c r="B4" t="s">
        <v>3</v>
      </c>
      <c r="C4" t="s">
        <v>4</v>
      </c>
      <c r="E4" t="s">
        <v>5</v>
      </c>
    </row>
    <row r="5" ht="14.5">
      <c r="B5" t="s">
        <v>3</v>
      </c>
      <c r="C5" t="s">
        <v>6</v>
      </c>
    </row>
    <row r="6" ht="14.5">
      <c r="B6" t="s">
        <v>7</v>
      </c>
      <c r="C6" t="s">
        <v>8</v>
      </c>
    </row>
    <row r="7" ht="14.5">
      <c r="B7" t="s">
        <v>7</v>
      </c>
      <c r="D7" t="s">
        <v>9</v>
      </c>
    </row>
    <row r="8" ht="14.5">
      <c r="B8" t="s">
        <v>10</v>
      </c>
      <c r="C8" t="s">
        <v>11</v>
      </c>
      <c r="D8" t="s">
        <v>11</v>
      </c>
    </row>
    <row r="9" ht="14.5">
      <c r="B9" t="s">
        <v>12</v>
      </c>
      <c r="C9" t="s">
        <v>13</v>
      </c>
      <c r="D9" t="s">
        <v>13</v>
      </c>
    </row>
    <row r="16" ht="14.5">
      <c r="D16" t="s">
        <v>14</v>
      </c>
    </row>
    <row r="17" ht="14.5">
      <c r="C17" t="s">
        <v>15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showGridLines="0" workbookViewId="0"/>
  </sheetViews>
  <sheetFormatPr defaultRowHeight="15"/>
  <cols>
    <col min="2" max="2" width="49.42578" bestFit="1" customWidth="1"/>
    <col min="3" max="3" width="22.57031" customWidth="1"/>
  </cols>
  <sheetData>
    <row r="1" ht="14.5">
      <c r="B1" s="8">
        <v>45917</v>
      </c>
    </row>
    <row r="2" ht="14.5">
      <c r="B2" s="9" t="s">
        <v>16</v>
      </c>
    </row>
    <row r="4" ht="14.5">
      <c r="B4" s="10" t="s">
        <v>17</v>
      </c>
    </row>
    <row r="5" ht="14.5">
      <c r="B5" s="9" t="s">
        <v>18</v>
      </c>
    </row>
    <row r="6" ht="14.5">
      <c r="B6" s="9" t="s">
        <v>19</v>
      </c>
    </row>
    <row r="7" ht="14.5">
      <c r="B7" s="9" t="s">
        <v>20</v>
      </c>
    </row>
    <row r="8" ht="14.5">
      <c r="B8" s="9" t="s">
        <v>21</v>
      </c>
    </row>
    <row r="9" ht="14.5">
      <c r="B9" s="9" t="s">
        <v>22</v>
      </c>
    </row>
    <row r="10" ht="14.5">
      <c r="B10" s="9" t="s">
        <v>23</v>
      </c>
    </row>
    <row r="11" ht="14.5">
      <c r="B11" s="9" t="s">
        <v>24</v>
      </c>
    </row>
    <row r="12" ht="14.5">
      <c r="B12" s="9" t="s">
        <v>25</v>
      </c>
    </row>
    <row r="13" ht="14.5">
      <c r="B13" s="9" t="s">
        <v>26</v>
      </c>
    </row>
    <row r="14" ht="14.5">
      <c r="B14" s="9" t="s">
        <v>27</v>
      </c>
    </row>
    <row r="15" ht="14.5">
      <c r="B15" s="9" t="s">
        <v>28</v>
      </c>
    </row>
  </sheetData>
  <hyperlinks>
    <hyperlink ref="B2" location="BCTool!A1" display="PARAMETRI SW"/>
    <hyperlink ref="B5" location="SW_SP_CONTI!A1" display="ANAGRAFICA PDC SP"/>
    <hyperlink ref="B6" location="SW_CE_CONTI!A1" display="ANAGRAFICA PDC CE"/>
    <hyperlink ref="B7" location="'SW_BUDGET-01'!A1" display="BUDGET ANNUALE"/>
    <hyperlink ref="B8" location="'SW_SP_BIL-01'!A1" display="BILANCI CONSUNTIVI SP RICLASSIFICATI PdC"/>
    <hyperlink ref="B9" location="'SW_CE_BIL-01'!A1" display="BILANCI CONSUNTIVI CE RICLASSIFICATI PdC"/>
    <hyperlink ref="B10" location="'SW_SP_REP-01'!A1" display="ULTIMO BILANCI CONSUNTIVI SP da PdC Aziendale"/>
    <hyperlink ref="B11" location="'SW_CE_REP-01'!A1" display="ULTIMO BILANCI CONSUNTIVI CE da PdC Aziendale"/>
    <hyperlink ref="B12" location="'SW_FOR_FIN_OF-01'!A1" display="FORECAST ONERI FINANZIARI RATE FINANZIAMENTI"/>
    <hyperlink ref="B13" location="'SW_FOR_FIN_QC-01'!A1" display="FORECAST QUOTE CAPITALE RATE FINANZIAMENTI"/>
    <hyperlink ref="B14" location="'SW_FOR_TRI_OF-01'!A1" display="FORECAST ONERI FINANZIARI RATEIZZAZIONI TRIBUTARIE"/>
    <hyperlink ref="B15" location="'SW_FOR_TRI_QC-01'!A1" display="FORECAST QUOTE CAPITALE RATEIZZAZIONE TRIBUTARIE"/>
  </hyperlinks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 topLeftCell="B1">
      <selection activeCell="L17" sqref="L17"/>
    </sheetView>
  </sheetViews>
  <sheetFormatPr defaultRowHeight="15"/>
  <cols>
    <col min="1" max="1" width="4.855469" customWidth="1"/>
    <col min="2" max="2" width="21.57031" style="11" customWidth="1"/>
    <col min="3" max="4" width="3.140625" style="12" bestFit="1" customWidth="1"/>
    <col min="5" max="5" width="50.57031" style="12" customWidth="1"/>
    <col min="6" max="6" width="21.85547" style="11" customWidth="1"/>
    <col min="7" max="7" width="10" style="12" bestFit="1" customWidth="1"/>
    <col min="8" max="8" width="8.855469" style="12"/>
    <col min="10" max="10" width="4.425781" bestFit="1" customWidth="1"/>
    <col min="11" max="11" width="46.57031" bestFit="1" customWidth="1"/>
    <col min="12" max="12" width="25.42578" customWidth="1"/>
  </cols>
  <sheetData>
    <row r="1" ht="14.5">
      <c r="B1" s="13" t="s">
        <v>29</v>
      </c>
      <c r="C1"/>
      <c r="D1"/>
      <c r="E1"/>
      <c r="G1"/>
      <c r="H1"/>
    </row>
    <row r="2" ht="14.5">
      <c r="B2" s="14" t="s">
        <v>30</v>
      </c>
      <c r="C2" s="15" t="s">
        <v>31</v>
      </c>
      <c r="D2" s="15" t="s">
        <v>32</v>
      </c>
      <c r="E2" s="15"/>
      <c r="F2" s="14" t="s">
        <v>33</v>
      </c>
      <c r="G2" s="15" t="s">
        <v>34</v>
      </c>
      <c r="H2" s="15" t="s">
        <v>35</v>
      </c>
    </row>
    <row r="3" thickBot="1">
      <c r="B3" s="11" t="s">
        <v>36</v>
      </c>
      <c r="C3"/>
      <c r="D3"/>
      <c r="E3" s="8" t="s">
        <v>37</v>
      </c>
      <c r="F3" s="11" t="s">
        <v>38</v>
      </c>
      <c r="G3" s="12" t="s">
        <v>39</v>
      </c>
      <c r="H3" s="12">
        <v>1</v>
      </c>
    </row>
    <row r="4" thickBot="1">
      <c r="A4" s="16">
        <v>1</v>
      </c>
      <c r="B4" s="11" t="s">
        <v>40</v>
      </c>
      <c r="C4" s="12">
        <v>1</v>
      </c>
      <c r="D4" s="12">
        <v>0</v>
      </c>
      <c r="E4" s="11" t="s">
        <v>41</v>
      </c>
      <c r="F4" s="11" t="s">
        <v>42</v>
      </c>
      <c r="G4" s="12" t="s">
        <v>43</v>
      </c>
      <c r="H4" s="12">
        <v>4</v>
      </c>
    </row>
    <row r="5" thickBot="1">
      <c r="A5" s="16">
        <v>1</v>
      </c>
      <c r="B5" s="11" t="s">
        <v>44</v>
      </c>
      <c r="C5" s="12">
        <v>0</v>
      </c>
      <c r="D5" s="12">
        <v>1</v>
      </c>
      <c r="E5" s="11" t="s">
        <v>45</v>
      </c>
      <c r="F5" s="11" t="s">
        <v>46</v>
      </c>
      <c r="G5" s="12" t="s">
        <v>43</v>
      </c>
      <c r="H5" s="12">
        <v>4</v>
      </c>
    </row>
    <row r="6" thickBot="1">
      <c r="A6" s="16">
        <v>1</v>
      </c>
      <c r="B6" s="11" t="s">
        <v>47</v>
      </c>
      <c r="C6" s="12">
        <v>1</v>
      </c>
      <c r="D6" s="12">
        <v>0</v>
      </c>
      <c r="E6" s="11" t="s">
        <v>48</v>
      </c>
      <c r="F6" s="11" t="s">
        <v>49</v>
      </c>
      <c r="G6" s="12" t="s">
        <v>39</v>
      </c>
      <c r="H6" s="12">
        <v>4</v>
      </c>
    </row>
    <row r="7" thickBot="1">
      <c r="A7" s="16">
        <v>1</v>
      </c>
      <c r="B7" s="11" t="s">
        <v>50</v>
      </c>
      <c r="C7" s="12">
        <v>0</v>
      </c>
      <c r="D7" s="12">
        <v>1</v>
      </c>
      <c r="E7" s="11" t="s">
        <v>51</v>
      </c>
      <c r="F7" s="11" t="s">
        <v>52</v>
      </c>
      <c r="G7" s="12" t="s">
        <v>39</v>
      </c>
      <c r="H7" s="12">
        <v>4</v>
      </c>
    </row>
    <row r="8" thickBot="1">
      <c r="B8" s="14"/>
      <c r="E8" s="14"/>
      <c r="J8" s="17" t="s">
        <v>53</v>
      </c>
      <c r="K8" s="17" t="s">
        <v>54</v>
      </c>
      <c r="L8" s="17" t="s">
        <v>55</v>
      </c>
    </row>
    <row r="9" thickBot="1">
      <c r="A9" s="16">
        <v>0</v>
      </c>
      <c r="B9" s="11" t="s">
        <v>56</v>
      </c>
      <c r="C9" s="12">
        <v>1</v>
      </c>
      <c r="D9" s="12">
        <v>0</v>
      </c>
      <c r="E9" s="11" t="s">
        <v>57</v>
      </c>
      <c r="F9" s="11" t="s">
        <v>42</v>
      </c>
      <c r="G9" s="12" t="s">
        <v>58</v>
      </c>
      <c r="H9" s="12">
        <v>4</v>
      </c>
      <c r="J9" s="16">
        <v>1</v>
      </c>
      <c r="K9" t="s">
        <v>59</v>
      </c>
      <c r="L9" s="3" t="s">
        <v>60</v>
      </c>
    </row>
    <row r="10" thickBot="1">
      <c r="A10" s="16">
        <v>0</v>
      </c>
      <c r="B10" s="11" t="s">
        <v>61</v>
      </c>
      <c r="C10" s="12">
        <v>1</v>
      </c>
      <c r="D10" s="12">
        <v>0</v>
      </c>
      <c r="E10" s="11" t="s">
        <v>62</v>
      </c>
      <c r="F10" s="11" t="s">
        <v>42</v>
      </c>
      <c r="G10" s="12" t="s">
        <v>63</v>
      </c>
      <c r="H10" s="12">
        <v>4</v>
      </c>
      <c r="J10" s="16">
        <v>1</v>
      </c>
      <c r="K10" t="s">
        <v>64</v>
      </c>
      <c r="L10" s="3" t="s">
        <v>60</v>
      </c>
    </row>
    <row r="11" thickBot="1">
      <c r="A11" s="16">
        <v>0</v>
      </c>
      <c r="B11" s="11" t="s">
        <v>65</v>
      </c>
      <c r="C11" s="12">
        <v>1</v>
      </c>
      <c r="D11" s="12">
        <v>0</v>
      </c>
      <c r="E11" s="11" t="s">
        <v>66</v>
      </c>
      <c r="F11" s="11" t="s">
        <v>42</v>
      </c>
      <c r="G11" s="12" t="s">
        <v>67</v>
      </c>
      <c r="H11" s="12">
        <v>4</v>
      </c>
      <c r="J11" s="16">
        <v>1</v>
      </c>
      <c r="K11" t="s">
        <v>68</v>
      </c>
      <c r="L11" s="3" t="s">
        <v>60</v>
      </c>
    </row>
    <row r="12" thickBot="1">
      <c r="A12" s="16">
        <v>0</v>
      </c>
      <c r="B12" s="11" t="s">
        <v>69</v>
      </c>
      <c r="C12" s="12">
        <v>1</v>
      </c>
      <c r="D12" s="12">
        <v>0</v>
      </c>
      <c r="E12" s="11" t="s">
        <v>70</v>
      </c>
      <c r="F12" s="11" t="s">
        <v>42</v>
      </c>
      <c r="G12" s="12" t="s">
        <v>71</v>
      </c>
      <c r="H12" s="12">
        <v>4</v>
      </c>
      <c r="J12" s="16">
        <v>1</v>
      </c>
      <c r="K12" t="s">
        <v>72</v>
      </c>
      <c r="L12" s="3" t="s">
        <v>60</v>
      </c>
    </row>
    <row r="13" thickBot="1">
      <c r="E13" s="11"/>
    </row>
    <row r="14" thickBot="1">
      <c r="A14" s="16">
        <v>0</v>
      </c>
      <c r="B14" s="11" t="s">
        <v>73</v>
      </c>
      <c r="C14" s="12">
        <v>0</v>
      </c>
      <c r="D14" s="12">
        <v>1</v>
      </c>
      <c r="E14" s="11" t="s">
        <v>74</v>
      </c>
      <c r="F14" s="11" t="s">
        <v>46</v>
      </c>
      <c r="G14" s="12" t="s">
        <v>58</v>
      </c>
      <c r="H14" s="12">
        <v>4</v>
      </c>
    </row>
    <row r="15" thickBot="1">
      <c r="A15" s="16">
        <v>0</v>
      </c>
      <c r="B15" s="11" t="s">
        <v>75</v>
      </c>
      <c r="C15" s="12">
        <v>0</v>
      </c>
      <c r="D15" s="12">
        <v>1</v>
      </c>
      <c r="E15" s="11" t="s">
        <v>76</v>
      </c>
      <c r="F15" s="11" t="s">
        <v>46</v>
      </c>
      <c r="G15" s="12" t="s">
        <v>63</v>
      </c>
      <c r="H15" s="12">
        <v>4</v>
      </c>
      <c r="J15" s="17" t="s">
        <v>53</v>
      </c>
      <c r="K15" s="17" t="s">
        <v>54</v>
      </c>
      <c r="L15" s="17" t="s">
        <v>77</v>
      </c>
    </row>
    <row r="16" thickBot="1">
      <c r="A16" s="16">
        <v>0</v>
      </c>
      <c r="B16" s="11" t="s">
        <v>78</v>
      </c>
      <c r="C16" s="12">
        <v>0</v>
      </c>
      <c r="D16" s="12">
        <v>1</v>
      </c>
      <c r="E16" s="11" t="s">
        <v>79</v>
      </c>
      <c r="F16" s="11" t="s">
        <v>46</v>
      </c>
      <c r="G16" s="12" t="s">
        <v>67</v>
      </c>
      <c r="H16" s="12">
        <v>4</v>
      </c>
      <c r="J16" s="16">
        <v>0</v>
      </c>
      <c r="K16" t="s">
        <v>80</v>
      </c>
      <c r="L16" s="3">
        <v>0</v>
      </c>
    </row>
    <row r="17" thickBot="1">
      <c r="A17" s="16">
        <v>0</v>
      </c>
      <c r="B17" s="11" t="s">
        <v>81</v>
      </c>
      <c r="C17" s="12">
        <v>0</v>
      </c>
      <c r="D17" s="12">
        <v>1</v>
      </c>
      <c r="E17" s="11" t="s">
        <v>82</v>
      </c>
      <c r="F17" s="11" t="s">
        <v>46</v>
      </c>
      <c r="G17" s="12" t="s">
        <v>71</v>
      </c>
      <c r="H17" s="12">
        <v>4</v>
      </c>
      <c r="J17" s="16">
        <v>1</v>
      </c>
      <c r="K17" t="s">
        <v>83</v>
      </c>
      <c r="L17" s="18" t="s">
        <v>84</v>
      </c>
    </row>
    <row r="18" thickBot="1">
      <c r="E18" s="11"/>
      <c r="J18" s="16">
        <v>1</v>
      </c>
      <c r="K18" t="s">
        <v>85</v>
      </c>
      <c r="L18" s="3">
        <v>1</v>
      </c>
    </row>
    <row r="19" thickBot="1">
      <c r="A19" s="16">
        <v>0</v>
      </c>
      <c r="B19" s="11" t="s">
        <v>86</v>
      </c>
      <c r="C19"/>
      <c r="D19"/>
      <c r="E19" s="11" t="s">
        <v>87</v>
      </c>
      <c r="F19" s="11" t="s">
        <v>88</v>
      </c>
      <c r="G19" s="12" t="s">
        <v>89</v>
      </c>
      <c r="H19" s="12">
        <v>4</v>
      </c>
    </row>
    <row r="20" ht="14.5">
      <c r="C20"/>
      <c r="D20"/>
      <c r="E20" s="11"/>
      <c r="I20" s="12"/>
    </row>
    <row r="21" thickBot="1">
      <c r="E21" s="11"/>
    </row>
    <row r="22" thickBot="1">
      <c r="A22" s="16">
        <v>0</v>
      </c>
      <c r="B22" s="11" t="s">
        <v>90</v>
      </c>
      <c r="C22"/>
      <c r="D22"/>
      <c r="E22" s="11" t="s">
        <v>91</v>
      </c>
      <c r="F22" s="11" t="s">
        <v>92</v>
      </c>
      <c r="G22" s="12" t="s">
        <v>89</v>
      </c>
      <c r="H22" s="12">
        <v>2</v>
      </c>
    </row>
    <row r="23" thickBot="1">
      <c r="A23" s="16">
        <v>0</v>
      </c>
      <c r="B23" s="11" t="s">
        <v>90</v>
      </c>
      <c r="C23"/>
      <c r="D23"/>
      <c r="E23" s="11" t="s">
        <v>93</v>
      </c>
      <c r="F23" s="11" t="s">
        <v>94</v>
      </c>
      <c r="G23" s="12" t="s">
        <v>89</v>
      </c>
      <c r="H23" s="12">
        <v>3</v>
      </c>
    </row>
    <row r="24" thickBot="1">
      <c r="B24" s="11" t="s">
        <v>90</v>
      </c>
      <c r="C24"/>
      <c r="D24"/>
      <c r="E24" s="11" t="s">
        <v>95</v>
      </c>
      <c r="F24" s="11" t="s">
        <v>96</v>
      </c>
      <c r="G24" s="12" t="s">
        <v>89</v>
      </c>
      <c r="H24" s="12">
        <v>3</v>
      </c>
    </row>
    <row r="25" thickBot="1">
      <c r="A25" s="16">
        <v>0</v>
      </c>
      <c r="B25" s="11" t="s">
        <v>90</v>
      </c>
      <c r="C25"/>
      <c r="D25"/>
      <c r="E25" s="11" t="s">
        <v>97</v>
      </c>
      <c r="F25" s="11" t="s">
        <v>98</v>
      </c>
      <c r="G25" s="12" t="s">
        <v>89</v>
      </c>
      <c r="H25" s="12">
        <v>3</v>
      </c>
    </row>
    <row r="26" ht="14.5">
      <c r="B26" s="11" t="s">
        <v>90</v>
      </c>
      <c r="C26"/>
      <c r="D26"/>
      <c r="E26" s="11" t="s">
        <v>99</v>
      </c>
      <c r="F26" s="11" t="s">
        <v>100</v>
      </c>
      <c r="G26" s="12" t="s">
        <v>89</v>
      </c>
      <c r="H26" s="12">
        <v>3</v>
      </c>
    </row>
    <row r="27" thickBot="1"/>
    <row r="28" thickBot="1">
      <c r="A28" s="16">
        <v>1</v>
      </c>
      <c r="B28" s="11" t="s">
        <v>101</v>
      </c>
      <c r="E28" s="11" t="s">
        <v>102</v>
      </c>
      <c r="F28" s="11" t="s">
        <v>103</v>
      </c>
      <c r="G28" s="12" t="s">
        <v>39</v>
      </c>
      <c r="H28" s="12">
        <v>3</v>
      </c>
    </row>
    <row r="29" ht="14.5">
      <c r="B29" s="11" t="s">
        <v>101</v>
      </c>
      <c r="E29" s="11" t="s">
        <v>104</v>
      </c>
      <c r="F29" s="11" t="s">
        <v>105</v>
      </c>
      <c r="G29" s="12" t="s">
        <v>39</v>
      </c>
      <c r="H29" s="12">
        <v>3</v>
      </c>
    </row>
  </sheetData>
  <pageSetup r:id="rId1" paperSize="9" orientation="portrait" horizontalDpi="1200" verticalDpi="1200"/>
</worksheet>
</file>

<file path=xl/worksheets/sheet4.xml><?xml version="1.0" encoding="utf-8"?>
<worksheet xmlns:r="http://schemas.openxmlformats.org/officeDocument/2006/relationships" xmlns="http://schemas.openxmlformats.org/spreadsheetml/2006/main">
  <sheetPr>
    <tabColor rgb="FF92D050"/>
  </sheetPr>
  <sheetViews>
    <sheetView workbookViewId="0">
      <selection activeCell="D43" sqref="D43"/>
    </sheetView>
  </sheetViews>
  <sheetFormatPr defaultRowHeight="15"/>
  <cols>
    <col min="2" max="2" width="22.57031" customWidth="1"/>
    <col min="3" max="3" width="69.57031" customWidth="1"/>
    <col min="4" max="4" width="45.42578" customWidth="1"/>
  </cols>
  <sheetData>
    <row r="1" ht="14.5">
      <c r="A1" s="9" t="s">
        <v>38</v>
      </c>
    </row>
    <row r="2" ht="14.5">
      <c r="B2" s="19" t="s">
        <v>106</v>
      </c>
      <c r="C2" s="19" t="s">
        <v>107</v>
      </c>
      <c r="D2" s="19" t="s">
        <v>108</v>
      </c>
    </row>
    <row r="3">
      <c r="B3" t="s">
        <v>109</v>
      </c>
      <c r="C3" t="s">
        <v>110</v>
      </c>
      <c r="D3" t="s">
        <v>111</v>
      </c>
    </row>
    <row r="4">
      <c r="B4" t="s">
        <v>112</v>
      </c>
      <c r="C4" t="s">
        <v>113</v>
      </c>
      <c r="D4" t="s">
        <v>111</v>
      </c>
    </row>
    <row r="5">
      <c r="B5" t="s">
        <v>114</v>
      </c>
      <c r="C5" t="s">
        <v>115</v>
      </c>
      <c r="D5" t="s">
        <v>111</v>
      </c>
    </row>
    <row r="6">
      <c r="B6" t="s">
        <v>116</v>
      </c>
      <c r="C6" t="s">
        <v>117</v>
      </c>
      <c r="D6" t="s">
        <v>111</v>
      </c>
    </row>
    <row r="7">
      <c r="B7" t="s">
        <v>118</v>
      </c>
      <c r="C7" t="s">
        <v>119</v>
      </c>
      <c r="D7" t="s">
        <v>111</v>
      </c>
    </row>
    <row r="8">
      <c r="B8" t="s">
        <v>120</v>
      </c>
      <c r="C8" t="s">
        <v>121</v>
      </c>
      <c r="D8" t="s">
        <v>111</v>
      </c>
    </row>
    <row r="9">
      <c r="B9" t="s">
        <v>122</v>
      </c>
      <c r="C9" t="s">
        <v>123</v>
      </c>
      <c r="D9" t="s">
        <v>111</v>
      </c>
    </row>
    <row r="10">
      <c r="B10" t="s">
        <v>124</v>
      </c>
      <c r="C10" t="s">
        <v>125</v>
      </c>
      <c r="D10" t="s">
        <v>111</v>
      </c>
    </row>
    <row r="11">
      <c r="B11" t="s">
        <v>126</v>
      </c>
      <c r="C11" t="s">
        <v>127</v>
      </c>
      <c r="D11" t="s">
        <v>128</v>
      </c>
    </row>
    <row r="12">
      <c r="B12" t="s">
        <v>129</v>
      </c>
      <c r="C12" t="s">
        <v>130</v>
      </c>
      <c r="D12" t="s">
        <v>128</v>
      </c>
    </row>
    <row r="13">
      <c r="B13" t="s">
        <v>131</v>
      </c>
      <c r="C13" t="s">
        <v>132</v>
      </c>
      <c r="D13" t="s">
        <v>128</v>
      </c>
    </row>
    <row r="14">
      <c r="B14" t="s">
        <v>133</v>
      </c>
      <c r="C14" t="s">
        <v>134</v>
      </c>
      <c r="D14" t="s">
        <v>128</v>
      </c>
    </row>
    <row r="15">
      <c r="B15" t="s">
        <v>135</v>
      </c>
      <c r="C15" t="s">
        <v>136</v>
      </c>
      <c r="D15" t="s">
        <v>128</v>
      </c>
    </row>
    <row r="16">
      <c r="B16" t="s">
        <v>137</v>
      </c>
      <c r="C16" t="s">
        <v>138</v>
      </c>
      <c r="D16" t="s">
        <v>128</v>
      </c>
    </row>
    <row r="17">
      <c r="B17" t="s">
        <v>139</v>
      </c>
      <c r="C17" t="s">
        <v>140</v>
      </c>
      <c r="D17" t="s">
        <v>128</v>
      </c>
    </row>
    <row r="18">
      <c r="B18" t="s">
        <v>141</v>
      </c>
      <c r="C18" t="s">
        <v>142</v>
      </c>
      <c r="D18" t="s">
        <v>143</v>
      </c>
    </row>
    <row r="19">
      <c r="B19" t="s">
        <v>144</v>
      </c>
      <c r="C19" t="s">
        <v>145</v>
      </c>
      <c r="D19" t="s">
        <v>143</v>
      </c>
    </row>
    <row r="20">
      <c r="B20" t="s">
        <v>146</v>
      </c>
      <c r="C20" t="s">
        <v>147</v>
      </c>
      <c r="D20" t="s">
        <v>128</v>
      </c>
    </row>
    <row r="21">
      <c r="B21" t="s">
        <v>148</v>
      </c>
      <c r="C21" t="s">
        <v>149</v>
      </c>
      <c r="D21" t="s">
        <v>143</v>
      </c>
    </row>
    <row r="22">
      <c r="B22" t="s">
        <v>150</v>
      </c>
      <c r="C22" t="s">
        <v>151</v>
      </c>
      <c r="D22" t="s">
        <v>143</v>
      </c>
    </row>
    <row r="23">
      <c r="B23" t="s">
        <v>152</v>
      </c>
      <c r="C23" t="s">
        <v>153</v>
      </c>
      <c r="D23" t="s">
        <v>143</v>
      </c>
    </row>
    <row r="24">
      <c r="B24" t="s">
        <v>154</v>
      </c>
      <c r="C24" t="s">
        <v>155</v>
      </c>
      <c r="D24" t="s">
        <v>143</v>
      </c>
    </row>
    <row r="25">
      <c r="B25" t="s">
        <v>156</v>
      </c>
      <c r="C25" t="s">
        <v>157</v>
      </c>
      <c r="D25" t="s">
        <v>158</v>
      </c>
    </row>
    <row r="26">
      <c r="B26" t="s">
        <v>159</v>
      </c>
      <c r="C26" t="s">
        <v>160</v>
      </c>
      <c r="D26" t="s">
        <v>161</v>
      </c>
    </row>
    <row r="27">
      <c r="B27" t="s">
        <v>162</v>
      </c>
      <c r="C27" t="s">
        <v>163</v>
      </c>
      <c r="D27" t="s">
        <v>158</v>
      </c>
    </row>
    <row r="28">
      <c r="B28" t="s">
        <v>164</v>
      </c>
      <c r="C28" t="s">
        <v>165</v>
      </c>
      <c r="D28" t="s">
        <v>158</v>
      </c>
    </row>
    <row r="29">
      <c r="B29" t="s">
        <v>166</v>
      </c>
      <c r="C29" t="s">
        <v>167</v>
      </c>
      <c r="D29" t="s">
        <v>158</v>
      </c>
    </row>
    <row r="30">
      <c r="B30" t="s">
        <v>168</v>
      </c>
      <c r="C30" t="s">
        <v>169</v>
      </c>
      <c r="D30" t="s">
        <v>158</v>
      </c>
    </row>
    <row r="31">
      <c r="B31" t="s">
        <v>170</v>
      </c>
      <c r="C31" t="s">
        <v>171</v>
      </c>
      <c r="D31" t="s">
        <v>172</v>
      </c>
    </row>
    <row r="32">
      <c r="B32" t="s">
        <v>173</v>
      </c>
      <c r="C32" t="s">
        <v>174</v>
      </c>
      <c r="D32" t="s">
        <v>172</v>
      </c>
    </row>
    <row r="33">
      <c r="B33" t="s">
        <v>175</v>
      </c>
      <c r="C33" t="s">
        <v>176</v>
      </c>
      <c r="D33" t="s">
        <v>172</v>
      </c>
    </row>
    <row r="34">
      <c r="B34" t="s">
        <v>177</v>
      </c>
      <c r="C34" t="s">
        <v>178</v>
      </c>
      <c r="D34" t="s">
        <v>172</v>
      </c>
    </row>
    <row r="35">
      <c r="B35" t="s">
        <v>179</v>
      </c>
      <c r="C35" t="s">
        <v>180</v>
      </c>
      <c r="D35" t="s">
        <v>172</v>
      </c>
    </row>
    <row r="36">
      <c r="B36" t="s">
        <v>181</v>
      </c>
      <c r="C36" t="s">
        <v>182</v>
      </c>
      <c r="D36" t="s">
        <v>172</v>
      </c>
    </row>
    <row r="37">
      <c r="B37" t="s">
        <v>183</v>
      </c>
      <c r="C37" t="s">
        <v>184</v>
      </c>
      <c r="D37" t="s">
        <v>172</v>
      </c>
    </row>
    <row r="38">
      <c r="B38" t="s">
        <v>185</v>
      </c>
      <c r="C38" t="s">
        <v>186</v>
      </c>
      <c r="D38" t="s">
        <v>172</v>
      </c>
    </row>
    <row r="39">
      <c r="B39" t="s">
        <v>187</v>
      </c>
      <c r="C39" t="s">
        <v>188</v>
      </c>
      <c r="D39" t="s">
        <v>172</v>
      </c>
    </row>
    <row r="40">
      <c r="B40" t="s">
        <v>189</v>
      </c>
      <c r="C40" t="s">
        <v>190</v>
      </c>
      <c r="D40" t="s">
        <v>172</v>
      </c>
    </row>
    <row r="41">
      <c r="B41" t="s">
        <v>191</v>
      </c>
      <c r="C41" t="s">
        <v>192</v>
      </c>
      <c r="D41" t="s">
        <v>172</v>
      </c>
    </row>
    <row r="42">
      <c r="B42" t="s">
        <v>193</v>
      </c>
      <c r="C42" t="s">
        <v>194</v>
      </c>
      <c r="D42" t="s">
        <v>172</v>
      </c>
    </row>
    <row r="43">
      <c r="B43" t="s">
        <v>195</v>
      </c>
      <c r="C43" t="s">
        <v>196</v>
      </c>
      <c r="D43" t="s">
        <v>172</v>
      </c>
    </row>
    <row r="44">
      <c r="B44" t="s">
        <v>197</v>
      </c>
      <c r="C44" t="s">
        <v>198</v>
      </c>
      <c r="D44" t="s">
        <v>172</v>
      </c>
    </row>
    <row r="45">
      <c r="B45" t="s">
        <v>199</v>
      </c>
      <c r="C45" t="s">
        <v>200</v>
      </c>
      <c r="D45" t="s">
        <v>172</v>
      </c>
    </row>
    <row r="46">
      <c r="B46" t="s">
        <v>201</v>
      </c>
      <c r="C46" t="s">
        <v>202</v>
      </c>
      <c r="D46" t="s">
        <v>172</v>
      </c>
    </row>
    <row r="47">
      <c r="B47" t="s">
        <v>203</v>
      </c>
      <c r="C47" t="s">
        <v>204</v>
      </c>
      <c r="D47" t="s">
        <v>172</v>
      </c>
    </row>
    <row r="48">
      <c r="B48" t="s">
        <v>205</v>
      </c>
      <c r="C48" t="s">
        <v>206</v>
      </c>
      <c r="D48" t="s">
        <v>172</v>
      </c>
    </row>
    <row r="49">
      <c r="B49" t="s">
        <v>207</v>
      </c>
      <c r="C49" t="s">
        <v>208</v>
      </c>
      <c r="D49" t="s">
        <v>172</v>
      </c>
    </row>
    <row r="50">
      <c r="B50" t="s">
        <v>209</v>
      </c>
      <c r="C50" t="s">
        <v>210</v>
      </c>
      <c r="D50" t="s">
        <v>172</v>
      </c>
    </row>
    <row r="51">
      <c r="B51" t="s">
        <v>211</v>
      </c>
      <c r="C51" t="s">
        <v>212</v>
      </c>
      <c r="D51" t="s">
        <v>172</v>
      </c>
    </row>
    <row r="52">
      <c r="B52" t="s">
        <v>213</v>
      </c>
      <c r="C52" t="s">
        <v>214</v>
      </c>
      <c r="D52" t="s">
        <v>172</v>
      </c>
    </row>
    <row r="53">
      <c r="B53" t="s">
        <v>215</v>
      </c>
      <c r="C53" t="s">
        <v>216</v>
      </c>
      <c r="D53" t="s">
        <v>172</v>
      </c>
    </row>
    <row r="54">
      <c r="B54" t="s">
        <v>217</v>
      </c>
      <c r="C54" t="s">
        <v>218</v>
      </c>
      <c r="D54" t="s">
        <v>219</v>
      </c>
    </row>
    <row r="55">
      <c r="B55" t="s">
        <v>220</v>
      </c>
      <c r="C55" t="s">
        <v>221</v>
      </c>
      <c r="D55" t="s">
        <v>219</v>
      </c>
    </row>
    <row r="56">
      <c r="B56" t="s">
        <v>222</v>
      </c>
      <c r="C56" t="s">
        <v>223</v>
      </c>
      <c r="D56" t="s">
        <v>224</v>
      </c>
    </row>
    <row r="57">
      <c r="B57" t="s">
        <v>225</v>
      </c>
      <c r="C57" t="s">
        <v>226</v>
      </c>
      <c r="D57" t="s">
        <v>224</v>
      </c>
    </row>
    <row r="58">
      <c r="B58" t="s">
        <v>227</v>
      </c>
      <c r="C58" t="s">
        <v>228</v>
      </c>
      <c r="D58" t="s">
        <v>224</v>
      </c>
    </row>
    <row r="59">
      <c r="B59" t="s">
        <v>229</v>
      </c>
      <c r="C59" t="s">
        <v>230</v>
      </c>
      <c r="D59" t="s">
        <v>231</v>
      </c>
    </row>
    <row r="60">
      <c r="B60" t="s">
        <v>232</v>
      </c>
      <c r="C60" t="s">
        <v>233</v>
      </c>
      <c r="D60" t="s">
        <v>231</v>
      </c>
    </row>
    <row r="61">
      <c r="B61" t="s">
        <v>234</v>
      </c>
      <c r="C61" t="s">
        <v>235</v>
      </c>
      <c r="D61" t="s">
        <v>231</v>
      </c>
    </row>
    <row r="62">
      <c r="B62" t="s">
        <v>236</v>
      </c>
      <c r="C62" t="s">
        <v>237</v>
      </c>
      <c r="D62" t="s">
        <v>231</v>
      </c>
    </row>
    <row r="63">
      <c r="B63" t="s">
        <v>238</v>
      </c>
      <c r="C63" t="s">
        <v>239</v>
      </c>
      <c r="D63" t="s">
        <v>231</v>
      </c>
    </row>
    <row r="64">
      <c r="B64" t="s">
        <v>240</v>
      </c>
      <c r="C64" t="s">
        <v>241</v>
      </c>
      <c r="D64" t="s">
        <v>231</v>
      </c>
    </row>
    <row r="65">
      <c r="B65" t="s">
        <v>242</v>
      </c>
      <c r="C65" t="s">
        <v>243</v>
      </c>
      <c r="D65" t="s">
        <v>231</v>
      </c>
    </row>
    <row r="66">
      <c r="B66" t="s">
        <v>244</v>
      </c>
      <c r="C66" t="s">
        <v>245</v>
      </c>
      <c r="D66" t="s">
        <v>231</v>
      </c>
    </row>
    <row r="67">
      <c r="B67" t="s">
        <v>246</v>
      </c>
      <c r="C67" t="s">
        <v>247</v>
      </c>
      <c r="D67" t="s">
        <v>231</v>
      </c>
    </row>
    <row r="68">
      <c r="B68" t="s">
        <v>248</v>
      </c>
      <c r="C68" t="s">
        <v>249</v>
      </c>
      <c r="D68" t="s">
        <v>250</v>
      </c>
    </row>
    <row r="69">
      <c r="B69" t="s">
        <v>251</v>
      </c>
      <c r="C69" t="s">
        <v>252</v>
      </c>
      <c r="D69" t="s">
        <v>253</v>
      </c>
    </row>
    <row r="70">
      <c r="B70" t="s">
        <v>254</v>
      </c>
      <c r="C70" t="s">
        <v>255</v>
      </c>
      <c r="D70" t="s">
        <v>250</v>
      </c>
    </row>
    <row r="71">
      <c r="B71" t="s">
        <v>256</v>
      </c>
      <c r="C71" t="s">
        <v>257</v>
      </c>
      <c r="D71" t="s">
        <v>250</v>
      </c>
    </row>
    <row r="72">
      <c r="B72" t="s">
        <v>258</v>
      </c>
      <c r="C72" t="s">
        <v>259</v>
      </c>
      <c r="D72" t="s">
        <v>250</v>
      </c>
    </row>
    <row r="73">
      <c r="B73" t="s">
        <v>260</v>
      </c>
      <c r="C73" t="s">
        <v>261</v>
      </c>
      <c r="D73" t="s">
        <v>250</v>
      </c>
    </row>
    <row r="74">
      <c r="B74" t="s">
        <v>262</v>
      </c>
      <c r="C74" t="s">
        <v>263</v>
      </c>
      <c r="D74" t="s">
        <v>250</v>
      </c>
    </row>
    <row r="75">
      <c r="B75" t="s">
        <v>264</v>
      </c>
      <c r="C75" t="s">
        <v>265</v>
      </c>
      <c r="D75" t="s">
        <v>253</v>
      </c>
    </row>
    <row r="76">
      <c r="B76" t="s">
        <v>266</v>
      </c>
      <c r="C76" t="s">
        <v>267</v>
      </c>
      <c r="D76" t="s">
        <v>253</v>
      </c>
    </row>
    <row r="77">
      <c r="B77" t="s">
        <v>268</v>
      </c>
      <c r="C77" t="s">
        <v>269</v>
      </c>
      <c r="D77" t="s">
        <v>253</v>
      </c>
    </row>
    <row r="78">
      <c r="B78" t="s">
        <v>270</v>
      </c>
      <c r="C78" t="s">
        <v>271</v>
      </c>
      <c r="D78" t="s">
        <v>253</v>
      </c>
    </row>
    <row r="79">
      <c r="B79" t="s">
        <v>272</v>
      </c>
      <c r="C79" t="s">
        <v>273</v>
      </c>
      <c r="D79" t="s">
        <v>253</v>
      </c>
    </row>
    <row r="80">
      <c r="B80" t="s">
        <v>274</v>
      </c>
      <c r="C80" t="s">
        <v>275</v>
      </c>
      <c r="D80" t="s">
        <v>276</v>
      </c>
    </row>
    <row r="81">
      <c r="B81" t="s">
        <v>277</v>
      </c>
      <c r="C81" t="s">
        <v>278</v>
      </c>
      <c r="D81" t="s">
        <v>278</v>
      </c>
    </row>
    <row r="82">
      <c r="B82" t="s">
        <v>279</v>
      </c>
      <c r="C82" t="s">
        <v>280</v>
      </c>
      <c r="D82" t="s">
        <v>276</v>
      </c>
    </row>
    <row r="83">
      <c r="B83" t="s">
        <v>281</v>
      </c>
      <c r="C83" t="s">
        <v>282</v>
      </c>
      <c r="D83" t="s">
        <v>276</v>
      </c>
    </row>
    <row r="84">
      <c r="B84" t="s">
        <v>283</v>
      </c>
      <c r="C84" t="s">
        <v>284</v>
      </c>
      <c r="D84" t="s">
        <v>276</v>
      </c>
    </row>
    <row r="85">
      <c r="B85" t="s">
        <v>285</v>
      </c>
      <c r="C85" t="s">
        <v>286</v>
      </c>
      <c r="D85" t="s">
        <v>276</v>
      </c>
    </row>
    <row r="86">
      <c r="B86" t="s">
        <v>287</v>
      </c>
      <c r="C86" t="s">
        <v>288</v>
      </c>
      <c r="D86" t="s">
        <v>276</v>
      </c>
    </row>
    <row r="87">
      <c r="B87" t="s">
        <v>289</v>
      </c>
      <c r="C87" t="s">
        <v>290</v>
      </c>
      <c r="D87" t="s">
        <v>291</v>
      </c>
    </row>
    <row r="88">
      <c r="B88" t="s">
        <v>292</v>
      </c>
      <c r="C88" t="s">
        <v>293</v>
      </c>
      <c r="D88" t="s">
        <v>294</v>
      </c>
    </row>
    <row r="89">
      <c r="B89" t="s">
        <v>295</v>
      </c>
      <c r="C89" t="s">
        <v>296</v>
      </c>
      <c r="D89" t="s">
        <v>297</v>
      </c>
    </row>
    <row r="90">
      <c r="B90" t="s">
        <v>298</v>
      </c>
      <c r="C90" t="s">
        <v>299</v>
      </c>
      <c r="D90" t="s">
        <v>300</v>
      </c>
    </row>
    <row r="91">
      <c r="B91" t="s">
        <v>301</v>
      </c>
      <c r="C91" t="s">
        <v>302</v>
      </c>
      <c r="D91" t="s">
        <v>300</v>
      </c>
    </row>
    <row r="92">
      <c r="B92" t="s">
        <v>303</v>
      </c>
      <c r="C92" t="s">
        <v>304</v>
      </c>
      <c r="D92" t="s">
        <v>300</v>
      </c>
    </row>
    <row r="93">
      <c r="B93" t="s">
        <v>305</v>
      </c>
      <c r="C93" t="s">
        <v>306</v>
      </c>
      <c r="D93" t="s">
        <v>300</v>
      </c>
    </row>
    <row r="94">
      <c r="B94" t="s">
        <v>307</v>
      </c>
      <c r="C94" t="s">
        <v>308</v>
      </c>
      <c r="D94" t="s">
        <v>300</v>
      </c>
    </row>
    <row r="95">
      <c r="B95" t="s">
        <v>309</v>
      </c>
      <c r="C95" t="s">
        <v>310</v>
      </c>
      <c r="D95" t="s">
        <v>300</v>
      </c>
    </row>
    <row r="96">
      <c r="B96" t="s">
        <v>311</v>
      </c>
      <c r="C96" t="s">
        <v>312</v>
      </c>
      <c r="D96" t="s">
        <v>300</v>
      </c>
    </row>
    <row r="97">
      <c r="B97" t="s">
        <v>313</v>
      </c>
      <c r="C97" t="s">
        <v>314</v>
      </c>
      <c r="D97" t="s">
        <v>300</v>
      </c>
    </row>
    <row r="98">
      <c r="B98" t="s">
        <v>315</v>
      </c>
      <c r="C98" t="s">
        <v>316</v>
      </c>
      <c r="D98" t="s">
        <v>300</v>
      </c>
    </row>
    <row r="99">
      <c r="B99" t="s">
        <v>317</v>
      </c>
      <c r="C99" t="s">
        <v>318</v>
      </c>
      <c r="D99" t="s">
        <v>300</v>
      </c>
    </row>
    <row r="100">
      <c r="B100" t="s">
        <v>319</v>
      </c>
      <c r="C100" t="s">
        <v>320</v>
      </c>
      <c r="D100" t="s">
        <v>300</v>
      </c>
    </row>
    <row r="101">
      <c r="B101" t="s">
        <v>321</v>
      </c>
      <c r="C101" t="s">
        <v>322</v>
      </c>
      <c r="D101" t="s">
        <v>300</v>
      </c>
    </row>
    <row r="102">
      <c r="B102" t="s">
        <v>323</v>
      </c>
      <c r="C102" t="s">
        <v>324</v>
      </c>
      <c r="D102" t="s">
        <v>300</v>
      </c>
    </row>
    <row r="103">
      <c r="B103" t="s">
        <v>325</v>
      </c>
      <c r="C103" t="s">
        <v>326</v>
      </c>
      <c r="D103" t="s">
        <v>300</v>
      </c>
    </row>
    <row r="104">
      <c r="B104" t="s">
        <v>327</v>
      </c>
      <c r="C104" t="s">
        <v>328</v>
      </c>
      <c r="D104" t="s">
        <v>300</v>
      </c>
    </row>
    <row r="105">
      <c r="B105" t="s">
        <v>329</v>
      </c>
      <c r="C105" t="s">
        <v>330</v>
      </c>
      <c r="D105" t="s">
        <v>300</v>
      </c>
    </row>
    <row r="106">
      <c r="B106" t="s">
        <v>331</v>
      </c>
      <c r="C106" t="s">
        <v>332</v>
      </c>
      <c r="D106" t="s">
        <v>300</v>
      </c>
    </row>
    <row r="107">
      <c r="B107" t="s">
        <v>333</v>
      </c>
      <c r="C107" t="s">
        <v>334</v>
      </c>
      <c r="D107" t="s">
        <v>300</v>
      </c>
    </row>
    <row r="108">
      <c r="B108" t="s">
        <v>335</v>
      </c>
      <c r="C108" t="s">
        <v>336</v>
      </c>
      <c r="D108" t="s">
        <v>300</v>
      </c>
    </row>
    <row r="109">
      <c r="B109" t="s">
        <v>337</v>
      </c>
      <c r="C109" t="s">
        <v>338</v>
      </c>
      <c r="D109" t="s">
        <v>300</v>
      </c>
    </row>
    <row r="110">
      <c r="B110" t="s">
        <v>339</v>
      </c>
      <c r="C110" t="s">
        <v>340</v>
      </c>
      <c r="D110" t="s">
        <v>300</v>
      </c>
    </row>
    <row r="111">
      <c r="B111" t="s">
        <v>341</v>
      </c>
      <c r="C111" t="s">
        <v>342</v>
      </c>
      <c r="D111" t="s">
        <v>300</v>
      </c>
    </row>
    <row r="112">
      <c r="B112" t="s">
        <v>343</v>
      </c>
      <c r="C112" t="s">
        <v>344</v>
      </c>
      <c r="D112" t="s">
        <v>300</v>
      </c>
    </row>
    <row r="113">
      <c r="B113" t="s">
        <v>345</v>
      </c>
      <c r="C113" t="s">
        <v>346</v>
      </c>
      <c r="D113" t="s">
        <v>300</v>
      </c>
    </row>
    <row r="114">
      <c r="B114" t="s">
        <v>347</v>
      </c>
      <c r="C114" t="s">
        <v>348</v>
      </c>
      <c r="D114" t="s">
        <v>300</v>
      </c>
    </row>
    <row r="115">
      <c r="B115" t="s">
        <v>349</v>
      </c>
      <c r="C115" t="s">
        <v>350</v>
      </c>
      <c r="D115" t="s">
        <v>300</v>
      </c>
    </row>
    <row r="116">
      <c r="B116" t="s">
        <v>351</v>
      </c>
      <c r="C116" t="s">
        <v>352</v>
      </c>
      <c r="D116" t="s">
        <v>300</v>
      </c>
    </row>
    <row r="117">
      <c r="B117" t="s">
        <v>353</v>
      </c>
      <c r="C117" t="s">
        <v>354</v>
      </c>
      <c r="D117" t="s">
        <v>300</v>
      </c>
    </row>
    <row r="118">
      <c r="B118" t="s">
        <v>355</v>
      </c>
      <c r="C118" t="s">
        <v>356</v>
      </c>
      <c r="D118" t="s">
        <v>300</v>
      </c>
    </row>
  </sheetData>
  <hyperlinks>
    <hyperlink ref="A1" location="MENU!A1" display="MENU"/>
  </hyperlinks>
</worksheet>
</file>

<file path=xl/worksheets/sheet5.xml><?xml version="1.0" encoding="utf-8"?>
<worksheet xmlns:r="http://schemas.openxmlformats.org/officeDocument/2006/relationships" xmlns="http://schemas.openxmlformats.org/spreadsheetml/2006/main">
  <sheetPr>
    <tabColor rgb="FF92D050"/>
  </sheetPr>
  <sheetViews>
    <sheetView workbookViewId="0">
      <selection activeCell="D43" sqref="D43"/>
    </sheetView>
  </sheetViews>
  <sheetFormatPr defaultRowHeight="15"/>
  <cols>
    <col min="2" max="2" width="24.57031" customWidth="1"/>
    <col min="3" max="3" width="53" customWidth="1"/>
    <col min="4" max="4" width="46" bestFit="1" customWidth="1"/>
  </cols>
  <sheetData>
    <row r="1" ht="14.5">
      <c r="A1" s="9" t="s">
        <v>38</v>
      </c>
    </row>
    <row r="2" ht="14.5">
      <c r="B2" s="19" t="s">
        <v>106</v>
      </c>
      <c r="C2" s="19" t="s">
        <v>107</v>
      </c>
      <c r="D2" s="19" t="s">
        <v>108</v>
      </c>
    </row>
    <row r="3">
      <c r="B3" t="s">
        <v>357</v>
      </c>
      <c r="C3" t="s">
        <v>358</v>
      </c>
      <c r="D3" t="s">
        <v>359</v>
      </c>
    </row>
    <row r="4">
      <c r="B4" t="s">
        <v>360</v>
      </c>
      <c r="C4" t="s">
        <v>361</v>
      </c>
      <c r="D4" t="s">
        <v>359</v>
      </c>
    </row>
    <row r="5">
      <c r="B5" t="s">
        <v>362</v>
      </c>
      <c r="C5" t="s">
        <v>363</v>
      </c>
      <c r="D5" t="s">
        <v>359</v>
      </c>
    </row>
    <row r="6">
      <c r="B6" t="s">
        <v>364</v>
      </c>
      <c r="C6" t="s">
        <v>365</v>
      </c>
      <c r="D6" t="s">
        <v>359</v>
      </c>
    </row>
    <row r="7">
      <c r="B7" t="s">
        <v>366</v>
      </c>
      <c r="C7" t="s">
        <v>367</v>
      </c>
      <c r="D7" t="s">
        <v>359</v>
      </c>
    </row>
    <row r="8">
      <c r="B8" t="s">
        <v>368</v>
      </c>
      <c r="C8" t="s">
        <v>369</v>
      </c>
      <c r="D8" t="s">
        <v>359</v>
      </c>
    </row>
    <row r="9">
      <c r="B9" t="s">
        <v>370</v>
      </c>
      <c r="C9" t="s">
        <v>371</v>
      </c>
      <c r="D9" t="s">
        <v>359</v>
      </c>
    </row>
    <row r="10">
      <c r="B10" t="s">
        <v>372</v>
      </c>
      <c r="C10" t="s">
        <v>373</v>
      </c>
      <c r="D10" t="s">
        <v>359</v>
      </c>
    </row>
    <row r="11">
      <c r="B11" t="s">
        <v>374</v>
      </c>
      <c r="C11" t="s">
        <v>375</v>
      </c>
      <c r="D11" t="s">
        <v>359</v>
      </c>
    </row>
    <row r="12">
      <c r="B12" t="s">
        <v>376</v>
      </c>
      <c r="C12" t="s">
        <v>377</v>
      </c>
      <c r="D12" t="s">
        <v>359</v>
      </c>
    </row>
    <row r="13">
      <c r="B13" t="s">
        <v>378</v>
      </c>
      <c r="C13" t="s">
        <v>379</v>
      </c>
      <c r="D13" t="s">
        <v>359</v>
      </c>
    </row>
    <row r="14">
      <c r="B14" t="s">
        <v>380</v>
      </c>
      <c r="C14" t="s">
        <v>381</v>
      </c>
      <c r="D14" t="s">
        <v>359</v>
      </c>
    </row>
    <row r="15">
      <c r="B15" t="s">
        <v>382</v>
      </c>
      <c r="C15" t="s">
        <v>383</v>
      </c>
      <c r="D15" t="s">
        <v>384</v>
      </c>
    </row>
    <row r="16">
      <c r="B16" t="s">
        <v>385</v>
      </c>
      <c r="C16" t="s">
        <v>386</v>
      </c>
      <c r="D16" t="s">
        <v>384</v>
      </c>
    </row>
    <row r="17">
      <c r="B17" t="s">
        <v>387</v>
      </c>
      <c r="C17" t="s">
        <v>388</v>
      </c>
      <c r="D17" t="s">
        <v>384</v>
      </c>
    </row>
    <row r="18">
      <c r="B18" t="s">
        <v>389</v>
      </c>
      <c r="C18" t="s">
        <v>390</v>
      </c>
      <c r="D18" t="s">
        <v>384</v>
      </c>
    </row>
    <row r="19">
      <c r="B19" t="s">
        <v>391</v>
      </c>
      <c r="C19" t="s">
        <v>392</v>
      </c>
      <c r="D19" t="s">
        <v>384</v>
      </c>
    </row>
    <row r="20">
      <c r="B20" t="s">
        <v>393</v>
      </c>
      <c r="C20" t="s">
        <v>394</v>
      </c>
      <c r="D20" t="s">
        <v>384</v>
      </c>
    </row>
    <row r="21">
      <c r="B21" t="s">
        <v>395</v>
      </c>
      <c r="C21" t="s">
        <v>396</v>
      </c>
      <c r="D21" t="s">
        <v>384</v>
      </c>
    </row>
    <row r="22">
      <c r="B22" t="s">
        <v>397</v>
      </c>
      <c r="C22" t="s">
        <v>398</v>
      </c>
      <c r="D22" t="s">
        <v>384</v>
      </c>
    </row>
    <row r="23">
      <c r="B23" t="s">
        <v>399</v>
      </c>
      <c r="C23" t="s">
        <v>400</v>
      </c>
      <c r="D23" t="s">
        <v>401</v>
      </c>
    </row>
    <row r="24">
      <c r="B24" t="s">
        <v>402</v>
      </c>
      <c r="C24" t="s">
        <v>403</v>
      </c>
      <c r="D24" t="s">
        <v>401</v>
      </c>
    </row>
    <row r="25">
      <c r="B25" t="s">
        <v>404</v>
      </c>
      <c r="C25" t="s">
        <v>405</v>
      </c>
      <c r="D25" t="s">
        <v>401</v>
      </c>
    </row>
    <row r="26">
      <c r="B26" t="s">
        <v>406</v>
      </c>
      <c r="C26" t="s">
        <v>407</v>
      </c>
      <c r="D26" t="s">
        <v>401</v>
      </c>
    </row>
    <row r="27">
      <c r="B27" t="s">
        <v>408</v>
      </c>
      <c r="C27" t="s">
        <v>409</v>
      </c>
      <c r="D27" t="s">
        <v>401</v>
      </c>
    </row>
    <row r="28">
      <c r="B28" t="s">
        <v>410</v>
      </c>
      <c r="C28" t="s">
        <v>411</v>
      </c>
      <c r="D28" t="s">
        <v>401</v>
      </c>
    </row>
    <row r="29">
      <c r="B29" t="s">
        <v>412</v>
      </c>
      <c r="C29" t="s">
        <v>413</v>
      </c>
      <c r="D29" t="s">
        <v>401</v>
      </c>
    </row>
    <row r="30">
      <c r="B30" t="s">
        <v>414</v>
      </c>
      <c r="C30" t="s">
        <v>415</v>
      </c>
      <c r="D30" t="s">
        <v>401</v>
      </c>
    </row>
    <row r="31">
      <c r="B31" t="s">
        <v>416</v>
      </c>
      <c r="C31" t="s">
        <v>417</v>
      </c>
      <c r="D31" t="s">
        <v>401</v>
      </c>
    </row>
    <row r="32">
      <c r="B32" t="s">
        <v>418</v>
      </c>
      <c r="C32" t="s">
        <v>419</v>
      </c>
      <c r="D32" t="s">
        <v>401</v>
      </c>
    </row>
    <row r="33">
      <c r="B33" t="s">
        <v>420</v>
      </c>
      <c r="C33" t="s">
        <v>421</v>
      </c>
      <c r="D33" t="s">
        <v>401</v>
      </c>
    </row>
    <row r="34">
      <c r="B34" t="s">
        <v>422</v>
      </c>
      <c r="C34" t="s">
        <v>423</v>
      </c>
      <c r="D34" t="s">
        <v>401</v>
      </c>
    </row>
    <row r="35">
      <c r="B35" t="s">
        <v>424</v>
      </c>
      <c r="C35" t="s">
        <v>425</v>
      </c>
      <c r="D35" t="s">
        <v>426</v>
      </c>
    </row>
    <row r="36">
      <c r="B36" t="s">
        <v>427</v>
      </c>
      <c r="C36" t="s">
        <v>428</v>
      </c>
      <c r="D36" t="s">
        <v>426</v>
      </c>
    </row>
    <row r="37">
      <c r="B37" t="s">
        <v>429</v>
      </c>
      <c r="C37" t="s">
        <v>430</v>
      </c>
      <c r="D37" t="s">
        <v>431</v>
      </c>
    </row>
    <row r="38">
      <c r="B38" t="s">
        <v>432</v>
      </c>
      <c r="C38" t="s">
        <v>433</v>
      </c>
      <c r="D38" t="s">
        <v>431</v>
      </c>
    </row>
    <row r="39">
      <c r="B39" t="s">
        <v>434</v>
      </c>
      <c r="C39" t="s">
        <v>435</v>
      </c>
      <c r="D39" t="s">
        <v>431</v>
      </c>
    </row>
    <row r="40">
      <c r="B40" t="s">
        <v>436</v>
      </c>
      <c r="C40" t="s">
        <v>437</v>
      </c>
      <c r="D40" t="s">
        <v>431</v>
      </c>
    </row>
    <row r="41">
      <c r="B41" t="s">
        <v>438</v>
      </c>
      <c r="C41" t="s">
        <v>439</v>
      </c>
      <c r="D41" t="s">
        <v>431</v>
      </c>
    </row>
    <row r="42">
      <c r="B42" t="s">
        <v>440</v>
      </c>
      <c r="C42" t="s">
        <v>441</v>
      </c>
      <c r="D42" t="s">
        <v>431</v>
      </c>
    </row>
    <row r="43">
      <c r="B43" t="s">
        <v>442</v>
      </c>
      <c r="C43" t="s">
        <v>443</v>
      </c>
      <c r="D43" t="s">
        <v>444</v>
      </c>
    </row>
    <row r="44">
      <c r="B44" t="s">
        <v>445</v>
      </c>
      <c r="C44" t="s">
        <v>446</v>
      </c>
      <c r="D44" t="s">
        <v>444</v>
      </c>
    </row>
    <row r="45">
      <c r="B45" t="s">
        <v>447</v>
      </c>
      <c r="C45" t="s">
        <v>448</v>
      </c>
      <c r="D45" t="s">
        <v>444</v>
      </c>
    </row>
    <row r="46">
      <c r="B46" t="s">
        <v>449</v>
      </c>
      <c r="C46" t="s">
        <v>450</v>
      </c>
      <c r="D46" t="s">
        <v>431</v>
      </c>
    </row>
    <row r="47">
      <c r="B47" t="s">
        <v>451</v>
      </c>
      <c r="C47" t="s">
        <v>452</v>
      </c>
      <c r="D47" t="s">
        <v>444</v>
      </c>
    </row>
    <row r="48">
      <c r="B48" t="s">
        <v>453</v>
      </c>
      <c r="C48" t="s">
        <v>454</v>
      </c>
      <c r="D48" t="s">
        <v>444</v>
      </c>
    </row>
    <row r="49">
      <c r="B49" t="s">
        <v>455</v>
      </c>
      <c r="C49" t="s">
        <v>456</v>
      </c>
      <c r="D49" t="s">
        <v>444</v>
      </c>
    </row>
    <row r="50">
      <c r="B50" t="s">
        <v>457</v>
      </c>
      <c r="C50" t="s">
        <v>458</v>
      </c>
      <c r="D50" t="s">
        <v>444</v>
      </c>
    </row>
    <row r="51">
      <c r="B51" t="s">
        <v>459</v>
      </c>
      <c r="C51" t="s">
        <v>460</v>
      </c>
      <c r="D51" t="s">
        <v>444</v>
      </c>
    </row>
    <row r="52">
      <c r="B52" t="s">
        <v>461</v>
      </c>
      <c r="C52" t="s">
        <v>462</v>
      </c>
      <c r="D52" t="s">
        <v>444</v>
      </c>
    </row>
    <row r="53">
      <c r="B53" t="s">
        <v>463</v>
      </c>
      <c r="C53" t="s">
        <v>464</v>
      </c>
      <c r="D53" t="s">
        <v>444</v>
      </c>
    </row>
    <row r="54">
      <c r="B54" t="s">
        <v>465</v>
      </c>
      <c r="C54" t="s">
        <v>466</v>
      </c>
      <c r="D54" t="s">
        <v>444</v>
      </c>
    </row>
    <row r="55">
      <c r="B55" t="s">
        <v>467</v>
      </c>
      <c r="C55" t="s">
        <v>468</v>
      </c>
      <c r="D55" t="s">
        <v>444</v>
      </c>
    </row>
    <row r="56">
      <c r="B56" t="s">
        <v>469</v>
      </c>
      <c r="C56" t="s">
        <v>470</v>
      </c>
      <c r="D56" t="s">
        <v>444</v>
      </c>
    </row>
    <row r="57">
      <c r="B57" t="s">
        <v>471</v>
      </c>
      <c r="C57" t="s">
        <v>472</v>
      </c>
      <c r="D57" t="s">
        <v>444</v>
      </c>
    </row>
    <row r="58">
      <c r="B58" t="s">
        <v>473</v>
      </c>
      <c r="C58" t="s">
        <v>474</v>
      </c>
      <c r="D58" t="s">
        <v>444</v>
      </c>
    </row>
    <row r="59">
      <c r="B59" t="s">
        <v>475</v>
      </c>
      <c r="C59" t="s">
        <v>476</v>
      </c>
      <c r="D59" t="s">
        <v>444</v>
      </c>
    </row>
    <row r="60">
      <c r="B60" t="s">
        <v>477</v>
      </c>
      <c r="C60" t="s">
        <v>478</v>
      </c>
      <c r="D60" t="s">
        <v>444</v>
      </c>
    </row>
    <row r="61">
      <c r="B61" t="s">
        <v>479</v>
      </c>
      <c r="C61" t="s">
        <v>480</v>
      </c>
      <c r="D61" t="s">
        <v>444</v>
      </c>
    </row>
    <row r="62">
      <c r="B62" t="s">
        <v>481</v>
      </c>
      <c r="C62" t="s">
        <v>482</v>
      </c>
      <c r="D62" t="s">
        <v>444</v>
      </c>
    </row>
    <row r="63">
      <c r="B63" t="s">
        <v>483</v>
      </c>
      <c r="C63" t="s">
        <v>484</v>
      </c>
      <c r="D63" t="s">
        <v>444</v>
      </c>
    </row>
    <row r="64">
      <c r="B64" t="s">
        <v>485</v>
      </c>
      <c r="C64" t="s">
        <v>486</v>
      </c>
      <c r="D64" t="s">
        <v>444</v>
      </c>
    </row>
    <row r="65">
      <c r="B65" t="s">
        <v>487</v>
      </c>
      <c r="C65" t="s">
        <v>488</v>
      </c>
      <c r="D65" t="s">
        <v>444</v>
      </c>
    </row>
    <row r="66">
      <c r="B66" t="s">
        <v>489</v>
      </c>
      <c r="C66" t="s">
        <v>490</v>
      </c>
      <c r="D66" t="s">
        <v>444</v>
      </c>
    </row>
    <row r="67">
      <c r="B67" t="s">
        <v>491</v>
      </c>
      <c r="C67" t="s">
        <v>492</v>
      </c>
      <c r="D67" t="s">
        <v>444</v>
      </c>
    </row>
    <row r="68">
      <c r="B68" t="s">
        <v>493</v>
      </c>
      <c r="C68" t="s">
        <v>494</v>
      </c>
      <c r="D68" t="s">
        <v>444</v>
      </c>
    </row>
    <row r="69">
      <c r="B69" t="s">
        <v>495</v>
      </c>
      <c r="C69" t="s">
        <v>496</v>
      </c>
      <c r="D69" t="s">
        <v>444</v>
      </c>
    </row>
    <row r="70">
      <c r="B70" t="s">
        <v>497</v>
      </c>
      <c r="C70" t="s">
        <v>498</v>
      </c>
      <c r="D70" t="s">
        <v>444</v>
      </c>
    </row>
    <row r="71">
      <c r="B71" t="s">
        <v>499</v>
      </c>
      <c r="C71" t="s">
        <v>500</v>
      </c>
      <c r="D71" t="s">
        <v>444</v>
      </c>
    </row>
    <row r="72">
      <c r="B72" t="s">
        <v>501</v>
      </c>
      <c r="C72" t="s">
        <v>502</v>
      </c>
      <c r="D72" t="s">
        <v>444</v>
      </c>
    </row>
    <row r="73">
      <c r="B73" t="s">
        <v>503</v>
      </c>
      <c r="C73" t="s">
        <v>504</v>
      </c>
      <c r="D73" t="s">
        <v>444</v>
      </c>
    </row>
    <row r="74">
      <c r="B74" t="s">
        <v>505</v>
      </c>
      <c r="C74" t="s">
        <v>506</v>
      </c>
      <c r="D74" t="s">
        <v>444</v>
      </c>
    </row>
    <row r="75">
      <c r="B75" t="s">
        <v>507</v>
      </c>
      <c r="C75" t="s">
        <v>508</v>
      </c>
      <c r="D75" t="s">
        <v>444</v>
      </c>
    </row>
    <row r="76">
      <c r="B76" t="s">
        <v>509</v>
      </c>
      <c r="C76" t="s">
        <v>510</v>
      </c>
      <c r="D76" t="s">
        <v>444</v>
      </c>
    </row>
    <row r="77">
      <c r="B77" t="s">
        <v>511</v>
      </c>
      <c r="C77" t="s">
        <v>512</v>
      </c>
      <c r="D77" t="s">
        <v>444</v>
      </c>
    </row>
    <row r="78">
      <c r="B78" t="s">
        <v>513</v>
      </c>
      <c r="C78" t="s">
        <v>514</v>
      </c>
      <c r="D78" t="s">
        <v>444</v>
      </c>
    </row>
    <row r="79">
      <c r="B79" t="s">
        <v>515</v>
      </c>
      <c r="C79" t="s">
        <v>516</v>
      </c>
      <c r="D79" t="s">
        <v>444</v>
      </c>
    </row>
    <row r="80">
      <c r="B80" t="s">
        <v>517</v>
      </c>
      <c r="C80" t="s">
        <v>518</v>
      </c>
      <c r="D80" t="s">
        <v>444</v>
      </c>
    </row>
    <row r="81">
      <c r="B81" t="s">
        <v>519</v>
      </c>
      <c r="C81" t="s">
        <v>520</v>
      </c>
      <c r="D81" t="s">
        <v>444</v>
      </c>
    </row>
    <row r="82">
      <c r="B82" t="s">
        <v>521</v>
      </c>
      <c r="C82" t="s">
        <v>522</v>
      </c>
      <c r="D82" t="s">
        <v>444</v>
      </c>
    </row>
    <row r="83">
      <c r="B83" t="s">
        <v>523</v>
      </c>
      <c r="C83" t="s">
        <v>524</v>
      </c>
      <c r="D83" t="s">
        <v>431</v>
      </c>
    </row>
    <row r="84">
      <c r="B84" t="s">
        <v>525</v>
      </c>
      <c r="C84" t="s">
        <v>526</v>
      </c>
      <c r="D84" t="s">
        <v>359</v>
      </c>
    </row>
    <row r="85">
      <c r="B85" t="s">
        <v>527</v>
      </c>
      <c r="C85" t="s">
        <v>528</v>
      </c>
      <c r="D85" t="s">
        <v>444</v>
      </c>
    </row>
    <row r="86">
      <c r="B86" t="s">
        <v>529</v>
      </c>
      <c r="C86" t="s">
        <v>530</v>
      </c>
      <c r="D86" t="s">
        <v>444</v>
      </c>
    </row>
    <row r="87">
      <c r="B87" t="s">
        <v>531</v>
      </c>
      <c r="C87" t="s">
        <v>532</v>
      </c>
      <c r="D87" t="s">
        <v>359</v>
      </c>
    </row>
    <row r="88">
      <c r="B88" t="s">
        <v>533</v>
      </c>
      <c r="C88" t="s">
        <v>534</v>
      </c>
      <c r="D88" t="s">
        <v>444</v>
      </c>
    </row>
    <row r="89">
      <c r="B89" t="s">
        <v>535</v>
      </c>
      <c r="C89" t="s">
        <v>536</v>
      </c>
      <c r="D89" t="s">
        <v>444</v>
      </c>
    </row>
    <row r="90">
      <c r="B90" t="s">
        <v>537</v>
      </c>
      <c r="C90" t="s">
        <v>538</v>
      </c>
      <c r="D90" t="s">
        <v>444</v>
      </c>
    </row>
    <row r="91">
      <c r="B91" t="s">
        <v>539</v>
      </c>
      <c r="C91" t="s">
        <v>540</v>
      </c>
      <c r="D91" t="s">
        <v>444</v>
      </c>
    </row>
    <row r="92">
      <c r="B92" t="s">
        <v>541</v>
      </c>
      <c r="C92" t="s">
        <v>542</v>
      </c>
      <c r="D92" t="s">
        <v>359</v>
      </c>
    </row>
    <row r="93">
      <c r="B93" t="s">
        <v>543</v>
      </c>
      <c r="C93" t="s">
        <v>544</v>
      </c>
      <c r="D93" t="s">
        <v>545</v>
      </c>
    </row>
    <row r="94">
      <c r="B94" t="s">
        <v>546</v>
      </c>
      <c r="C94" t="s">
        <v>547</v>
      </c>
      <c r="D94" t="s">
        <v>545</v>
      </c>
    </row>
    <row r="95">
      <c r="B95" t="s">
        <v>548</v>
      </c>
      <c r="C95" t="s">
        <v>549</v>
      </c>
      <c r="D95" t="s">
        <v>545</v>
      </c>
    </row>
    <row r="96">
      <c r="B96" t="s">
        <v>550</v>
      </c>
      <c r="C96" t="s">
        <v>551</v>
      </c>
      <c r="D96" t="s">
        <v>545</v>
      </c>
    </row>
    <row r="97">
      <c r="B97" t="s">
        <v>552</v>
      </c>
      <c r="C97" t="s">
        <v>553</v>
      </c>
      <c r="D97" t="s">
        <v>545</v>
      </c>
    </row>
    <row r="98">
      <c r="B98" t="s">
        <v>554</v>
      </c>
      <c r="C98" t="s">
        <v>555</v>
      </c>
      <c r="D98" t="s">
        <v>545</v>
      </c>
    </row>
    <row r="99">
      <c r="B99" t="s">
        <v>556</v>
      </c>
      <c r="C99" t="s">
        <v>557</v>
      </c>
      <c r="D99" t="s">
        <v>545</v>
      </c>
    </row>
    <row r="100">
      <c r="B100" t="s">
        <v>558</v>
      </c>
      <c r="C100" t="s">
        <v>559</v>
      </c>
      <c r="D100" t="s">
        <v>545</v>
      </c>
    </row>
    <row r="101">
      <c r="B101" t="s">
        <v>560</v>
      </c>
      <c r="C101" t="s">
        <v>561</v>
      </c>
      <c r="D101" t="s">
        <v>561</v>
      </c>
    </row>
    <row r="102">
      <c r="B102" t="s">
        <v>562</v>
      </c>
      <c r="C102" t="s">
        <v>563</v>
      </c>
      <c r="D102" t="s">
        <v>561</v>
      </c>
    </row>
    <row r="103">
      <c r="B103" t="s">
        <v>564</v>
      </c>
      <c r="C103" t="s">
        <v>565</v>
      </c>
      <c r="D103" t="s">
        <v>545</v>
      </c>
    </row>
    <row r="104">
      <c r="B104" t="s">
        <v>566</v>
      </c>
      <c r="C104" t="s">
        <v>567</v>
      </c>
      <c r="D104" t="s">
        <v>545</v>
      </c>
    </row>
    <row r="105">
      <c r="B105" t="s">
        <v>568</v>
      </c>
      <c r="C105" t="s">
        <v>569</v>
      </c>
      <c r="D105" t="s">
        <v>570</v>
      </c>
    </row>
    <row r="106">
      <c r="B106" t="s">
        <v>571</v>
      </c>
      <c r="C106" t="s">
        <v>572</v>
      </c>
      <c r="D106" t="s">
        <v>570</v>
      </c>
    </row>
    <row r="107">
      <c r="B107" t="s">
        <v>573</v>
      </c>
      <c r="C107" t="s">
        <v>574</v>
      </c>
      <c r="D107" t="s">
        <v>570</v>
      </c>
    </row>
    <row r="108">
      <c r="B108" t="s">
        <v>575</v>
      </c>
      <c r="C108" t="s">
        <v>576</v>
      </c>
      <c r="D108" t="s">
        <v>570</v>
      </c>
    </row>
    <row r="109">
      <c r="B109" t="s">
        <v>577</v>
      </c>
      <c r="C109" t="s">
        <v>578</v>
      </c>
      <c r="D109" t="s">
        <v>570</v>
      </c>
    </row>
    <row r="110">
      <c r="B110" t="s">
        <v>579</v>
      </c>
      <c r="C110" t="s">
        <v>580</v>
      </c>
      <c r="D110" t="s">
        <v>570</v>
      </c>
    </row>
    <row r="111">
      <c r="B111" t="s">
        <v>581</v>
      </c>
      <c r="C111" t="s">
        <v>582</v>
      </c>
      <c r="D111" t="s">
        <v>570</v>
      </c>
    </row>
    <row r="112">
      <c r="B112" t="s">
        <v>583</v>
      </c>
      <c r="C112" t="s">
        <v>584</v>
      </c>
      <c r="D112" t="s">
        <v>570</v>
      </c>
    </row>
    <row r="113">
      <c r="B113" t="s">
        <v>585</v>
      </c>
      <c r="C113" t="s">
        <v>586</v>
      </c>
      <c r="D113" t="s">
        <v>570</v>
      </c>
    </row>
    <row r="114">
      <c r="B114" t="s">
        <v>587</v>
      </c>
      <c r="C114" t="s">
        <v>588</v>
      </c>
      <c r="D114" t="s">
        <v>589</v>
      </c>
    </row>
    <row r="115">
      <c r="B115" t="s">
        <v>590</v>
      </c>
      <c r="C115" t="s">
        <v>591</v>
      </c>
      <c r="D115" t="s">
        <v>589</v>
      </c>
    </row>
    <row r="116">
      <c r="B116" t="s">
        <v>592</v>
      </c>
      <c r="C116" t="s">
        <v>593</v>
      </c>
      <c r="D116" t="s">
        <v>589</v>
      </c>
    </row>
    <row r="117">
      <c r="B117" t="s">
        <v>594</v>
      </c>
      <c r="C117" t="s">
        <v>595</v>
      </c>
      <c r="D117" t="s">
        <v>589</v>
      </c>
    </row>
    <row r="118">
      <c r="B118" t="s">
        <v>596</v>
      </c>
      <c r="C118" t="s">
        <v>597</v>
      </c>
      <c r="D118" t="s">
        <v>589</v>
      </c>
    </row>
    <row r="119">
      <c r="B119" t="s">
        <v>598</v>
      </c>
      <c r="C119" t="s">
        <v>599</v>
      </c>
      <c r="D119" t="s">
        <v>589</v>
      </c>
    </row>
    <row r="120">
      <c r="B120" t="s">
        <v>600</v>
      </c>
      <c r="C120" t="s">
        <v>601</v>
      </c>
      <c r="D120" t="s">
        <v>589</v>
      </c>
    </row>
    <row r="121">
      <c r="B121" t="s">
        <v>602</v>
      </c>
      <c r="C121" t="s">
        <v>603</v>
      </c>
      <c r="D121" t="s">
        <v>589</v>
      </c>
    </row>
    <row r="122">
      <c r="B122" t="s">
        <v>604</v>
      </c>
      <c r="C122" t="s">
        <v>605</v>
      </c>
      <c r="D122" t="s">
        <v>589</v>
      </c>
    </row>
    <row r="123">
      <c r="B123" t="s">
        <v>606</v>
      </c>
      <c r="C123" t="s">
        <v>607</v>
      </c>
      <c r="D123" t="s">
        <v>589</v>
      </c>
    </row>
    <row r="124">
      <c r="B124" t="s">
        <v>608</v>
      </c>
      <c r="C124" t="s">
        <v>609</v>
      </c>
      <c r="D124" t="s">
        <v>589</v>
      </c>
    </row>
    <row r="125">
      <c r="B125" t="s">
        <v>610</v>
      </c>
      <c r="C125" t="s">
        <v>611</v>
      </c>
      <c r="D125" t="s">
        <v>589</v>
      </c>
    </row>
    <row r="126">
      <c r="B126" t="s">
        <v>612</v>
      </c>
      <c r="C126" t="s">
        <v>613</v>
      </c>
      <c r="D126" t="s">
        <v>589</v>
      </c>
    </row>
    <row r="127">
      <c r="B127" t="s">
        <v>614</v>
      </c>
      <c r="C127" t="s">
        <v>615</v>
      </c>
      <c r="D127" t="s">
        <v>616</v>
      </c>
    </row>
    <row r="128">
      <c r="B128" t="s">
        <v>617</v>
      </c>
      <c r="C128" t="s">
        <v>618</v>
      </c>
      <c r="D128" t="s">
        <v>616</v>
      </c>
    </row>
    <row r="129">
      <c r="B129" t="s">
        <v>619</v>
      </c>
      <c r="C129" t="s">
        <v>620</v>
      </c>
      <c r="D129" t="s">
        <v>616</v>
      </c>
    </row>
    <row r="130">
      <c r="B130" t="s">
        <v>621</v>
      </c>
      <c r="C130" t="s">
        <v>622</v>
      </c>
      <c r="D130" t="s">
        <v>616</v>
      </c>
    </row>
    <row r="131">
      <c r="B131" t="s">
        <v>623</v>
      </c>
      <c r="C131" t="s">
        <v>624</v>
      </c>
      <c r="D131" t="s">
        <v>616</v>
      </c>
    </row>
    <row r="132">
      <c r="B132" t="s">
        <v>625</v>
      </c>
      <c r="C132" t="s">
        <v>626</v>
      </c>
      <c r="D132" t="s">
        <v>616</v>
      </c>
    </row>
    <row r="133">
      <c r="B133" t="s">
        <v>627</v>
      </c>
      <c r="C133" t="s">
        <v>628</v>
      </c>
      <c r="D133" t="s">
        <v>616</v>
      </c>
    </row>
    <row r="134">
      <c r="B134" t="s">
        <v>629</v>
      </c>
      <c r="C134" t="s">
        <v>630</v>
      </c>
      <c r="D134" t="s">
        <v>631</v>
      </c>
    </row>
    <row r="135">
      <c r="B135" t="s">
        <v>632</v>
      </c>
      <c r="C135" t="s">
        <v>633</v>
      </c>
      <c r="D135" t="s">
        <v>631</v>
      </c>
    </row>
    <row r="136">
      <c r="B136" t="s">
        <v>634</v>
      </c>
      <c r="C136" t="s">
        <v>635</v>
      </c>
      <c r="D136" t="s">
        <v>561</v>
      </c>
    </row>
    <row r="137">
      <c r="B137" t="s">
        <v>636</v>
      </c>
      <c r="C137" t="s">
        <v>637</v>
      </c>
      <c r="D137" t="s">
        <v>561</v>
      </c>
    </row>
    <row r="138">
      <c r="B138" t="s">
        <v>638</v>
      </c>
      <c r="C138" t="s">
        <v>639</v>
      </c>
      <c r="D138" t="s">
        <v>639</v>
      </c>
    </row>
    <row r="139">
      <c r="B139" t="s">
        <v>640</v>
      </c>
      <c r="C139" t="s">
        <v>641</v>
      </c>
      <c r="D139" t="s">
        <v>639</v>
      </c>
    </row>
    <row r="140">
      <c r="B140" t="s">
        <v>642</v>
      </c>
      <c r="C140" t="s">
        <v>643</v>
      </c>
      <c r="D140" t="s">
        <v>639</v>
      </c>
    </row>
    <row r="141">
      <c r="B141" t="s">
        <v>644</v>
      </c>
      <c r="C141" t="s">
        <v>645</v>
      </c>
      <c r="D141" t="s">
        <v>359</v>
      </c>
    </row>
    <row r="142">
      <c r="B142" t="s">
        <v>646</v>
      </c>
      <c r="C142" t="s">
        <v>647</v>
      </c>
      <c r="D142" t="s">
        <v>639</v>
      </c>
    </row>
    <row r="143">
      <c r="B143" t="s">
        <v>648</v>
      </c>
      <c r="C143" t="s">
        <v>649</v>
      </c>
      <c r="D143" t="s">
        <v>359</v>
      </c>
    </row>
    <row r="144">
      <c r="B144" t="s">
        <v>650</v>
      </c>
      <c r="C144" t="s">
        <v>651</v>
      </c>
      <c r="D144" t="s">
        <v>651</v>
      </c>
    </row>
    <row r="145">
      <c r="B145" t="s">
        <v>652</v>
      </c>
      <c r="C145" t="s">
        <v>653</v>
      </c>
      <c r="D145" t="s">
        <v>651</v>
      </c>
    </row>
    <row r="146">
      <c r="B146" t="s">
        <v>654</v>
      </c>
      <c r="C146" t="s">
        <v>655</v>
      </c>
      <c r="D146" t="s">
        <v>651</v>
      </c>
    </row>
    <row r="147">
      <c r="B147" t="s">
        <v>656</v>
      </c>
      <c r="C147" t="s">
        <v>657</v>
      </c>
      <c r="D147" t="s">
        <v>561</v>
      </c>
    </row>
    <row r="148">
      <c r="B148" t="s">
        <v>658</v>
      </c>
      <c r="C148" t="s">
        <v>659</v>
      </c>
      <c r="D148" t="s">
        <v>561</v>
      </c>
    </row>
    <row r="149">
      <c r="B149" t="s">
        <v>660</v>
      </c>
      <c r="C149" t="s">
        <v>661</v>
      </c>
      <c r="D149" t="s">
        <v>651</v>
      </c>
    </row>
    <row r="150">
      <c r="B150" t="s">
        <v>662</v>
      </c>
      <c r="C150" t="s">
        <v>663</v>
      </c>
      <c r="D150" t="s">
        <v>651</v>
      </c>
    </row>
    <row r="151">
      <c r="B151" t="s">
        <v>664</v>
      </c>
      <c r="C151" t="s">
        <v>665</v>
      </c>
      <c r="D151" t="s">
        <v>651</v>
      </c>
    </row>
    <row r="152">
      <c r="B152" t="s">
        <v>666</v>
      </c>
      <c r="C152" t="s">
        <v>667</v>
      </c>
      <c r="D152" t="s">
        <v>668</v>
      </c>
    </row>
    <row r="153">
      <c r="B153" t="s">
        <v>669</v>
      </c>
      <c r="C153" t="s">
        <v>670</v>
      </c>
      <c r="D153" t="s">
        <v>668</v>
      </c>
    </row>
    <row r="154">
      <c r="B154" t="s">
        <v>671</v>
      </c>
      <c r="C154" t="s">
        <v>672</v>
      </c>
      <c r="D154" t="s">
        <v>668</v>
      </c>
    </row>
    <row r="155">
      <c r="B155" t="s">
        <v>673</v>
      </c>
      <c r="C155" t="s">
        <v>674</v>
      </c>
      <c r="D155" t="s">
        <v>668</v>
      </c>
    </row>
    <row r="156">
      <c r="B156" t="s">
        <v>675</v>
      </c>
      <c r="C156" t="s">
        <v>676</v>
      </c>
      <c r="D156" t="s">
        <v>677</v>
      </c>
    </row>
    <row r="157">
      <c r="B157" t="s">
        <v>678</v>
      </c>
      <c r="C157" t="s">
        <v>679</v>
      </c>
      <c r="D157" t="s">
        <v>677</v>
      </c>
    </row>
    <row r="158">
      <c r="B158" t="s">
        <v>680</v>
      </c>
      <c r="C158" t="s">
        <v>681</v>
      </c>
      <c r="D158" t="s">
        <v>677</v>
      </c>
    </row>
    <row r="159">
      <c r="B159" t="s">
        <v>682</v>
      </c>
      <c r="C159" t="s">
        <v>683</v>
      </c>
      <c r="D159" t="s">
        <v>651</v>
      </c>
    </row>
    <row r="160">
      <c r="B160" t="s">
        <v>684</v>
      </c>
      <c r="C160" t="s">
        <v>685</v>
      </c>
      <c r="D160" t="s">
        <v>677</v>
      </c>
    </row>
    <row r="161">
      <c r="B161" t="s">
        <v>686</v>
      </c>
      <c r="C161" t="s">
        <v>687</v>
      </c>
      <c r="D161" t="s">
        <v>688</v>
      </c>
    </row>
    <row r="162">
      <c r="B162" t="s">
        <v>689</v>
      </c>
      <c r="C162" t="s">
        <v>690</v>
      </c>
      <c r="D162" t="s">
        <v>688</v>
      </c>
    </row>
    <row r="163">
      <c r="B163" t="s">
        <v>691</v>
      </c>
      <c r="C163" t="s">
        <v>692</v>
      </c>
      <c r="D163" t="s">
        <v>688</v>
      </c>
    </row>
  </sheetData>
  <hyperlinks>
    <hyperlink ref="A1" location="MENU!A1" display="MENU"/>
  </hyperlinks>
</worksheet>
</file>

<file path=xl/worksheets/sheet6.xml><?xml version="1.0" encoding="utf-8"?>
<worksheet xmlns:r="http://schemas.openxmlformats.org/officeDocument/2006/relationships" xmlns="http://schemas.openxmlformats.org/spreadsheetml/2006/main">
  <sheetPr>
    <tabColor rgb="FF92D050"/>
  </sheetPr>
  <sheetViews>
    <sheetView workbookViewId="0">
      <selection activeCell="A3" sqref="A3"/>
    </sheetView>
  </sheetViews>
  <sheetFormatPr defaultRowHeight="15"/>
  <cols>
    <col min="2" max="2" width="18.42578" bestFit="1" customWidth="1"/>
    <col min="3" max="62" width="10.57031" bestFit="1" customWidth="1"/>
  </cols>
  <sheetData>
    <row r="1" ht="14.5">
      <c r="A1" s="9" t="s">
        <v>38</v>
      </c>
    </row>
    <row r="2" ht="14.5">
      <c r="B2" s="3" t="s">
        <v>693</v>
      </c>
      <c r="C2" s="20">
        <f>+EOMONTH(MENU!B1,1)</f>
        <v>45961</v>
      </c>
      <c r="D2" s="20">
        <f>+EOMONTH(C2,1)</f>
        <v>45991</v>
      </c>
      <c r="E2" s="20">
        <f t="shared" ref="E2:BJ2" si="0">+EOMONTH(D2,1)</f>
        <v>46022</v>
      </c>
      <c r="F2" s="20">
        <f t="shared" si="0"/>
        <v>46053</v>
      </c>
      <c r="G2" s="20">
        <f t="shared" si="0"/>
        <v>46081</v>
      </c>
      <c r="H2" s="20">
        <f t="shared" si="0"/>
        <v>46112</v>
      </c>
      <c r="I2" s="20">
        <f t="shared" si="0"/>
        <v>46142</v>
      </c>
      <c r="J2" s="20">
        <f t="shared" si="0"/>
        <v>46173</v>
      </c>
      <c r="K2" s="20">
        <f t="shared" si="0"/>
        <v>46203</v>
      </c>
      <c r="L2" s="20">
        <f t="shared" si="0"/>
        <v>46234</v>
      </c>
      <c r="M2" s="20">
        <f t="shared" si="0"/>
        <v>46265</v>
      </c>
      <c r="N2" s="20">
        <f t="shared" si="0"/>
        <v>46295</v>
      </c>
      <c r="O2" s="20">
        <f t="shared" si="0"/>
        <v>46326</v>
      </c>
      <c r="P2" s="20">
        <f t="shared" si="0"/>
        <v>46356</v>
      </c>
      <c r="Q2" s="20">
        <f t="shared" si="0"/>
        <v>46387</v>
      </c>
      <c r="R2" s="20">
        <f t="shared" si="0"/>
        <v>46418</v>
      </c>
      <c r="S2" s="20">
        <f t="shared" si="0"/>
        <v>46446</v>
      </c>
      <c r="T2" s="20">
        <f t="shared" si="0"/>
        <v>46477</v>
      </c>
      <c r="U2" s="20">
        <f t="shared" si="0"/>
        <v>46507</v>
      </c>
      <c r="V2" s="20">
        <f t="shared" si="0"/>
        <v>46538</v>
      </c>
      <c r="W2" s="20">
        <f t="shared" si="0"/>
        <v>46568</v>
      </c>
      <c r="X2" s="20">
        <f t="shared" si="0"/>
        <v>46599</v>
      </c>
      <c r="Y2" s="20">
        <f t="shared" si="0"/>
        <v>46630</v>
      </c>
      <c r="Z2" s="20">
        <f t="shared" si="0"/>
        <v>46660</v>
      </c>
      <c r="AA2" s="20">
        <f t="shared" si="0"/>
        <v>46691</v>
      </c>
      <c r="AB2" s="20">
        <f t="shared" si="0"/>
        <v>46721</v>
      </c>
      <c r="AC2" s="20">
        <f t="shared" si="0"/>
        <v>46752</v>
      </c>
      <c r="AD2" s="20">
        <f t="shared" si="0"/>
        <v>46783</v>
      </c>
      <c r="AE2" s="20">
        <f t="shared" si="0"/>
        <v>46812</v>
      </c>
      <c r="AF2" s="20">
        <f t="shared" si="0"/>
        <v>46843</v>
      </c>
      <c r="AG2" s="20">
        <f t="shared" si="0"/>
        <v>46873</v>
      </c>
      <c r="AH2" s="20">
        <f t="shared" si="0"/>
        <v>46904</v>
      </c>
      <c r="AI2" s="20">
        <f t="shared" si="0"/>
        <v>46934</v>
      </c>
      <c r="AJ2" s="20">
        <f t="shared" si="0"/>
        <v>46965</v>
      </c>
      <c r="AK2" s="20">
        <f t="shared" si="0"/>
        <v>46996</v>
      </c>
      <c r="AL2" s="20">
        <f t="shared" si="0"/>
        <v>47026</v>
      </c>
      <c r="AM2" s="20">
        <f t="shared" si="0"/>
        <v>47057</v>
      </c>
      <c r="AN2" s="20">
        <f t="shared" si="0"/>
        <v>47087</v>
      </c>
      <c r="AO2" s="20">
        <f t="shared" si="0"/>
        <v>47118</v>
      </c>
      <c r="AP2" s="20">
        <f t="shared" si="0"/>
        <v>47149</v>
      </c>
      <c r="AQ2" s="20">
        <f t="shared" si="0"/>
        <v>47177</v>
      </c>
      <c r="AR2" s="20">
        <f t="shared" si="0"/>
        <v>47208</v>
      </c>
      <c r="AS2" s="20">
        <f t="shared" si="0"/>
        <v>47238</v>
      </c>
      <c r="AT2" s="20">
        <f t="shared" si="0"/>
        <v>47269</v>
      </c>
      <c r="AU2" s="20">
        <f t="shared" si="0"/>
        <v>47299</v>
      </c>
      <c r="AV2" s="20">
        <f t="shared" si="0"/>
        <v>47330</v>
      </c>
      <c r="AW2" s="20">
        <f t="shared" si="0"/>
        <v>47361</v>
      </c>
      <c r="AX2" s="20">
        <f t="shared" si="0"/>
        <v>47391</v>
      </c>
      <c r="AY2" s="20">
        <f t="shared" si="0"/>
        <v>47422</v>
      </c>
      <c r="AZ2" s="20">
        <f t="shared" si="0"/>
        <v>47452</v>
      </c>
      <c r="BA2" s="20">
        <f t="shared" si="0"/>
        <v>47483</v>
      </c>
      <c r="BB2" s="20">
        <f t="shared" si="0"/>
        <v>47514</v>
      </c>
      <c r="BC2" s="20">
        <f t="shared" si="0"/>
        <v>47542</v>
      </c>
      <c r="BD2" s="20">
        <f t="shared" si="0"/>
        <v>47573</v>
      </c>
      <c r="BE2" s="20">
        <f t="shared" si="0"/>
        <v>47603</v>
      </c>
      <c r="BF2" s="20">
        <f t="shared" si="0"/>
        <v>47634</v>
      </c>
      <c r="BG2" s="20">
        <f t="shared" si="0"/>
        <v>47664</v>
      </c>
      <c r="BH2" s="20">
        <f t="shared" si="0"/>
        <v>47695</v>
      </c>
      <c r="BI2" s="20">
        <f t="shared" si="0"/>
        <v>47726</v>
      </c>
      <c r="BJ2" s="20">
        <f t="shared" si="0"/>
        <v>47756</v>
      </c>
    </row>
    <row r="3" ht="14.5">
      <c r="B3" t="s">
        <v>694</v>
      </c>
    </row>
    <row r="4" ht="14.5">
      <c r="B4" t="s">
        <v>694</v>
      </c>
    </row>
    <row r="5" ht="14.5">
      <c r="B5" t="s">
        <v>694</v>
      </c>
    </row>
    <row r="6" ht="14.5">
      <c r="B6" t="s">
        <v>694</v>
      </c>
    </row>
    <row r="7" ht="14.5">
      <c r="B7" t="s">
        <v>694</v>
      </c>
    </row>
    <row r="8" ht="14.5">
      <c r="B8" t="s">
        <v>694</v>
      </c>
    </row>
    <row r="9" ht="14.5">
      <c r="B9" t="s">
        <v>694</v>
      </c>
    </row>
    <row r="10" ht="14.5">
      <c r="B10" t="s">
        <v>694</v>
      </c>
    </row>
    <row r="11" ht="14.5">
      <c r="B11" t="s">
        <v>694</v>
      </c>
    </row>
    <row r="12" ht="14.5">
      <c r="B12" t="s">
        <v>694</v>
      </c>
    </row>
    <row r="13" ht="14.5">
      <c r="B13" t="s">
        <v>694</v>
      </c>
    </row>
    <row r="14" ht="14.5">
      <c r="B14" t="s">
        <v>694</v>
      </c>
    </row>
    <row r="15" ht="14.5">
      <c r="B15" t="s">
        <v>694</v>
      </c>
    </row>
    <row r="16" ht="14.5">
      <c r="B16" t="s">
        <v>694</v>
      </c>
    </row>
    <row r="17" ht="14.5">
      <c r="B17" t="s">
        <v>694</v>
      </c>
    </row>
    <row r="18" ht="14.5">
      <c r="B18" t="s">
        <v>694</v>
      </c>
    </row>
    <row r="19" ht="14.5">
      <c r="B19" t="s">
        <v>694</v>
      </c>
    </row>
    <row r="20" ht="14.5">
      <c r="B20" t="s">
        <v>694</v>
      </c>
    </row>
    <row r="21" ht="14.5">
      <c r="B21" t="s">
        <v>694</v>
      </c>
    </row>
    <row r="22" ht="14.5">
      <c r="B22" t="s">
        <v>694</v>
      </c>
    </row>
    <row r="23" ht="14.5">
      <c r="B23" t="s">
        <v>694</v>
      </c>
    </row>
    <row r="24" ht="14.5">
      <c r="B24" t="s">
        <v>694</v>
      </c>
    </row>
    <row r="25" ht="14.5">
      <c r="B25" t="s">
        <v>694</v>
      </c>
    </row>
    <row r="26" ht="14.5">
      <c r="B26" t="s">
        <v>694</v>
      </c>
    </row>
    <row r="27" ht="14.5">
      <c r="B27" t="s">
        <v>694</v>
      </c>
    </row>
    <row r="28" ht="14.5">
      <c r="B28" t="s">
        <v>694</v>
      </c>
    </row>
    <row r="29" ht="14.5">
      <c r="B29" t="s">
        <v>694</v>
      </c>
    </row>
    <row r="30" ht="14.5">
      <c r="B30" t="s">
        <v>694</v>
      </c>
    </row>
    <row r="31" ht="14.5">
      <c r="B31" t="s">
        <v>694</v>
      </c>
    </row>
    <row r="32" ht="14.5">
      <c r="B32" t="s">
        <v>694</v>
      </c>
    </row>
    <row r="33" ht="14.5">
      <c r="B33" t="s">
        <v>694</v>
      </c>
    </row>
    <row r="34" ht="14.5">
      <c r="B34" t="s">
        <v>694</v>
      </c>
    </row>
    <row r="35" ht="14.5">
      <c r="B35" t="s">
        <v>694</v>
      </c>
    </row>
    <row r="36" ht="14.5">
      <c r="B36" t="s">
        <v>694</v>
      </c>
    </row>
    <row r="37" ht="14.5">
      <c r="B37" t="s">
        <v>694</v>
      </c>
    </row>
    <row r="38" ht="14.5">
      <c r="B38" t="s">
        <v>694</v>
      </c>
    </row>
    <row r="39" ht="14.5">
      <c r="B39" t="s">
        <v>694</v>
      </c>
    </row>
    <row r="40" ht="14.5">
      <c r="B40" t="s">
        <v>694</v>
      </c>
    </row>
    <row r="41" ht="14.5">
      <c r="B41" t="s">
        <v>694</v>
      </c>
    </row>
    <row r="42" ht="14.5">
      <c r="B42" t="s">
        <v>694</v>
      </c>
    </row>
    <row r="43" ht="14.5">
      <c r="B43" t="s">
        <v>694</v>
      </c>
    </row>
    <row r="44" ht="14.5">
      <c r="B44" t="s">
        <v>694</v>
      </c>
    </row>
    <row r="45" ht="14.5">
      <c r="B45" t="s">
        <v>694</v>
      </c>
    </row>
    <row r="46" ht="14.5">
      <c r="B46" t="s">
        <v>694</v>
      </c>
    </row>
    <row r="47" ht="14.5">
      <c r="B47" t="s">
        <v>694</v>
      </c>
    </row>
    <row r="48" ht="14.5">
      <c r="B48" t="s">
        <v>694</v>
      </c>
    </row>
    <row r="49" ht="14.5">
      <c r="B49" t="s">
        <v>694</v>
      </c>
    </row>
    <row r="50" ht="14.5">
      <c r="B50" t="s">
        <v>694</v>
      </c>
    </row>
    <row r="51" ht="14.5">
      <c r="B51" t="s">
        <v>694</v>
      </c>
    </row>
    <row r="52" ht="14.5">
      <c r="B52" t="s">
        <v>694</v>
      </c>
    </row>
    <row r="53" ht="14.5">
      <c r="B53" t="s">
        <v>694</v>
      </c>
    </row>
    <row r="54" ht="14.5">
      <c r="B54" t="s">
        <v>694</v>
      </c>
    </row>
    <row r="55" ht="14.5">
      <c r="B55" t="s">
        <v>694</v>
      </c>
    </row>
    <row r="56" ht="14.5">
      <c r="B56" t="s">
        <v>694</v>
      </c>
    </row>
    <row r="57" ht="14.5">
      <c r="B57" t="s">
        <v>694</v>
      </c>
    </row>
    <row r="58" ht="14.5">
      <c r="B58" t="s">
        <v>694</v>
      </c>
    </row>
    <row r="59" ht="14.5">
      <c r="B59" t="s">
        <v>694</v>
      </c>
    </row>
    <row r="60" ht="14.5">
      <c r="B60" t="s">
        <v>694</v>
      </c>
    </row>
    <row r="61" ht="14.5">
      <c r="B61" t="s">
        <v>694</v>
      </c>
    </row>
    <row r="62" ht="14.5">
      <c r="B62" t="s">
        <v>694</v>
      </c>
    </row>
    <row r="63" ht="14.5">
      <c r="B63" t="s">
        <v>694</v>
      </c>
    </row>
    <row r="64" ht="14.5">
      <c r="B64" t="s">
        <v>694</v>
      </c>
    </row>
    <row r="65" ht="14.5">
      <c r="B65" t="s">
        <v>694</v>
      </c>
    </row>
    <row r="66" ht="14.5">
      <c r="B66" t="s">
        <v>694</v>
      </c>
    </row>
    <row r="67" ht="14.5">
      <c r="B67" t="s">
        <v>694</v>
      </c>
    </row>
    <row r="68" ht="14.5">
      <c r="B68" t="s">
        <v>694</v>
      </c>
    </row>
    <row r="69" ht="14.5">
      <c r="B69" t="s">
        <v>694</v>
      </c>
    </row>
    <row r="70" ht="14.5">
      <c r="B70" t="s">
        <v>694</v>
      </c>
    </row>
    <row r="71" ht="14.5">
      <c r="B71" t="s">
        <v>694</v>
      </c>
    </row>
    <row r="72" ht="14.5">
      <c r="B72" t="s">
        <v>694</v>
      </c>
    </row>
    <row r="73" ht="14.5">
      <c r="B73" t="s">
        <v>694</v>
      </c>
    </row>
    <row r="74" ht="14.5">
      <c r="B74" t="s">
        <v>694</v>
      </c>
    </row>
    <row r="75" ht="14.5">
      <c r="B75" t="s">
        <v>694</v>
      </c>
    </row>
    <row r="76" ht="14.5">
      <c r="B76" t="s">
        <v>694</v>
      </c>
    </row>
    <row r="77" ht="14.5">
      <c r="B77" t="s">
        <v>694</v>
      </c>
    </row>
    <row r="78" ht="14.5">
      <c r="B78" t="s">
        <v>694</v>
      </c>
    </row>
    <row r="79" ht="14.5">
      <c r="B79" t="s">
        <v>694</v>
      </c>
    </row>
    <row r="80" ht="14.5">
      <c r="B80" t="s">
        <v>694</v>
      </c>
    </row>
    <row r="81" ht="14.5">
      <c r="B81" t="s">
        <v>694</v>
      </c>
    </row>
    <row r="82" ht="14.5">
      <c r="B82" t="s">
        <v>694</v>
      </c>
    </row>
    <row r="83" ht="14.5">
      <c r="B83" t="s">
        <v>694</v>
      </c>
    </row>
    <row r="84" ht="14.5">
      <c r="B84" t="s">
        <v>694</v>
      </c>
    </row>
    <row r="85" ht="14.5">
      <c r="B85" t="s">
        <v>694</v>
      </c>
    </row>
    <row r="86" ht="14.5">
      <c r="B86" t="s">
        <v>694</v>
      </c>
    </row>
    <row r="87" ht="14.5">
      <c r="B87" t="s">
        <v>694</v>
      </c>
    </row>
    <row r="88" ht="14.5">
      <c r="B88" t="s">
        <v>694</v>
      </c>
    </row>
    <row r="89" ht="14.5">
      <c r="B89" t="s">
        <v>694</v>
      </c>
    </row>
    <row r="90" ht="14.5">
      <c r="B90" t="s">
        <v>694</v>
      </c>
    </row>
    <row r="91" ht="14.5">
      <c r="B91" t="s">
        <v>694</v>
      </c>
    </row>
    <row r="92" ht="14.5">
      <c r="B92" t="s">
        <v>694</v>
      </c>
    </row>
    <row r="93" ht="14.5">
      <c r="B93" t="s">
        <v>694</v>
      </c>
    </row>
    <row r="94" ht="14.5">
      <c r="B94" t="s">
        <v>694</v>
      </c>
    </row>
    <row r="95" ht="14.5">
      <c r="B95" t="s">
        <v>694</v>
      </c>
    </row>
    <row r="96" ht="14.5">
      <c r="B96" t="s">
        <v>694</v>
      </c>
    </row>
    <row r="97" ht="14.5">
      <c r="B97" t="s">
        <v>694</v>
      </c>
    </row>
    <row r="98" ht="14.5">
      <c r="B98" t="s">
        <v>694</v>
      </c>
    </row>
    <row r="99" ht="14.5">
      <c r="B99" t="s">
        <v>694</v>
      </c>
    </row>
    <row r="100" ht="14.5">
      <c r="B100" t="s">
        <v>694</v>
      </c>
    </row>
    <row r="101" ht="14.5">
      <c r="B101" t="s">
        <v>694</v>
      </c>
    </row>
    <row r="102" ht="14.5">
      <c r="B102" t="s">
        <v>694</v>
      </c>
    </row>
    <row r="103" ht="14.5">
      <c r="B103" t="s">
        <v>694</v>
      </c>
    </row>
    <row r="104" ht="14.5">
      <c r="B104" t="s">
        <v>694</v>
      </c>
    </row>
    <row r="105" ht="14.5">
      <c r="B105" t="s">
        <v>694</v>
      </c>
    </row>
    <row r="106" ht="14.5">
      <c r="B106" t="s">
        <v>694</v>
      </c>
    </row>
    <row r="107" ht="14.5">
      <c r="B107" t="s">
        <v>694</v>
      </c>
    </row>
    <row r="108" ht="14.5">
      <c r="B108" t="s">
        <v>694</v>
      </c>
    </row>
    <row r="109" ht="14.5">
      <c r="B109" t="s">
        <v>694</v>
      </c>
    </row>
    <row r="110" ht="14.5">
      <c r="B110" t="s">
        <v>694</v>
      </c>
    </row>
    <row r="111" ht="14.5">
      <c r="B111" t="s">
        <v>694</v>
      </c>
    </row>
    <row r="112" ht="14.5">
      <c r="B112" t="s">
        <v>694</v>
      </c>
    </row>
    <row r="113" ht="14.5">
      <c r="B113" t="s">
        <v>694</v>
      </c>
    </row>
    <row r="114" ht="14.5">
      <c r="B114" t="s">
        <v>694</v>
      </c>
    </row>
    <row r="115" ht="14.5">
      <c r="B115" t="s">
        <v>694</v>
      </c>
    </row>
    <row r="116" ht="14.5">
      <c r="B116" t="s">
        <v>694</v>
      </c>
    </row>
    <row r="117" ht="14.5">
      <c r="B117" t="s">
        <v>694</v>
      </c>
    </row>
    <row r="118" ht="14.5">
      <c r="B118" t="s">
        <v>694</v>
      </c>
    </row>
    <row r="119" ht="14.5">
      <c r="B119" t="s">
        <v>694</v>
      </c>
    </row>
    <row r="120" ht="14.5">
      <c r="B120" t="s">
        <v>694</v>
      </c>
    </row>
    <row r="121" ht="14.5">
      <c r="B121" t="s">
        <v>694</v>
      </c>
    </row>
    <row r="122" ht="14.5">
      <c r="B122" t="s">
        <v>694</v>
      </c>
    </row>
    <row r="123" ht="14.5">
      <c r="B123" t="s">
        <v>694</v>
      </c>
    </row>
    <row r="124" ht="14.5">
      <c r="B124" t="s">
        <v>694</v>
      </c>
    </row>
    <row r="125" ht="14.5">
      <c r="B125" t="s">
        <v>694</v>
      </c>
    </row>
    <row r="126" ht="14.5">
      <c r="B126" t="s">
        <v>694</v>
      </c>
    </row>
    <row r="127" ht="14.5">
      <c r="B127" t="s">
        <v>694</v>
      </c>
    </row>
    <row r="128" ht="14.5">
      <c r="B128" t="s">
        <v>694</v>
      </c>
    </row>
    <row r="129" ht="14.5">
      <c r="B129" t="s">
        <v>694</v>
      </c>
    </row>
    <row r="130" ht="14.5">
      <c r="B130" t="s">
        <v>694</v>
      </c>
    </row>
    <row r="131" ht="14.5">
      <c r="B131" t="s">
        <v>694</v>
      </c>
    </row>
    <row r="132" ht="14.5">
      <c r="B132" t="s">
        <v>694</v>
      </c>
    </row>
    <row r="133" ht="14.5">
      <c r="B133" t="s">
        <v>694</v>
      </c>
    </row>
    <row r="134" ht="14.5">
      <c r="B134" t="s">
        <v>694</v>
      </c>
    </row>
    <row r="135" ht="14.5">
      <c r="B135" t="s">
        <v>694</v>
      </c>
    </row>
    <row r="136" ht="14.5">
      <c r="B136" t="s">
        <v>694</v>
      </c>
    </row>
    <row r="137" ht="14.5">
      <c r="B137" t="s">
        <v>694</v>
      </c>
    </row>
    <row r="138" ht="14.5">
      <c r="B138" t="s">
        <v>694</v>
      </c>
    </row>
    <row r="139" ht="14.5">
      <c r="B139" t="s">
        <v>694</v>
      </c>
    </row>
    <row r="140" ht="14.5">
      <c r="B140" t="s">
        <v>694</v>
      </c>
    </row>
    <row r="141" ht="14.5">
      <c r="B141" t="s">
        <v>694</v>
      </c>
    </row>
    <row r="142" ht="14.5">
      <c r="B142" t="s">
        <v>694</v>
      </c>
    </row>
    <row r="143" ht="14.5">
      <c r="B143" t="s">
        <v>694</v>
      </c>
    </row>
    <row r="144" ht="14.5">
      <c r="B144" t="s">
        <v>694</v>
      </c>
    </row>
    <row r="145" ht="14.5">
      <c r="B145" t="s">
        <v>694</v>
      </c>
    </row>
    <row r="146" ht="14.5">
      <c r="B146" t="s">
        <v>694</v>
      </c>
    </row>
    <row r="147" ht="14.5">
      <c r="B147" t="s">
        <v>694</v>
      </c>
    </row>
    <row r="148" ht="14.5">
      <c r="B148" t="s">
        <v>694</v>
      </c>
    </row>
    <row r="149" ht="14.5">
      <c r="B149" t="s">
        <v>694</v>
      </c>
    </row>
    <row r="150" ht="14.5">
      <c r="B150" t="s">
        <v>694</v>
      </c>
    </row>
    <row r="151" ht="14.5">
      <c r="B151" t="s">
        <v>694</v>
      </c>
    </row>
    <row r="152" ht="14.5">
      <c r="B152" t="s">
        <v>694</v>
      </c>
    </row>
    <row r="153" ht="14.5">
      <c r="B153" t="s">
        <v>694</v>
      </c>
    </row>
    <row r="154" ht="14.5">
      <c r="B154" t="s">
        <v>694</v>
      </c>
    </row>
    <row r="155" ht="14.5">
      <c r="B155" t="s">
        <v>694</v>
      </c>
    </row>
    <row r="156" ht="14.5">
      <c r="B156" t="s">
        <v>694</v>
      </c>
    </row>
    <row r="157" ht="14.5">
      <c r="B157" t="s">
        <v>694</v>
      </c>
    </row>
    <row r="158" ht="14.5">
      <c r="B158" t="s">
        <v>694</v>
      </c>
    </row>
    <row r="159" ht="14.5">
      <c r="B159" t="s">
        <v>694</v>
      </c>
    </row>
    <row r="160" ht="14.5">
      <c r="B160" t="s">
        <v>694</v>
      </c>
    </row>
    <row r="161" ht="14.5">
      <c r="B161" t="s">
        <v>694</v>
      </c>
    </row>
    <row r="162" ht="14.5">
      <c r="B162" t="s">
        <v>694</v>
      </c>
    </row>
    <row r="163" ht="14.5">
      <c r="B163" t="s">
        <v>694</v>
      </c>
    </row>
    <row r="164" ht="14.5">
      <c r="B164" t="s">
        <v>694</v>
      </c>
    </row>
    <row r="165" ht="14.5">
      <c r="B165" t="s">
        <v>694</v>
      </c>
    </row>
    <row r="166" ht="14.5">
      <c r="B166" t="s">
        <v>694</v>
      </c>
    </row>
    <row r="167" ht="14.5">
      <c r="B167" t="s">
        <v>694</v>
      </c>
    </row>
    <row r="168" ht="14.5">
      <c r="B168" t="s">
        <v>694</v>
      </c>
    </row>
    <row r="169" ht="14.5">
      <c r="B169" t="s">
        <v>694</v>
      </c>
    </row>
    <row r="170" ht="14.5">
      <c r="B170" t="s">
        <v>694</v>
      </c>
    </row>
    <row r="171" ht="14.5">
      <c r="B171" t="s">
        <v>694</v>
      </c>
    </row>
    <row r="172" ht="14.5">
      <c r="B172" t="s">
        <v>694</v>
      </c>
    </row>
    <row r="173" ht="14.5">
      <c r="B173" t="s">
        <v>694</v>
      </c>
    </row>
    <row r="174" ht="14.5">
      <c r="B174" t="s">
        <v>694</v>
      </c>
    </row>
    <row r="175" ht="14.5">
      <c r="B175" t="s">
        <v>694</v>
      </c>
    </row>
    <row r="176" ht="14.5">
      <c r="B176" t="s">
        <v>694</v>
      </c>
    </row>
    <row r="177" ht="14.5">
      <c r="B177" t="s">
        <v>694</v>
      </c>
    </row>
    <row r="178" ht="14.5">
      <c r="B178" t="s">
        <v>694</v>
      </c>
    </row>
    <row r="179" ht="14.5">
      <c r="B179" t="s">
        <v>694</v>
      </c>
    </row>
    <row r="180" ht="14.5">
      <c r="B180" t="s">
        <v>694</v>
      </c>
    </row>
    <row r="181" ht="14.5">
      <c r="B181" t="s">
        <v>694</v>
      </c>
    </row>
    <row r="182" ht="14.5">
      <c r="B182" t="s">
        <v>694</v>
      </c>
    </row>
    <row r="183" ht="14.5">
      <c r="B183" t="s">
        <v>694</v>
      </c>
    </row>
    <row r="184" ht="14.5">
      <c r="B184" t="s">
        <v>694</v>
      </c>
    </row>
    <row r="185" ht="14.5">
      <c r="B185" t="s">
        <v>694</v>
      </c>
    </row>
    <row r="186" ht="14.5">
      <c r="B186" t="s">
        <v>694</v>
      </c>
    </row>
    <row r="187" ht="14.5">
      <c r="B187" t="s">
        <v>694</v>
      </c>
    </row>
    <row r="188" ht="14.5">
      <c r="B188" t="s">
        <v>694</v>
      </c>
    </row>
    <row r="189" ht="14.5">
      <c r="B189" t="s">
        <v>694</v>
      </c>
    </row>
    <row r="190" ht="14.5">
      <c r="B190" t="s">
        <v>694</v>
      </c>
    </row>
    <row r="191" ht="14.5">
      <c r="B191" t="s">
        <v>694</v>
      </c>
    </row>
    <row r="192" ht="14.5">
      <c r="B192" t="s">
        <v>694</v>
      </c>
    </row>
    <row r="193" ht="14.5">
      <c r="B193" t="s">
        <v>694</v>
      </c>
    </row>
    <row r="194" ht="14.5">
      <c r="B194" t="s">
        <v>694</v>
      </c>
    </row>
    <row r="195" ht="14.5">
      <c r="B195" t="s">
        <v>694</v>
      </c>
    </row>
    <row r="196" ht="14.5">
      <c r="B196" t="s">
        <v>694</v>
      </c>
    </row>
    <row r="197" ht="14.5">
      <c r="B197" t="s">
        <v>694</v>
      </c>
    </row>
    <row r="198" ht="14.5">
      <c r="B198" t="s">
        <v>694</v>
      </c>
    </row>
    <row r="199" ht="14.5">
      <c r="B199" t="s">
        <v>694</v>
      </c>
    </row>
    <row r="200" ht="14.5">
      <c r="B200" t="s">
        <v>694</v>
      </c>
    </row>
    <row r="201" ht="14.5">
      <c r="B201" t="s">
        <v>694</v>
      </c>
    </row>
    <row r="202" ht="14.5">
      <c r="B202" t="s">
        <v>694</v>
      </c>
    </row>
    <row r="203" ht="14.5">
      <c r="B203" t="s">
        <v>694</v>
      </c>
    </row>
    <row r="204" ht="14.5">
      <c r="B204" t="s">
        <v>694</v>
      </c>
    </row>
    <row r="205" ht="14.5">
      <c r="B205" t="s">
        <v>694</v>
      </c>
    </row>
    <row r="206" ht="14.5">
      <c r="B206" t="s">
        <v>694</v>
      </c>
    </row>
    <row r="207" ht="14.5">
      <c r="B207" t="s">
        <v>694</v>
      </c>
    </row>
    <row r="208" ht="14.5">
      <c r="B208" t="s">
        <v>694</v>
      </c>
    </row>
    <row r="209" ht="14.5">
      <c r="B209" t="s">
        <v>694</v>
      </c>
    </row>
    <row r="210" ht="14.5">
      <c r="B210" t="s">
        <v>694</v>
      </c>
    </row>
    <row r="211" ht="14.5">
      <c r="B211" t="s">
        <v>694</v>
      </c>
    </row>
    <row r="212" ht="14.5">
      <c r="B212" t="s">
        <v>694</v>
      </c>
    </row>
    <row r="213" ht="14.5">
      <c r="B213" t="s">
        <v>694</v>
      </c>
    </row>
    <row r="214" ht="14.5">
      <c r="B214" t="s">
        <v>694</v>
      </c>
    </row>
    <row r="215" ht="14.5">
      <c r="B215" t="s">
        <v>694</v>
      </c>
    </row>
    <row r="216" ht="14.5">
      <c r="B216" t="s">
        <v>694</v>
      </c>
    </row>
    <row r="217" ht="14.5">
      <c r="B217" t="s">
        <v>694</v>
      </c>
    </row>
    <row r="218" ht="14.5">
      <c r="B218" t="s">
        <v>694</v>
      </c>
    </row>
    <row r="219" ht="14.5">
      <c r="B219" t="s">
        <v>694</v>
      </c>
    </row>
    <row r="220" ht="14.5">
      <c r="B220" t="s">
        <v>694</v>
      </c>
    </row>
    <row r="221" ht="14.5">
      <c r="B221" t="s">
        <v>694</v>
      </c>
    </row>
    <row r="222" ht="14.5">
      <c r="B222" t="s">
        <v>694</v>
      </c>
    </row>
    <row r="223" ht="14.5">
      <c r="B223" t="s">
        <v>694</v>
      </c>
    </row>
    <row r="224" ht="14.5">
      <c r="B224" t="s">
        <v>694</v>
      </c>
    </row>
    <row r="225" ht="14.5">
      <c r="B225" t="s">
        <v>694</v>
      </c>
    </row>
    <row r="226" ht="14.5">
      <c r="B226" t="s">
        <v>694</v>
      </c>
    </row>
    <row r="227" ht="14.5">
      <c r="B227" t="s">
        <v>694</v>
      </c>
    </row>
    <row r="228" ht="14.5">
      <c r="B228" t="s">
        <v>694</v>
      </c>
    </row>
    <row r="229" ht="14.5">
      <c r="B229" t="s">
        <v>694</v>
      </c>
    </row>
    <row r="230" ht="14.5">
      <c r="B230" t="s">
        <v>694</v>
      </c>
    </row>
    <row r="231" ht="14.5">
      <c r="B231" t="s">
        <v>694</v>
      </c>
    </row>
    <row r="232" ht="14.5">
      <c r="B232" t="s">
        <v>694</v>
      </c>
    </row>
    <row r="233" ht="14.5">
      <c r="B233" t="s">
        <v>694</v>
      </c>
    </row>
    <row r="234" ht="14.5">
      <c r="B234" t="s">
        <v>694</v>
      </c>
    </row>
    <row r="235" ht="14.5">
      <c r="B235" t="s">
        <v>694</v>
      </c>
    </row>
    <row r="236" ht="14.5">
      <c r="B236" t="s">
        <v>694</v>
      </c>
    </row>
    <row r="237" ht="14.5">
      <c r="B237" t="s">
        <v>694</v>
      </c>
    </row>
    <row r="238" ht="14.5">
      <c r="B238" t="s">
        <v>694</v>
      </c>
    </row>
    <row r="239" ht="14.5">
      <c r="B239" t="s">
        <v>694</v>
      </c>
    </row>
    <row r="240" ht="14.5">
      <c r="B240" t="s">
        <v>694</v>
      </c>
    </row>
    <row r="241" ht="14.5">
      <c r="B241" t="s">
        <v>694</v>
      </c>
    </row>
    <row r="242" ht="14.5">
      <c r="B242" t="s">
        <v>694</v>
      </c>
    </row>
    <row r="243" ht="14.5">
      <c r="B243" t="s">
        <v>694</v>
      </c>
    </row>
    <row r="244" ht="14.5">
      <c r="B244" t="s">
        <v>694</v>
      </c>
    </row>
    <row r="245" ht="14.5">
      <c r="B245" t="s">
        <v>694</v>
      </c>
    </row>
    <row r="246" ht="14.5">
      <c r="B246" t="s">
        <v>694</v>
      </c>
    </row>
    <row r="247" ht="14.5">
      <c r="B247" t="s">
        <v>694</v>
      </c>
    </row>
    <row r="248" ht="14.5">
      <c r="B248" t="s">
        <v>694</v>
      </c>
    </row>
    <row r="249" ht="14.5">
      <c r="B249" t="s">
        <v>694</v>
      </c>
    </row>
    <row r="250" ht="14.5">
      <c r="B250" t="s">
        <v>694</v>
      </c>
    </row>
    <row r="251" ht="14.5">
      <c r="B251" t="s">
        <v>694</v>
      </c>
    </row>
    <row r="252" ht="14.5">
      <c r="B252" t="s">
        <v>694</v>
      </c>
    </row>
    <row r="253" ht="14.5">
      <c r="B253" t="s">
        <v>694</v>
      </c>
    </row>
    <row r="254" ht="14.5">
      <c r="B254" t="s">
        <v>694</v>
      </c>
    </row>
    <row r="255" ht="14.5">
      <c r="B255" t="s">
        <v>694</v>
      </c>
    </row>
    <row r="256" ht="14.5">
      <c r="B256" t="s">
        <v>694</v>
      </c>
    </row>
    <row r="257" ht="14.5">
      <c r="B257" t="s">
        <v>694</v>
      </c>
    </row>
    <row r="258" ht="14.5">
      <c r="B258" t="s">
        <v>694</v>
      </c>
    </row>
    <row r="259" ht="14.5">
      <c r="B259" t="s">
        <v>694</v>
      </c>
    </row>
    <row r="260" ht="14.5">
      <c r="B260" t="s">
        <v>694</v>
      </c>
    </row>
    <row r="261" ht="14.5">
      <c r="B261" t="s">
        <v>694</v>
      </c>
    </row>
    <row r="262" ht="14.5">
      <c r="B262" t="s">
        <v>694</v>
      </c>
    </row>
    <row r="263" ht="14.5">
      <c r="B263" t="s">
        <v>694</v>
      </c>
    </row>
    <row r="264" ht="14.5">
      <c r="B264" t="s">
        <v>694</v>
      </c>
    </row>
    <row r="265" ht="14.5">
      <c r="B265" t="s">
        <v>694</v>
      </c>
    </row>
    <row r="266" ht="14.5">
      <c r="B266" t="s">
        <v>694</v>
      </c>
    </row>
    <row r="267" ht="14.5">
      <c r="B267" t="s">
        <v>694</v>
      </c>
    </row>
    <row r="268" ht="14.5">
      <c r="B268" t="s">
        <v>694</v>
      </c>
    </row>
    <row r="269" ht="14.5">
      <c r="B269" t="s">
        <v>694</v>
      </c>
    </row>
    <row r="270" ht="14.5">
      <c r="B270" t="s">
        <v>694</v>
      </c>
    </row>
    <row r="271" ht="14.5">
      <c r="B271" t="s">
        <v>694</v>
      </c>
    </row>
    <row r="272" ht="14.5">
      <c r="B272" t="s">
        <v>694</v>
      </c>
    </row>
    <row r="273" ht="14.5">
      <c r="B273" t="s">
        <v>694</v>
      </c>
    </row>
    <row r="274" ht="14.5">
      <c r="B274" t="s">
        <v>694</v>
      </c>
    </row>
    <row r="275" ht="14.5">
      <c r="B275" t="s">
        <v>694</v>
      </c>
    </row>
    <row r="276" ht="14.5">
      <c r="B276" t="s">
        <v>694</v>
      </c>
    </row>
    <row r="277" ht="14.5">
      <c r="B277" t="s">
        <v>694</v>
      </c>
    </row>
    <row r="278" ht="14.5">
      <c r="B278" t="s">
        <v>694</v>
      </c>
    </row>
    <row r="279" ht="14.5">
      <c r="B279" t="s">
        <v>694</v>
      </c>
    </row>
    <row r="280" ht="14.5">
      <c r="B280" t="s">
        <v>694</v>
      </c>
    </row>
    <row r="281" ht="14.5">
      <c r="B281" t="s">
        <v>694</v>
      </c>
    </row>
    <row r="282" ht="14.5">
      <c r="B282" t="s">
        <v>694</v>
      </c>
    </row>
    <row r="283" ht="14.5">
      <c r="B283" t="s">
        <v>694</v>
      </c>
    </row>
    <row r="284" ht="14.5">
      <c r="B284" t="s">
        <v>694</v>
      </c>
    </row>
    <row r="285" ht="14.5">
      <c r="B285" t="s">
        <v>694</v>
      </c>
    </row>
    <row r="286" ht="14.5">
      <c r="B286" t="s">
        <v>694</v>
      </c>
    </row>
    <row r="287" ht="14.5">
      <c r="B287" t="s">
        <v>694</v>
      </c>
    </row>
    <row r="288" ht="14.5">
      <c r="B288" t="s">
        <v>694</v>
      </c>
    </row>
    <row r="289" ht="14.5">
      <c r="B289" t="s">
        <v>694</v>
      </c>
    </row>
    <row r="290" ht="14.5">
      <c r="B290" t="s">
        <v>694</v>
      </c>
    </row>
    <row r="291" ht="14.5">
      <c r="B291" t="s">
        <v>694</v>
      </c>
    </row>
    <row r="292" ht="14.5">
      <c r="B292" t="s">
        <v>694</v>
      </c>
    </row>
    <row r="293" ht="14.5">
      <c r="B293" t="s">
        <v>694</v>
      </c>
    </row>
    <row r="294" ht="14.5">
      <c r="B294" t="s">
        <v>694</v>
      </c>
    </row>
    <row r="295" ht="14.5">
      <c r="B295" t="s">
        <v>694</v>
      </c>
    </row>
    <row r="296" ht="14.5">
      <c r="B296" t="s">
        <v>694</v>
      </c>
    </row>
    <row r="297" ht="14.5">
      <c r="B297" t="s">
        <v>694</v>
      </c>
    </row>
    <row r="298" ht="14.5">
      <c r="B298" t="s">
        <v>694</v>
      </c>
    </row>
    <row r="299" ht="14.5">
      <c r="B299" t="s">
        <v>694</v>
      </c>
    </row>
    <row r="300" ht="14.5">
      <c r="B300" t="s">
        <v>694</v>
      </c>
    </row>
    <row r="301" ht="14.5">
      <c r="B301" t="s">
        <v>694</v>
      </c>
    </row>
    <row r="302" ht="14.5">
      <c r="B302" t="s">
        <v>694</v>
      </c>
    </row>
    <row r="303" ht="14.5">
      <c r="B303" t="s">
        <v>694</v>
      </c>
    </row>
    <row r="304" ht="14.5">
      <c r="B304" t="s">
        <v>694</v>
      </c>
    </row>
    <row r="305" ht="14.5">
      <c r="B305" t="s">
        <v>694</v>
      </c>
    </row>
    <row r="306" ht="14.5">
      <c r="B306" t="s">
        <v>694</v>
      </c>
    </row>
    <row r="307" ht="14.5">
      <c r="B307" t="s">
        <v>694</v>
      </c>
    </row>
    <row r="308" ht="14.5">
      <c r="B308" t="s">
        <v>694</v>
      </c>
    </row>
    <row r="309" ht="14.5">
      <c r="B309" t="s">
        <v>694</v>
      </c>
    </row>
    <row r="310" ht="14.5">
      <c r="B310" t="s">
        <v>694</v>
      </c>
    </row>
    <row r="311" ht="14.5">
      <c r="B311" t="s">
        <v>694</v>
      </c>
    </row>
    <row r="312" ht="14.5">
      <c r="B312" t="s">
        <v>694</v>
      </c>
    </row>
    <row r="313" ht="14.5">
      <c r="B313" t="s">
        <v>694</v>
      </c>
    </row>
    <row r="314" ht="14.5">
      <c r="B314" t="s">
        <v>694</v>
      </c>
    </row>
    <row r="315" ht="14.5">
      <c r="B315" t="s">
        <v>694</v>
      </c>
    </row>
    <row r="316" ht="14.5">
      <c r="B316" t="s">
        <v>694</v>
      </c>
    </row>
    <row r="317" ht="14.5">
      <c r="B317" t="s">
        <v>694</v>
      </c>
    </row>
    <row r="318" ht="14.5">
      <c r="B318" t="s">
        <v>694</v>
      </c>
    </row>
    <row r="319" ht="14.5">
      <c r="B319" t="s">
        <v>694</v>
      </c>
    </row>
    <row r="320" ht="14.5">
      <c r="B320" t="s">
        <v>694</v>
      </c>
    </row>
    <row r="321" ht="14.5">
      <c r="B321" t="s">
        <v>694</v>
      </c>
    </row>
    <row r="322" ht="14.5">
      <c r="B322" t="s">
        <v>694</v>
      </c>
    </row>
    <row r="323" ht="14.5">
      <c r="B323" t="s">
        <v>694</v>
      </c>
    </row>
    <row r="324" ht="14.5">
      <c r="B324" t="s">
        <v>694</v>
      </c>
    </row>
    <row r="325" ht="14.5">
      <c r="B325" t="s">
        <v>694</v>
      </c>
    </row>
    <row r="326" ht="14.5">
      <c r="B326" t="s">
        <v>694</v>
      </c>
    </row>
    <row r="327" ht="14.5">
      <c r="B327" t="s">
        <v>694</v>
      </c>
    </row>
    <row r="328" ht="14.5">
      <c r="B328" t="s">
        <v>694</v>
      </c>
    </row>
    <row r="329" ht="14.5">
      <c r="B329" t="s">
        <v>694</v>
      </c>
    </row>
    <row r="330" ht="14.5">
      <c r="B330" t="s">
        <v>694</v>
      </c>
    </row>
    <row r="331" ht="14.5">
      <c r="B331" t="s">
        <v>694</v>
      </c>
    </row>
    <row r="332" ht="14.5">
      <c r="B332" t="s">
        <v>694</v>
      </c>
    </row>
    <row r="333" ht="14.5">
      <c r="B333" t="s">
        <v>694</v>
      </c>
    </row>
    <row r="334" ht="14.5">
      <c r="B334" t="s">
        <v>694</v>
      </c>
    </row>
    <row r="335" ht="14.5">
      <c r="B335" t="s">
        <v>694</v>
      </c>
    </row>
    <row r="336" ht="14.5">
      <c r="B336" t="s">
        <v>694</v>
      </c>
    </row>
    <row r="337" ht="14.5">
      <c r="B337" t="s">
        <v>694</v>
      </c>
    </row>
    <row r="338" ht="14.5">
      <c r="B338" t="s">
        <v>694</v>
      </c>
    </row>
    <row r="339" ht="14.5">
      <c r="B339" t="s">
        <v>694</v>
      </c>
    </row>
    <row r="340" ht="14.5">
      <c r="B340" t="s">
        <v>694</v>
      </c>
    </row>
    <row r="341" ht="14.5">
      <c r="B341" t="s">
        <v>694</v>
      </c>
    </row>
    <row r="342" ht="14.5">
      <c r="B342" t="s">
        <v>694</v>
      </c>
    </row>
    <row r="343" ht="14.5">
      <c r="B343" t="s">
        <v>694</v>
      </c>
    </row>
    <row r="344" ht="14.5">
      <c r="B344" t="s">
        <v>694</v>
      </c>
    </row>
    <row r="345" ht="14.5">
      <c r="B345" t="s">
        <v>694</v>
      </c>
    </row>
    <row r="346" ht="14.5">
      <c r="B346" t="s">
        <v>694</v>
      </c>
    </row>
    <row r="347" ht="14.5">
      <c r="B347" t="s">
        <v>694</v>
      </c>
    </row>
    <row r="348" ht="14.5">
      <c r="B348" t="s">
        <v>694</v>
      </c>
    </row>
    <row r="349" ht="14.5">
      <c r="B349" t="s">
        <v>694</v>
      </c>
    </row>
    <row r="350" ht="14.5">
      <c r="B350" t="s">
        <v>694</v>
      </c>
    </row>
    <row r="351" ht="14.5">
      <c r="B351" t="s">
        <v>694</v>
      </c>
    </row>
    <row r="352" ht="14.5">
      <c r="B352" t="s">
        <v>694</v>
      </c>
    </row>
    <row r="353" ht="14.5">
      <c r="B353" t="s">
        <v>694</v>
      </c>
    </row>
    <row r="354" ht="14.5">
      <c r="B354" t="s">
        <v>694</v>
      </c>
    </row>
    <row r="355" ht="14.5">
      <c r="B355" t="s">
        <v>694</v>
      </c>
    </row>
    <row r="356" ht="14.5">
      <c r="B356" t="s">
        <v>694</v>
      </c>
    </row>
    <row r="357" ht="14.5">
      <c r="B357" t="s">
        <v>694</v>
      </c>
    </row>
    <row r="358" ht="14.5">
      <c r="B358" t="s">
        <v>694</v>
      </c>
    </row>
    <row r="359" ht="14.5">
      <c r="B359" t="s">
        <v>694</v>
      </c>
    </row>
    <row r="360" ht="14.5">
      <c r="B360" t="s">
        <v>694</v>
      </c>
    </row>
    <row r="361" ht="14.5">
      <c r="B361" t="s">
        <v>694</v>
      </c>
    </row>
    <row r="362" ht="14.5">
      <c r="B362" t="s">
        <v>694</v>
      </c>
    </row>
    <row r="363" ht="14.5">
      <c r="B363" t="s">
        <v>694</v>
      </c>
    </row>
    <row r="364" ht="14.5">
      <c r="B364" t="s">
        <v>694</v>
      </c>
    </row>
    <row r="365" ht="14.5">
      <c r="B365" t="s">
        <v>694</v>
      </c>
    </row>
    <row r="366" ht="14.5">
      <c r="B366" t="s">
        <v>694</v>
      </c>
    </row>
    <row r="367" ht="14.5">
      <c r="B367" t="s">
        <v>694</v>
      </c>
    </row>
    <row r="368" ht="14.5">
      <c r="B368" t="s">
        <v>694</v>
      </c>
    </row>
    <row r="369" ht="14.5">
      <c r="B369" t="s">
        <v>694</v>
      </c>
    </row>
    <row r="370" ht="14.5">
      <c r="B370" t="s">
        <v>694</v>
      </c>
    </row>
    <row r="371" ht="14.5">
      <c r="B371" t="s">
        <v>694</v>
      </c>
    </row>
    <row r="372" ht="14.5">
      <c r="B372" t="s">
        <v>694</v>
      </c>
    </row>
    <row r="373" ht="14.5">
      <c r="B373" t="s">
        <v>694</v>
      </c>
    </row>
    <row r="374" ht="14.5">
      <c r="B374" t="s">
        <v>694</v>
      </c>
    </row>
    <row r="375" ht="14.5">
      <c r="B375" t="s">
        <v>694</v>
      </c>
    </row>
    <row r="376" ht="14.5">
      <c r="B376" t="s">
        <v>694</v>
      </c>
    </row>
    <row r="377" ht="14.5">
      <c r="B377" t="s">
        <v>694</v>
      </c>
    </row>
    <row r="378" ht="14.5">
      <c r="B378" t="s">
        <v>694</v>
      </c>
    </row>
    <row r="379" ht="14.5">
      <c r="B379" t="s">
        <v>694</v>
      </c>
    </row>
    <row r="380" ht="14.5">
      <c r="B380" t="s">
        <v>694</v>
      </c>
    </row>
    <row r="381" ht="14.5">
      <c r="B381" t="s">
        <v>694</v>
      </c>
    </row>
    <row r="382" ht="14.5">
      <c r="B382" t="s">
        <v>694</v>
      </c>
    </row>
    <row r="383" ht="14.5">
      <c r="B383" t="s">
        <v>694</v>
      </c>
    </row>
    <row r="384" ht="14.5">
      <c r="B384" t="s">
        <v>694</v>
      </c>
    </row>
    <row r="385" ht="14.5">
      <c r="B385" t="s">
        <v>694</v>
      </c>
    </row>
    <row r="386" ht="14.5">
      <c r="B386" t="s">
        <v>694</v>
      </c>
    </row>
    <row r="387" ht="14.5">
      <c r="B387" t="s">
        <v>694</v>
      </c>
    </row>
    <row r="388" ht="14.5">
      <c r="B388" t="s">
        <v>694</v>
      </c>
    </row>
    <row r="389" ht="14.5">
      <c r="B389" t="s">
        <v>694</v>
      </c>
    </row>
    <row r="390" ht="14.5">
      <c r="B390" t="s">
        <v>694</v>
      </c>
    </row>
    <row r="391" ht="14.5">
      <c r="B391" t="s">
        <v>694</v>
      </c>
    </row>
    <row r="392" ht="14.5">
      <c r="B392" t="s">
        <v>694</v>
      </c>
    </row>
    <row r="393" ht="14.5">
      <c r="B393" t="s">
        <v>694</v>
      </c>
    </row>
    <row r="394" ht="14.5">
      <c r="B394" t="s">
        <v>694</v>
      </c>
    </row>
    <row r="395" ht="14.5">
      <c r="B395" t="s">
        <v>694</v>
      </c>
    </row>
    <row r="396" ht="14.5">
      <c r="B396" t="s">
        <v>694</v>
      </c>
    </row>
    <row r="397" ht="14.5">
      <c r="B397" t="s">
        <v>694</v>
      </c>
    </row>
    <row r="398" ht="14.5">
      <c r="B398" t="s">
        <v>694</v>
      </c>
    </row>
    <row r="399" ht="14.5">
      <c r="B399" t="s">
        <v>694</v>
      </c>
    </row>
    <row r="400" ht="14.5">
      <c r="B400" t="s">
        <v>694</v>
      </c>
    </row>
    <row r="401" ht="14.5">
      <c r="B401" t="s">
        <v>694</v>
      </c>
    </row>
    <row r="402" ht="14.5">
      <c r="B402" t="s">
        <v>694</v>
      </c>
    </row>
    <row r="403" ht="14.5">
      <c r="B403" t="s">
        <v>694</v>
      </c>
    </row>
    <row r="404" ht="14.5">
      <c r="B404" t="s">
        <v>694</v>
      </c>
    </row>
    <row r="405" ht="14.5">
      <c r="B405" t="s">
        <v>694</v>
      </c>
    </row>
    <row r="406" ht="14.5">
      <c r="B406" t="s">
        <v>694</v>
      </c>
    </row>
    <row r="407" ht="14.5">
      <c r="B407" t="s">
        <v>694</v>
      </c>
    </row>
    <row r="408" ht="14.5">
      <c r="B408" t="s">
        <v>694</v>
      </c>
    </row>
    <row r="409" ht="14.5">
      <c r="B409" t="s">
        <v>694</v>
      </c>
    </row>
    <row r="410" ht="14.5">
      <c r="B410" t="s">
        <v>694</v>
      </c>
    </row>
    <row r="411" ht="14.5">
      <c r="B411" t="s">
        <v>694</v>
      </c>
    </row>
    <row r="412" ht="14.5">
      <c r="B412" t="s">
        <v>694</v>
      </c>
    </row>
    <row r="413" ht="14.5">
      <c r="B413" t="s">
        <v>694</v>
      </c>
    </row>
    <row r="414" ht="14.5">
      <c r="B414" t="s">
        <v>694</v>
      </c>
    </row>
    <row r="415" ht="14.5">
      <c r="B415" t="s">
        <v>694</v>
      </c>
    </row>
    <row r="416" ht="14.5">
      <c r="B416" t="s">
        <v>694</v>
      </c>
    </row>
    <row r="417" ht="14.5">
      <c r="B417" t="s">
        <v>694</v>
      </c>
    </row>
    <row r="418" ht="14.5">
      <c r="B418" t="s">
        <v>694</v>
      </c>
    </row>
    <row r="419" ht="14.5">
      <c r="B419" t="s">
        <v>694</v>
      </c>
    </row>
    <row r="420" ht="14.5">
      <c r="B420" t="s">
        <v>694</v>
      </c>
    </row>
    <row r="421" ht="14.5">
      <c r="B421" t="s">
        <v>694</v>
      </c>
    </row>
    <row r="422" ht="14.5">
      <c r="B422" t="s">
        <v>694</v>
      </c>
    </row>
    <row r="423" ht="14.5">
      <c r="B423" t="s">
        <v>694</v>
      </c>
    </row>
    <row r="424" ht="14.5">
      <c r="B424" t="s">
        <v>694</v>
      </c>
    </row>
    <row r="425" ht="14.5">
      <c r="B425" t="s">
        <v>694</v>
      </c>
    </row>
    <row r="426" ht="14.5">
      <c r="B426" t="s">
        <v>694</v>
      </c>
    </row>
    <row r="427" ht="14.5">
      <c r="B427" t="s">
        <v>694</v>
      </c>
    </row>
    <row r="428" ht="14.5">
      <c r="B428" t="s">
        <v>694</v>
      </c>
    </row>
    <row r="429" ht="14.5">
      <c r="B429" t="s">
        <v>694</v>
      </c>
    </row>
    <row r="430" ht="14.5">
      <c r="B430" t="s">
        <v>694</v>
      </c>
    </row>
    <row r="431" ht="14.5">
      <c r="B431" t="s">
        <v>694</v>
      </c>
    </row>
    <row r="432" ht="14.5">
      <c r="B432" t="s">
        <v>694</v>
      </c>
    </row>
    <row r="433" ht="14.5">
      <c r="B433" t="s">
        <v>694</v>
      </c>
    </row>
    <row r="434" ht="14.5">
      <c r="B434" t="s">
        <v>694</v>
      </c>
    </row>
    <row r="435" ht="14.5">
      <c r="B435" t="s">
        <v>694</v>
      </c>
    </row>
    <row r="436" ht="14.5">
      <c r="B436" t="s">
        <v>694</v>
      </c>
    </row>
    <row r="437" ht="14.5">
      <c r="B437" t="s">
        <v>694</v>
      </c>
    </row>
    <row r="438" ht="14.5">
      <c r="B438" t="s">
        <v>694</v>
      </c>
    </row>
    <row r="439" ht="14.5">
      <c r="B439" t="s">
        <v>694</v>
      </c>
    </row>
    <row r="440" ht="14.5">
      <c r="B440" t="s">
        <v>694</v>
      </c>
    </row>
    <row r="441" ht="14.5">
      <c r="B441" t="s">
        <v>694</v>
      </c>
    </row>
    <row r="442" ht="14.5">
      <c r="B442" t="s">
        <v>694</v>
      </c>
    </row>
    <row r="443" ht="14.5">
      <c r="B443" t="s">
        <v>694</v>
      </c>
    </row>
    <row r="444" ht="14.5">
      <c r="B444" t="s">
        <v>694</v>
      </c>
    </row>
    <row r="445" ht="14.5">
      <c r="B445" t="s">
        <v>694</v>
      </c>
    </row>
    <row r="446" ht="14.5">
      <c r="B446" t="s">
        <v>694</v>
      </c>
    </row>
    <row r="447" ht="14.5">
      <c r="B447" t="s">
        <v>694</v>
      </c>
    </row>
    <row r="448" ht="14.5">
      <c r="B448" t="s">
        <v>694</v>
      </c>
    </row>
    <row r="449" ht="14.5">
      <c r="B449" t="s">
        <v>694</v>
      </c>
    </row>
    <row r="450" ht="14.5">
      <c r="B450" t="s">
        <v>694</v>
      </c>
    </row>
    <row r="451" ht="14.5">
      <c r="B451" t="s">
        <v>694</v>
      </c>
    </row>
    <row r="452" ht="14.5">
      <c r="B452" t="s">
        <v>694</v>
      </c>
    </row>
    <row r="453" ht="14.5">
      <c r="B453" t="s">
        <v>694</v>
      </c>
    </row>
    <row r="454" ht="14.5">
      <c r="B454" t="s">
        <v>694</v>
      </c>
    </row>
    <row r="455" ht="14.5">
      <c r="B455" t="s">
        <v>694</v>
      </c>
    </row>
    <row r="456" ht="14.5">
      <c r="B456" t="s">
        <v>694</v>
      </c>
    </row>
    <row r="457" ht="14.5">
      <c r="B457" t="s">
        <v>694</v>
      </c>
    </row>
    <row r="458" ht="14.5">
      <c r="B458" t="s">
        <v>694</v>
      </c>
    </row>
    <row r="459" ht="14.5">
      <c r="B459" t="s">
        <v>694</v>
      </c>
    </row>
    <row r="460" ht="14.5">
      <c r="B460" t="s">
        <v>694</v>
      </c>
    </row>
    <row r="461" ht="14.5">
      <c r="B461" t="s">
        <v>694</v>
      </c>
    </row>
    <row r="462" ht="14.5">
      <c r="B462" t="s">
        <v>694</v>
      </c>
    </row>
    <row r="463" ht="14.5">
      <c r="B463" t="s">
        <v>694</v>
      </c>
    </row>
    <row r="464" ht="14.5">
      <c r="B464" t="s">
        <v>694</v>
      </c>
    </row>
    <row r="465" ht="14.5">
      <c r="B465" t="s">
        <v>694</v>
      </c>
    </row>
    <row r="466" ht="14.5">
      <c r="B466" t="s">
        <v>694</v>
      </c>
    </row>
    <row r="467" ht="14.5">
      <c r="B467" t="s">
        <v>694</v>
      </c>
    </row>
    <row r="468" ht="14.5">
      <c r="B468" t="s">
        <v>694</v>
      </c>
    </row>
    <row r="469" ht="14.5">
      <c r="B469" t="s">
        <v>694</v>
      </c>
    </row>
    <row r="470" ht="14.5">
      <c r="B470" t="s">
        <v>694</v>
      </c>
    </row>
    <row r="471" ht="14.5">
      <c r="B471" t="s">
        <v>694</v>
      </c>
    </row>
    <row r="472" ht="14.5">
      <c r="B472" t="s">
        <v>694</v>
      </c>
    </row>
    <row r="473" ht="14.5">
      <c r="B473" t="s">
        <v>694</v>
      </c>
    </row>
    <row r="474" ht="14.5">
      <c r="B474" t="s">
        <v>694</v>
      </c>
    </row>
    <row r="475" ht="14.5">
      <c r="B475" t="s">
        <v>694</v>
      </c>
    </row>
    <row r="476" ht="14.5">
      <c r="B476" t="s">
        <v>694</v>
      </c>
    </row>
    <row r="477" ht="14.5">
      <c r="B477" t="s">
        <v>694</v>
      </c>
    </row>
    <row r="478" ht="14.5">
      <c r="B478" t="s">
        <v>694</v>
      </c>
    </row>
    <row r="479" ht="14.5">
      <c r="B479" t="s">
        <v>694</v>
      </c>
    </row>
    <row r="480" ht="14.5">
      <c r="B480" t="s">
        <v>694</v>
      </c>
    </row>
    <row r="481" ht="14.5">
      <c r="B481" t="s">
        <v>694</v>
      </c>
    </row>
    <row r="482" ht="14.5">
      <c r="B482" t="s">
        <v>694</v>
      </c>
    </row>
    <row r="483" ht="14.5">
      <c r="B483" t="s">
        <v>694</v>
      </c>
    </row>
    <row r="484" ht="14.5">
      <c r="B484" t="s">
        <v>694</v>
      </c>
    </row>
    <row r="485" ht="14.5">
      <c r="B485" t="s">
        <v>694</v>
      </c>
    </row>
    <row r="486" ht="14.5">
      <c r="B486" t="s">
        <v>694</v>
      </c>
    </row>
    <row r="487" ht="14.5">
      <c r="B487" t="s">
        <v>694</v>
      </c>
    </row>
    <row r="488" ht="14.5">
      <c r="B488" t="s">
        <v>694</v>
      </c>
    </row>
    <row r="489" ht="14.5">
      <c r="B489" t="s">
        <v>694</v>
      </c>
    </row>
    <row r="490" ht="14.5">
      <c r="B490" t="s">
        <v>694</v>
      </c>
    </row>
    <row r="491" ht="14.5">
      <c r="B491" t="s">
        <v>694</v>
      </c>
    </row>
    <row r="492" ht="14.5">
      <c r="B492" t="s">
        <v>694</v>
      </c>
    </row>
    <row r="493" ht="14.5">
      <c r="B493" t="s">
        <v>694</v>
      </c>
    </row>
    <row r="494" ht="14.5">
      <c r="B494" t="s">
        <v>694</v>
      </c>
    </row>
    <row r="495" ht="14.5">
      <c r="B495" t="s">
        <v>694</v>
      </c>
    </row>
    <row r="496" ht="14.5">
      <c r="B496" t="s">
        <v>694</v>
      </c>
    </row>
    <row r="497" ht="14.5">
      <c r="B497" t="s">
        <v>694</v>
      </c>
    </row>
    <row r="498" ht="14.5">
      <c r="B498" t="s">
        <v>694</v>
      </c>
    </row>
    <row r="499" ht="14.5">
      <c r="B499" t="s">
        <v>694</v>
      </c>
    </row>
    <row r="500" ht="14.5">
      <c r="B500" t="s">
        <v>694</v>
      </c>
    </row>
    <row r="501" ht="14.5">
      <c r="B501" t="s">
        <v>694</v>
      </c>
    </row>
    <row r="502" ht="14.5">
      <c r="B502" t="s">
        <v>694</v>
      </c>
    </row>
    <row r="503" ht="14.5">
      <c r="B503" t="s">
        <v>694</v>
      </c>
    </row>
    <row r="504" ht="14.5">
      <c r="B504" t="s">
        <v>694</v>
      </c>
    </row>
    <row r="505" ht="14.5">
      <c r="B505" t="s">
        <v>694</v>
      </c>
    </row>
    <row r="506" ht="14.5">
      <c r="B506" t="s">
        <v>694</v>
      </c>
    </row>
    <row r="507" ht="14.5">
      <c r="B507" t="s">
        <v>694</v>
      </c>
    </row>
    <row r="508" ht="14.5">
      <c r="B508" t="s">
        <v>694</v>
      </c>
    </row>
    <row r="509" ht="14.5">
      <c r="B509" t="s">
        <v>694</v>
      </c>
    </row>
    <row r="510" ht="14.5">
      <c r="B510" t="s">
        <v>694</v>
      </c>
    </row>
    <row r="511" ht="14.5">
      <c r="B511" t="s">
        <v>694</v>
      </c>
    </row>
    <row r="512" ht="14.5">
      <c r="B512" t="s">
        <v>694</v>
      </c>
    </row>
    <row r="513" ht="14.5">
      <c r="B513" t="s">
        <v>694</v>
      </c>
    </row>
    <row r="514" ht="14.5">
      <c r="B514" t="s">
        <v>694</v>
      </c>
    </row>
    <row r="515" ht="14.5">
      <c r="B515" t="s">
        <v>694</v>
      </c>
    </row>
    <row r="516" ht="14.5">
      <c r="B516" t="s">
        <v>694</v>
      </c>
    </row>
    <row r="517" ht="14.5">
      <c r="B517" t="s">
        <v>694</v>
      </c>
    </row>
    <row r="518" ht="14.5">
      <c r="B518" t="s">
        <v>694</v>
      </c>
    </row>
    <row r="519" ht="14.5">
      <c r="B519" t="s">
        <v>694</v>
      </c>
    </row>
    <row r="520" ht="14.5">
      <c r="B520" t="s">
        <v>694</v>
      </c>
    </row>
    <row r="521" ht="14.5">
      <c r="B521" t="s">
        <v>694</v>
      </c>
    </row>
    <row r="522" ht="14.5">
      <c r="B522" t="s">
        <v>694</v>
      </c>
    </row>
    <row r="523" ht="14.5">
      <c r="B523" t="s">
        <v>694</v>
      </c>
    </row>
    <row r="524" ht="14.5">
      <c r="B524" t="s">
        <v>694</v>
      </c>
    </row>
    <row r="525" ht="14.5">
      <c r="B525" t="s">
        <v>694</v>
      </c>
    </row>
    <row r="526" ht="14.5">
      <c r="B526" t="s">
        <v>694</v>
      </c>
    </row>
    <row r="527" ht="14.5">
      <c r="B527" t="s">
        <v>694</v>
      </c>
    </row>
    <row r="528" ht="14.5">
      <c r="B528" t="s">
        <v>694</v>
      </c>
    </row>
    <row r="529" ht="14.5">
      <c r="B529" t="s">
        <v>694</v>
      </c>
    </row>
    <row r="530" ht="14.5">
      <c r="B530" t="s">
        <v>694</v>
      </c>
    </row>
    <row r="531" ht="14.5">
      <c r="B531" t="s">
        <v>694</v>
      </c>
    </row>
    <row r="532" ht="14.5">
      <c r="B532" t="s">
        <v>694</v>
      </c>
    </row>
    <row r="533" ht="14.5">
      <c r="B533" t="s">
        <v>694</v>
      </c>
    </row>
    <row r="534" ht="14.5">
      <c r="B534" t="s">
        <v>694</v>
      </c>
    </row>
    <row r="535" ht="14.5">
      <c r="B535" t="s">
        <v>694</v>
      </c>
    </row>
    <row r="536" ht="14.5">
      <c r="B536" t="s">
        <v>694</v>
      </c>
    </row>
    <row r="537" ht="14.5">
      <c r="B537" t="s">
        <v>694</v>
      </c>
    </row>
    <row r="538" ht="14.5">
      <c r="B538" t="s">
        <v>694</v>
      </c>
    </row>
    <row r="539" ht="14.5">
      <c r="B539" t="s">
        <v>694</v>
      </c>
    </row>
    <row r="540" ht="14.5">
      <c r="B540" t="s">
        <v>694</v>
      </c>
    </row>
    <row r="541" ht="14.5">
      <c r="B541" t="s">
        <v>694</v>
      </c>
    </row>
    <row r="542" ht="14.5">
      <c r="B542" t="s">
        <v>694</v>
      </c>
    </row>
    <row r="543" ht="14.5">
      <c r="B543" t="s">
        <v>694</v>
      </c>
    </row>
    <row r="544" ht="14.5">
      <c r="B544" t="s">
        <v>694</v>
      </c>
    </row>
    <row r="545" ht="14.5">
      <c r="B545" t="s">
        <v>694</v>
      </c>
    </row>
    <row r="546" ht="14.5">
      <c r="B546" t="s">
        <v>694</v>
      </c>
    </row>
    <row r="547" ht="14.5">
      <c r="B547" t="s">
        <v>694</v>
      </c>
    </row>
    <row r="548" ht="14.5">
      <c r="B548" t="s">
        <v>694</v>
      </c>
    </row>
    <row r="549" ht="14.5">
      <c r="B549" t="s">
        <v>694</v>
      </c>
    </row>
    <row r="550" ht="14.5">
      <c r="B550" t="s">
        <v>694</v>
      </c>
    </row>
    <row r="551" ht="14.5">
      <c r="B551" t="s">
        <v>694</v>
      </c>
    </row>
    <row r="552" ht="14.5">
      <c r="B552" t="s">
        <v>694</v>
      </c>
    </row>
    <row r="553" ht="14.5">
      <c r="B553" t="s">
        <v>694</v>
      </c>
    </row>
    <row r="554" ht="14.5">
      <c r="B554" t="s">
        <v>694</v>
      </c>
    </row>
    <row r="555" ht="14.5">
      <c r="B555" t="s">
        <v>694</v>
      </c>
    </row>
    <row r="556" ht="14.5">
      <c r="B556" t="s">
        <v>694</v>
      </c>
    </row>
    <row r="557" ht="14.5">
      <c r="B557" t="s">
        <v>694</v>
      </c>
    </row>
    <row r="558" ht="14.5">
      <c r="B558" t="s">
        <v>694</v>
      </c>
    </row>
    <row r="559" ht="14.5">
      <c r="B559" t="s">
        <v>694</v>
      </c>
    </row>
    <row r="560" ht="14.5">
      <c r="B560" t="s">
        <v>694</v>
      </c>
    </row>
    <row r="561" ht="14.5">
      <c r="B561" t="s">
        <v>694</v>
      </c>
    </row>
    <row r="562" ht="14.5">
      <c r="B562" t="s">
        <v>694</v>
      </c>
    </row>
    <row r="563" ht="14.5">
      <c r="B563" t="s">
        <v>694</v>
      </c>
    </row>
    <row r="564" ht="14.5">
      <c r="B564" t="s">
        <v>694</v>
      </c>
    </row>
    <row r="565" ht="14.5">
      <c r="B565" t="s">
        <v>694</v>
      </c>
    </row>
    <row r="566" ht="14.5">
      <c r="B566" t="s">
        <v>694</v>
      </c>
    </row>
    <row r="567" ht="14.5">
      <c r="B567" t="s">
        <v>694</v>
      </c>
    </row>
    <row r="568" ht="14.5">
      <c r="B568" t="s">
        <v>694</v>
      </c>
    </row>
    <row r="569" ht="14.5">
      <c r="B569" t="s">
        <v>694</v>
      </c>
    </row>
    <row r="570" ht="14.5">
      <c r="B570" t="s">
        <v>694</v>
      </c>
    </row>
    <row r="571" ht="14.5">
      <c r="B571" t="s">
        <v>694</v>
      </c>
    </row>
    <row r="572" ht="14.5">
      <c r="B572" t="s">
        <v>694</v>
      </c>
    </row>
    <row r="573" ht="14.5">
      <c r="B573" t="s">
        <v>694</v>
      </c>
    </row>
    <row r="574" ht="14.5">
      <c r="B574" t="s">
        <v>694</v>
      </c>
    </row>
    <row r="575" ht="14.5">
      <c r="B575" t="s">
        <v>694</v>
      </c>
    </row>
    <row r="576" ht="14.5">
      <c r="B576" t="s">
        <v>694</v>
      </c>
    </row>
    <row r="577" ht="14.5">
      <c r="B577" t="s">
        <v>694</v>
      </c>
    </row>
    <row r="578" ht="14.5">
      <c r="B578" t="s">
        <v>694</v>
      </c>
    </row>
    <row r="579" ht="14.5">
      <c r="B579" t="s">
        <v>694</v>
      </c>
    </row>
    <row r="580" ht="14.5">
      <c r="B580" t="s">
        <v>694</v>
      </c>
    </row>
    <row r="581" ht="14.5">
      <c r="B581" t="s">
        <v>694</v>
      </c>
    </row>
    <row r="582" ht="14.5">
      <c r="B582" t="s">
        <v>694</v>
      </c>
    </row>
    <row r="583" ht="14.5">
      <c r="B583" t="s">
        <v>694</v>
      </c>
    </row>
    <row r="584" ht="14.5">
      <c r="B584" t="s">
        <v>694</v>
      </c>
    </row>
    <row r="585" ht="14.5">
      <c r="B585" t="s">
        <v>694</v>
      </c>
    </row>
    <row r="586" ht="14.5">
      <c r="B586" t="s">
        <v>694</v>
      </c>
    </row>
    <row r="587" ht="14.5">
      <c r="B587" t="s">
        <v>694</v>
      </c>
    </row>
    <row r="588" ht="14.5">
      <c r="B588" t="s">
        <v>694</v>
      </c>
    </row>
  </sheetData>
  <hyperlinks>
    <hyperlink ref="A1" location="MENU!A1" display="MENU"/>
  </hyperlinks>
</worksheet>
</file>

<file path=xl/worksheets/sheet7.xml><?xml version="1.0" encoding="utf-8"?>
<worksheet xmlns:r="http://schemas.openxmlformats.org/officeDocument/2006/relationships" xmlns="http://schemas.openxmlformats.org/spreadsheetml/2006/main">
  <sheetPr>
    <tabColor rgb="FF92D050"/>
  </sheetPr>
  <sheetViews>
    <sheetView workbookViewId="0">
      <selection activeCell="A3" sqref="A3"/>
    </sheetView>
  </sheetViews>
  <sheetFormatPr defaultRowHeight="15"/>
  <cols>
    <col min="2" max="2" width="13.14063" bestFit="1" customWidth="1"/>
    <col min="3" max="62" width="10.57031" bestFit="1" customWidth="1"/>
  </cols>
  <sheetData>
    <row r="1" ht="14.5">
      <c r="A1" s="9" t="s">
        <v>38</v>
      </c>
    </row>
    <row r="2" ht="14.5">
      <c r="B2" s="3" t="s">
        <v>693</v>
      </c>
      <c r="C2" s="20">
        <f>+EOMONTH(MENU!B1,1)</f>
        <v>45961</v>
      </c>
      <c r="D2" s="20">
        <f>+EOMONTH(C2,1)</f>
        <v>45991</v>
      </c>
      <c r="E2" s="20">
        <f t="shared" ref="E2:BJ2" si="0">+EOMONTH(D2,1)</f>
        <v>46022</v>
      </c>
      <c r="F2" s="20">
        <f t="shared" si="0"/>
        <v>46053</v>
      </c>
      <c r="G2" s="20">
        <f t="shared" si="0"/>
        <v>46081</v>
      </c>
      <c r="H2" s="20">
        <f t="shared" si="0"/>
        <v>46112</v>
      </c>
      <c r="I2" s="20">
        <f t="shared" si="0"/>
        <v>46142</v>
      </c>
      <c r="J2" s="20">
        <f t="shared" si="0"/>
        <v>46173</v>
      </c>
      <c r="K2" s="20">
        <f t="shared" si="0"/>
        <v>46203</v>
      </c>
      <c r="L2" s="20">
        <f t="shared" si="0"/>
        <v>46234</v>
      </c>
      <c r="M2" s="20">
        <f t="shared" si="0"/>
        <v>46265</v>
      </c>
      <c r="N2" s="20">
        <f t="shared" si="0"/>
        <v>46295</v>
      </c>
      <c r="O2" s="20">
        <f t="shared" si="0"/>
        <v>46326</v>
      </c>
      <c r="P2" s="20">
        <f t="shared" si="0"/>
        <v>46356</v>
      </c>
      <c r="Q2" s="20">
        <f t="shared" si="0"/>
        <v>46387</v>
      </c>
      <c r="R2" s="20">
        <f t="shared" si="0"/>
        <v>46418</v>
      </c>
      <c r="S2" s="20">
        <f t="shared" si="0"/>
        <v>46446</v>
      </c>
      <c r="T2" s="20">
        <f t="shared" si="0"/>
        <v>46477</v>
      </c>
      <c r="U2" s="20">
        <f t="shared" si="0"/>
        <v>46507</v>
      </c>
      <c r="V2" s="20">
        <f t="shared" si="0"/>
        <v>46538</v>
      </c>
      <c r="W2" s="20">
        <f t="shared" si="0"/>
        <v>46568</v>
      </c>
      <c r="X2" s="20">
        <f t="shared" si="0"/>
        <v>46599</v>
      </c>
      <c r="Y2" s="20">
        <f t="shared" si="0"/>
        <v>46630</v>
      </c>
      <c r="Z2" s="20">
        <f t="shared" si="0"/>
        <v>46660</v>
      </c>
      <c r="AA2" s="20">
        <f t="shared" si="0"/>
        <v>46691</v>
      </c>
      <c r="AB2" s="20">
        <f t="shared" si="0"/>
        <v>46721</v>
      </c>
      <c r="AC2" s="20">
        <f t="shared" si="0"/>
        <v>46752</v>
      </c>
      <c r="AD2" s="20">
        <f t="shared" si="0"/>
        <v>46783</v>
      </c>
      <c r="AE2" s="20">
        <f t="shared" si="0"/>
        <v>46812</v>
      </c>
      <c r="AF2" s="20">
        <f t="shared" si="0"/>
        <v>46843</v>
      </c>
      <c r="AG2" s="20">
        <f t="shared" si="0"/>
        <v>46873</v>
      </c>
      <c r="AH2" s="20">
        <f t="shared" si="0"/>
        <v>46904</v>
      </c>
      <c r="AI2" s="20">
        <f t="shared" si="0"/>
        <v>46934</v>
      </c>
      <c r="AJ2" s="20">
        <f t="shared" si="0"/>
        <v>46965</v>
      </c>
      <c r="AK2" s="20">
        <f t="shared" si="0"/>
        <v>46996</v>
      </c>
      <c r="AL2" s="20">
        <f t="shared" si="0"/>
        <v>47026</v>
      </c>
      <c r="AM2" s="20">
        <f t="shared" si="0"/>
        <v>47057</v>
      </c>
      <c r="AN2" s="20">
        <f t="shared" si="0"/>
        <v>47087</v>
      </c>
      <c r="AO2" s="20">
        <f t="shared" si="0"/>
        <v>47118</v>
      </c>
      <c r="AP2" s="20">
        <f t="shared" si="0"/>
        <v>47149</v>
      </c>
      <c r="AQ2" s="20">
        <f t="shared" si="0"/>
        <v>47177</v>
      </c>
      <c r="AR2" s="20">
        <f t="shared" si="0"/>
        <v>47208</v>
      </c>
      <c r="AS2" s="20">
        <f t="shared" si="0"/>
        <v>47238</v>
      </c>
      <c r="AT2" s="20">
        <f t="shared" si="0"/>
        <v>47269</v>
      </c>
      <c r="AU2" s="20">
        <f t="shared" si="0"/>
        <v>47299</v>
      </c>
      <c r="AV2" s="20">
        <f t="shared" si="0"/>
        <v>47330</v>
      </c>
      <c r="AW2" s="20">
        <f t="shared" si="0"/>
        <v>47361</v>
      </c>
      <c r="AX2" s="20">
        <f t="shared" si="0"/>
        <v>47391</v>
      </c>
      <c r="AY2" s="20">
        <f t="shared" si="0"/>
        <v>47422</v>
      </c>
      <c r="AZ2" s="20">
        <f t="shared" si="0"/>
        <v>47452</v>
      </c>
      <c r="BA2" s="20">
        <f t="shared" si="0"/>
        <v>47483</v>
      </c>
      <c r="BB2" s="20">
        <f t="shared" si="0"/>
        <v>47514</v>
      </c>
      <c r="BC2" s="20">
        <f t="shared" si="0"/>
        <v>47542</v>
      </c>
      <c r="BD2" s="20">
        <f t="shared" si="0"/>
        <v>47573</v>
      </c>
      <c r="BE2" s="20">
        <f t="shared" si="0"/>
        <v>47603</v>
      </c>
      <c r="BF2" s="20">
        <f t="shared" si="0"/>
        <v>47634</v>
      </c>
      <c r="BG2" s="20">
        <f t="shared" si="0"/>
        <v>47664</v>
      </c>
      <c r="BH2" s="20">
        <f t="shared" si="0"/>
        <v>47695</v>
      </c>
      <c r="BI2" s="20">
        <f t="shared" si="0"/>
        <v>47726</v>
      </c>
      <c r="BJ2" s="20">
        <f t="shared" si="0"/>
        <v>47756</v>
      </c>
    </row>
    <row r="3" ht="14.5">
      <c r="B3" t="s">
        <v>695</v>
      </c>
    </row>
    <row r="4" ht="14.5">
      <c r="B4" t="s">
        <v>695</v>
      </c>
    </row>
    <row r="5" ht="14.5">
      <c r="B5" t="s">
        <v>695</v>
      </c>
    </row>
    <row r="6" ht="14.5">
      <c r="B6" t="s">
        <v>695</v>
      </c>
    </row>
    <row r="7" ht="14.5">
      <c r="B7" t="s">
        <v>695</v>
      </c>
    </row>
    <row r="8" ht="14.5">
      <c r="B8" t="s">
        <v>695</v>
      </c>
    </row>
    <row r="9" ht="14.5">
      <c r="B9" t="s">
        <v>695</v>
      </c>
    </row>
    <row r="10" ht="14.5">
      <c r="B10" t="s">
        <v>695</v>
      </c>
    </row>
    <row r="11" ht="14.5">
      <c r="B11" t="s">
        <v>695</v>
      </c>
    </row>
    <row r="12" ht="14.5">
      <c r="B12" t="s">
        <v>695</v>
      </c>
    </row>
    <row r="13" ht="14.5">
      <c r="B13" t="s">
        <v>695</v>
      </c>
    </row>
    <row r="14" ht="14.5">
      <c r="B14" t="s">
        <v>695</v>
      </c>
    </row>
    <row r="15" ht="14.5">
      <c r="B15" t="s">
        <v>695</v>
      </c>
    </row>
    <row r="16" ht="14.5">
      <c r="B16" t="s">
        <v>695</v>
      </c>
    </row>
    <row r="17" ht="14.5">
      <c r="B17" t="s">
        <v>695</v>
      </c>
    </row>
    <row r="18" ht="14.5">
      <c r="B18" t="s">
        <v>695</v>
      </c>
    </row>
    <row r="19" ht="14.5">
      <c r="B19" t="s">
        <v>695</v>
      </c>
    </row>
    <row r="20" ht="14.5">
      <c r="B20" t="s">
        <v>695</v>
      </c>
    </row>
    <row r="21" ht="14.5">
      <c r="B21" t="s">
        <v>695</v>
      </c>
    </row>
    <row r="22" ht="14.5">
      <c r="B22" t="s">
        <v>695</v>
      </c>
    </row>
    <row r="23" ht="14.5">
      <c r="B23" t="s">
        <v>695</v>
      </c>
    </row>
    <row r="24" ht="14.5">
      <c r="B24" t="s">
        <v>695</v>
      </c>
    </row>
    <row r="25" ht="14.5">
      <c r="B25" t="s">
        <v>695</v>
      </c>
    </row>
    <row r="26" ht="14.5">
      <c r="B26" t="s">
        <v>695</v>
      </c>
    </row>
    <row r="27" ht="14.5">
      <c r="B27" t="s">
        <v>695</v>
      </c>
    </row>
    <row r="28" ht="14.5">
      <c r="B28" t="s">
        <v>695</v>
      </c>
    </row>
    <row r="29" ht="14.5">
      <c r="B29" t="s">
        <v>695</v>
      </c>
    </row>
    <row r="30" ht="14.5">
      <c r="B30" t="s">
        <v>695</v>
      </c>
    </row>
    <row r="31" ht="14.5">
      <c r="B31" t="s">
        <v>695</v>
      </c>
    </row>
    <row r="32" ht="14.5">
      <c r="B32" t="s">
        <v>695</v>
      </c>
    </row>
    <row r="33" ht="14.5">
      <c r="B33" t="s">
        <v>695</v>
      </c>
    </row>
    <row r="34" ht="14.5">
      <c r="B34" t="s">
        <v>695</v>
      </c>
    </row>
    <row r="35" ht="14.5">
      <c r="B35" t="s">
        <v>695</v>
      </c>
    </row>
    <row r="36" ht="14.5">
      <c r="B36" t="s">
        <v>695</v>
      </c>
    </row>
    <row r="37" ht="14.5">
      <c r="B37" t="s">
        <v>695</v>
      </c>
    </row>
    <row r="38" ht="14.5">
      <c r="B38" t="s">
        <v>695</v>
      </c>
    </row>
    <row r="39" ht="14.5">
      <c r="B39" t="s">
        <v>695</v>
      </c>
    </row>
    <row r="40" ht="14.5">
      <c r="B40" t="s">
        <v>695</v>
      </c>
    </row>
    <row r="41" ht="14.5">
      <c r="B41" t="s">
        <v>695</v>
      </c>
    </row>
    <row r="42" ht="14.5">
      <c r="B42" t="s">
        <v>695</v>
      </c>
    </row>
    <row r="43" ht="14.5">
      <c r="B43" t="s">
        <v>695</v>
      </c>
    </row>
    <row r="44" ht="14.5">
      <c r="B44" t="s">
        <v>695</v>
      </c>
    </row>
    <row r="45" ht="14.5">
      <c r="B45" t="s">
        <v>695</v>
      </c>
    </row>
    <row r="46" ht="14.5">
      <c r="B46" t="s">
        <v>695</v>
      </c>
    </row>
    <row r="47" ht="14.5">
      <c r="B47" t="s">
        <v>695</v>
      </c>
    </row>
    <row r="48" ht="14.5">
      <c r="B48" t="s">
        <v>695</v>
      </c>
    </row>
    <row r="49" ht="14.5">
      <c r="B49" t="s">
        <v>695</v>
      </c>
    </row>
    <row r="50" ht="14.5">
      <c r="B50" t="s">
        <v>695</v>
      </c>
    </row>
    <row r="51" ht="14.5">
      <c r="B51" t="s">
        <v>695</v>
      </c>
    </row>
    <row r="52" ht="14.5">
      <c r="B52" t="s">
        <v>695</v>
      </c>
    </row>
    <row r="53" ht="14.5">
      <c r="B53" t="s">
        <v>695</v>
      </c>
    </row>
    <row r="54" ht="14.5">
      <c r="B54" t="s">
        <v>695</v>
      </c>
    </row>
    <row r="55" ht="14.5">
      <c r="B55" t="s">
        <v>695</v>
      </c>
    </row>
    <row r="56" ht="14.5">
      <c r="B56" t="s">
        <v>695</v>
      </c>
    </row>
    <row r="57" ht="14.5">
      <c r="B57" t="s">
        <v>695</v>
      </c>
    </row>
    <row r="58" ht="14.5">
      <c r="B58" t="s">
        <v>695</v>
      </c>
    </row>
    <row r="59" ht="14.5">
      <c r="B59" t="s">
        <v>695</v>
      </c>
    </row>
    <row r="60" ht="14.5">
      <c r="B60" t="s">
        <v>695</v>
      </c>
    </row>
    <row r="61" ht="14.5">
      <c r="B61" t="s">
        <v>695</v>
      </c>
    </row>
    <row r="62" ht="14.5">
      <c r="B62" t="s">
        <v>695</v>
      </c>
    </row>
    <row r="63" ht="14.5">
      <c r="B63" t="s">
        <v>695</v>
      </c>
    </row>
    <row r="64" ht="14.5">
      <c r="B64" t="s">
        <v>695</v>
      </c>
    </row>
    <row r="65" ht="14.5">
      <c r="B65" t="s">
        <v>695</v>
      </c>
    </row>
    <row r="66" ht="14.5">
      <c r="B66" t="s">
        <v>695</v>
      </c>
    </row>
    <row r="67" ht="14.5">
      <c r="B67" t="s">
        <v>695</v>
      </c>
    </row>
    <row r="68" ht="14.5">
      <c r="B68" t="s">
        <v>695</v>
      </c>
    </row>
    <row r="69" ht="14.5">
      <c r="B69" t="s">
        <v>695</v>
      </c>
    </row>
    <row r="70" ht="14.5">
      <c r="B70" t="s">
        <v>695</v>
      </c>
    </row>
    <row r="71" ht="14.5">
      <c r="B71" t="s">
        <v>695</v>
      </c>
    </row>
    <row r="72" ht="14.5">
      <c r="B72" t="s">
        <v>695</v>
      </c>
    </row>
    <row r="73" ht="14.5">
      <c r="B73" t="s">
        <v>695</v>
      </c>
    </row>
    <row r="74" ht="14.5">
      <c r="B74" t="s">
        <v>695</v>
      </c>
    </row>
    <row r="75" ht="14.5">
      <c r="B75" t="s">
        <v>695</v>
      </c>
    </row>
    <row r="76" ht="14.5">
      <c r="B76" t="s">
        <v>695</v>
      </c>
    </row>
    <row r="77" ht="14.5">
      <c r="B77" t="s">
        <v>695</v>
      </c>
    </row>
    <row r="78" ht="14.5">
      <c r="B78" t="s">
        <v>695</v>
      </c>
    </row>
    <row r="79" ht="14.5">
      <c r="B79" t="s">
        <v>695</v>
      </c>
    </row>
    <row r="80" ht="14.5">
      <c r="B80" t="s">
        <v>695</v>
      </c>
    </row>
    <row r="81" ht="14.5">
      <c r="B81" t="s">
        <v>695</v>
      </c>
    </row>
    <row r="82" ht="14.5">
      <c r="B82" t="s">
        <v>695</v>
      </c>
    </row>
    <row r="83" ht="14.5">
      <c r="B83" t="s">
        <v>695</v>
      </c>
    </row>
    <row r="84" ht="14.5">
      <c r="B84" t="s">
        <v>695</v>
      </c>
    </row>
    <row r="85" ht="14.5">
      <c r="B85" t="s">
        <v>695</v>
      </c>
    </row>
    <row r="86" ht="14.5">
      <c r="B86" t="s">
        <v>695</v>
      </c>
    </row>
    <row r="87" ht="14.5">
      <c r="B87" t="s">
        <v>695</v>
      </c>
    </row>
    <row r="88" ht="14.5">
      <c r="B88" t="s">
        <v>695</v>
      </c>
    </row>
    <row r="89" ht="14.5">
      <c r="B89" t="s">
        <v>695</v>
      </c>
    </row>
    <row r="90" ht="14.5">
      <c r="B90" t="s">
        <v>695</v>
      </c>
    </row>
    <row r="91" ht="14.5">
      <c r="B91" t="s">
        <v>695</v>
      </c>
    </row>
    <row r="92" ht="14.5">
      <c r="B92" t="s">
        <v>695</v>
      </c>
    </row>
    <row r="93" ht="14.5">
      <c r="B93" t="s">
        <v>695</v>
      </c>
    </row>
    <row r="94" ht="14.5">
      <c r="B94" t="s">
        <v>695</v>
      </c>
    </row>
    <row r="95" ht="14.5">
      <c r="B95" t="s">
        <v>695</v>
      </c>
    </row>
    <row r="96" ht="14.5">
      <c r="B96" t="s">
        <v>695</v>
      </c>
    </row>
    <row r="97" ht="14.5">
      <c r="B97" t="s">
        <v>695</v>
      </c>
    </row>
    <row r="98" ht="14.5">
      <c r="B98" t="s">
        <v>695</v>
      </c>
    </row>
    <row r="99" ht="14.5">
      <c r="B99" t="s">
        <v>695</v>
      </c>
    </row>
    <row r="100" ht="14.5">
      <c r="B100" t="s">
        <v>695</v>
      </c>
    </row>
    <row r="101" ht="14.5">
      <c r="B101" t="s">
        <v>695</v>
      </c>
    </row>
    <row r="102" ht="14.5">
      <c r="B102" t="s">
        <v>695</v>
      </c>
    </row>
    <row r="103" ht="14.5">
      <c r="B103" t="s">
        <v>695</v>
      </c>
    </row>
    <row r="104" ht="14.5">
      <c r="B104" t="s">
        <v>695</v>
      </c>
    </row>
    <row r="105" ht="14.5">
      <c r="B105" t="s">
        <v>695</v>
      </c>
    </row>
    <row r="106" ht="14.5">
      <c r="B106" t="s">
        <v>695</v>
      </c>
    </row>
    <row r="107" ht="14.5">
      <c r="B107" t="s">
        <v>695</v>
      </c>
    </row>
    <row r="108" ht="14.5">
      <c r="B108" t="s">
        <v>695</v>
      </c>
    </row>
    <row r="109" ht="14.5">
      <c r="B109" t="s">
        <v>695</v>
      </c>
    </row>
    <row r="110" ht="14.5">
      <c r="B110" t="s">
        <v>695</v>
      </c>
    </row>
    <row r="111" ht="14.5">
      <c r="B111" t="s">
        <v>695</v>
      </c>
    </row>
    <row r="112" ht="14.5">
      <c r="B112" t="s">
        <v>695</v>
      </c>
    </row>
    <row r="113" ht="14.5">
      <c r="B113" t="s">
        <v>695</v>
      </c>
    </row>
    <row r="114" ht="14.5">
      <c r="B114" t="s">
        <v>695</v>
      </c>
    </row>
    <row r="115" ht="14.5">
      <c r="B115" t="s">
        <v>695</v>
      </c>
    </row>
    <row r="116" ht="14.5">
      <c r="B116" t="s">
        <v>695</v>
      </c>
    </row>
    <row r="117" ht="14.5">
      <c r="B117" t="s">
        <v>695</v>
      </c>
    </row>
    <row r="118" ht="14.5">
      <c r="B118" t="s">
        <v>695</v>
      </c>
    </row>
    <row r="119" ht="14.5">
      <c r="B119" t="s">
        <v>695</v>
      </c>
    </row>
    <row r="120" ht="14.5">
      <c r="B120" t="s">
        <v>695</v>
      </c>
    </row>
    <row r="121" ht="14.5">
      <c r="B121" t="s">
        <v>695</v>
      </c>
    </row>
    <row r="122" ht="14.5">
      <c r="B122" t="s">
        <v>695</v>
      </c>
    </row>
    <row r="123" ht="14.5">
      <c r="B123" t="s">
        <v>695</v>
      </c>
    </row>
    <row r="124" ht="14.5">
      <c r="B124" t="s">
        <v>695</v>
      </c>
    </row>
    <row r="125" ht="14.5">
      <c r="B125" t="s">
        <v>695</v>
      </c>
    </row>
    <row r="126" ht="14.5">
      <c r="B126" t="s">
        <v>695</v>
      </c>
    </row>
    <row r="127" ht="14.5">
      <c r="B127" t="s">
        <v>695</v>
      </c>
    </row>
    <row r="128" ht="14.5">
      <c r="B128" t="s">
        <v>695</v>
      </c>
    </row>
    <row r="129" ht="14.5">
      <c r="B129" t="s">
        <v>695</v>
      </c>
    </row>
    <row r="130" ht="14.5">
      <c r="B130" t="s">
        <v>695</v>
      </c>
    </row>
    <row r="131" ht="14.5">
      <c r="B131" t="s">
        <v>695</v>
      </c>
    </row>
    <row r="132" ht="14.5">
      <c r="B132" t="s">
        <v>695</v>
      </c>
    </row>
    <row r="133" ht="14.5">
      <c r="B133" t="s">
        <v>695</v>
      </c>
    </row>
    <row r="134" ht="14.5">
      <c r="B134" t="s">
        <v>695</v>
      </c>
    </row>
    <row r="135" ht="14.5">
      <c r="B135" t="s">
        <v>695</v>
      </c>
    </row>
    <row r="136" ht="14.5">
      <c r="B136" t="s">
        <v>695</v>
      </c>
    </row>
    <row r="137" ht="14.5">
      <c r="B137" t="s">
        <v>695</v>
      </c>
    </row>
    <row r="138" ht="14.5">
      <c r="B138" t="s">
        <v>695</v>
      </c>
    </row>
    <row r="139" ht="14.5">
      <c r="B139" t="s">
        <v>695</v>
      </c>
    </row>
    <row r="140" ht="14.5">
      <c r="B140" t="s">
        <v>695</v>
      </c>
    </row>
    <row r="141" ht="14.5">
      <c r="B141" t="s">
        <v>695</v>
      </c>
    </row>
    <row r="142" ht="14.5">
      <c r="B142" t="s">
        <v>695</v>
      </c>
    </row>
    <row r="143" ht="14.5">
      <c r="B143" t="s">
        <v>695</v>
      </c>
    </row>
    <row r="144" ht="14.5">
      <c r="B144" t="s">
        <v>695</v>
      </c>
    </row>
    <row r="145" ht="14.5">
      <c r="B145" t="s">
        <v>695</v>
      </c>
    </row>
    <row r="146" ht="14.5">
      <c r="B146" t="s">
        <v>695</v>
      </c>
    </row>
    <row r="147" ht="14.5">
      <c r="B147" t="s">
        <v>695</v>
      </c>
    </row>
    <row r="148" ht="14.5">
      <c r="B148" t="s">
        <v>695</v>
      </c>
    </row>
    <row r="149" ht="14.5">
      <c r="B149" t="s">
        <v>695</v>
      </c>
    </row>
    <row r="150" ht="14.5">
      <c r="B150" t="s">
        <v>695</v>
      </c>
    </row>
    <row r="151" ht="14.5">
      <c r="B151" t="s">
        <v>695</v>
      </c>
    </row>
    <row r="152" ht="14.5">
      <c r="B152" t="s">
        <v>695</v>
      </c>
    </row>
    <row r="153" ht="14.5">
      <c r="B153" t="s">
        <v>695</v>
      </c>
    </row>
    <row r="154" ht="14.5">
      <c r="B154" t="s">
        <v>695</v>
      </c>
    </row>
    <row r="155" ht="14.5">
      <c r="B155" t="s">
        <v>695</v>
      </c>
    </row>
    <row r="156" ht="14.5">
      <c r="B156" t="s">
        <v>695</v>
      </c>
    </row>
    <row r="157" ht="14.5">
      <c r="B157" t="s">
        <v>695</v>
      </c>
    </row>
    <row r="158" ht="14.5">
      <c r="B158" t="s">
        <v>695</v>
      </c>
    </row>
    <row r="159" ht="14.5">
      <c r="B159" t="s">
        <v>695</v>
      </c>
    </row>
    <row r="160" ht="14.5">
      <c r="B160" t="s">
        <v>695</v>
      </c>
    </row>
    <row r="161" ht="14.5">
      <c r="B161" t="s">
        <v>695</v>
      </c>
    </row>
    <row r="162" ht="14.5">
      <c r="B162" t="s">
        <v>695</v>
      </c>
    </row>
    <row r="163" ht="14.5">
      <c r="B163" t="s">
        <v>695</v>
      </c>
    </row>
    <row r="164" ht="14.5">
      <c r="B164" t="s">
        <v>695</v>
      </c>
    </row>
    <row r="165" ht="14.5">
      <c r="B165" t="s">
        <v>695</v>
      </c>
    </row>
    <row r="166" ht="14.5">
      <c r="B166" t="s">
        <v>695</v>
      </c>
    </row>
    <row r="167" ht="14.5">
      <c r="B167" t="s">
        <v>695</v>
      </c>
    </row>
    <row r="168" ht="14.5">
      <c r="B168" t="s">
        <v>695</v>
      </c>
    </row>
    <row r="169" ht="14.5">
      <c r="B169" t="s">
        <v>695</v>
      </c>
    </row>
    <row r="170" ht="14.5">
      <c r="B170" t="s">
        <v>695</v>
      </c>
    </row>
    <row r="171" ht="14.5">
      <c r="B171" t="s">
        <v>695</v>
      </c>
    </row>
    <row r="172" ht="14.5">
      <c r="B172" t="s">
        <v>695</v>
      </c>
    </row>
    <row r="173" ht="14.5">
      <c r="B173" t="s">
        <v>695</v>
      </c>
    </row>
    <row r="174" ht="14.5">
      <c r="B174" t="s">
        <v>695</v>
      </c>
    </row>
    <row r="175" ht="14.5">
      <c r="B175" t="s">
        <v>695</v>
      </c>
    </row>
    <row r="176" ht="14.5">
      <c r="B176" t="s">
        <v>695</v>
      </c>
    </row>
    <row r="177" ht="14.5">
      <c r="B177" t="s">
        <v>695</v>
      </c>
    </row>
    <row r="178" ht="14.5">
      <c r="B178" t="s">
        <v>695</v>
      </c>
    </row>
    <row r="179" ht="14.5">
      <c r="B179" t="s">
        <v>695</v>
      </c>
    </row>
    <row r="180" ht="14.5">
      <c r="B180" t="s">
        <v>695</v>
      </c>
    </row>
    <row r="181" ht="14.5">
      <c r="B181" t="s">
        <v>695</v>
      </c>
    </row>
    <row r="182" ht="14.5">
      <c r="B182" t="s">
        <v>695</v>
      </c>
    </row>
    <row r="183" ht="14.5">
      <c r="B183" t="s">
        <v>695</v>
      </c>
    </row>
    <row r="184" ht="14.5">
      <c r="B184" t="s">
        <v>695</v>
      </c>
    </row>
    <row r="185" ht="14.5">
      <c r="B185" t="s">
        <v>695</v>
      </c>
    </row>
    <row r="186" ht="14.5">
      <c r="B186" t="s">
        <v>695</v>
      </c>
    </row>
    <row r="187" ht="14.5">
      <c r="B187" t="s">
        <v>695</v>
      </c>
    </row>
    <row r="188" ht="14.5">
      <c r="B188" t="s">
        <v>695</v>
      </c>
    </row>
    <row r="189" ht="14.5">
      <c r="B189" t="s">
        <v>695</v>
      </c>
    </row>
    <row r="190" ht="14.5">
      <c r="B190" t="s">
        <v>695</v>
      </c>
    </row>
    <row r="191" ht="14.5">
      <c r="B191" t="s">
        <v>695</v>
      </c>
    </row>
    <row r="192" ht="14.5">
      <c r="B192" t="s">
        <v>695</v>
      </c>
    </row>
    <row r="193" ht="14.5">
      <c r="B193" t="s">
        <v>695</v>
      </c>
    </row>
    <row r="194" ht="14.5">
      <c r="B194" t="s">
        <v>695</v>
      </c>
    </row>
    <row r="195" ht="14.5">
      <c r="B195" t="s">
        <v>695</v>
      </c>
    </row>
    <row r="196" ht="14.5">
      <c r="B196" t="s">
        <v>695</v>
      </c>
    </row>
    <row r="197" ht="14.5">
      <c r="B197" t="s">
        <v>695</v>
      </c>
    </row>
    <row r="198" ht="14.5">
      <c r="B198" t="s">
        <v>695</v>
      </c>
    </row>
    <row r="199" ht="14.5">
      <c r="B199" t="s">
        <v>695</v>
      </c>
    </row>
    <row r="200" ht="14.5">
      <c r="B200" t="s">
        <v>695</v>
      </c>
    </row>
    <row r="201" ht="14.5">
      <c r="B201" t="s">
        <v>695</v>
      </c>
    </row>
    <row r="202" ht="14.5">
      <c r="B202" t="s">
        <v>695</v>
      </c>
    </row>
    <row r="203" ht="14.5">
      <c r="B203" t="s">
        <v>695</v>
      </c>
    </row>
    <row r="204" ht="14.5">
      <c r="B204" t="s">
        <v>695</v>
      </c>
    </row>
    <row r="205" ht="14.5">
      <c r="B205" t="s">
        <v>695</v>
      </c>
    </row>
    <row r="206" ht="14.5">
      <c r="B206" t="s">
        <v>695</v>
      </c>
    </row>
    <row r="207" ht="14.5">
      <c r="B207" t="s">
        <v>695</v>
      </c>
    </row>
    <row r="208" ht="14.5">
      <c r="B208" t="s">
        <v>695</v>
      </c>
    </row>
    <row r="209" ht="14.5">
      <c r="B209" t="s">
        <v>695</v>
      </c>
    </row>
    <row r="210" ht="14.5">
      <c r="B210" t="s">
        <v>695</v>
      </c>
    </row>
    <row r="211" ht="14.5">
      <c r="B211" t="s">
        <v>695</v>
      </c>
    </row>
    <row r="212" ht="14.5">
      <c r="B212" t="s">
        <v>695</v>
      </c>
    </row>
    <row r="213" ht="14.5">
      <c r="B213" t="s">
        <v>695</v>
      </c>
    </row>
    <row r="214" ht="14.5">
      <c r="B214" t="s">
        <v>695</v>
      </c>
    </row>
    <row r="215" ht="14.5">
      <c r="B215" t="s">
        <v>695</v>
      </c>
    </row>
    <row r="216" ht="14.5">
      <c r="B216" t="s">
        <v>695</v>
      </c>
    </row>
    <row r="217" ht="14.5">
      <c r="B217" t="s">
        <v>695</v>
      </c>
    </row>
    <row r="218" ht="14.5">
      <c r="B218" t="s">
        <v>695</v>
      </c>
    </row>
    <row r="219" ht="14.5">
      <c r="B219" t="s">
        <v>695</v>
      </c>
    </row>
    <row r="220" ht="14.5">
      <c r="B220" t="s">
        <v>695</v>
      </c>
    </row>
    <row r="221" ht="14.5">
      <c r="B221" t="s">
        <v>695</v>
      </c>
    </row>
    <row r="222" ht="14.5">
      <c r="B222" t="s">
        <v>695</v>
      </c>
    </row>
    <row r="223" ht="14.5">
      <c r="B223" t="s">
        <v>695</v>
      </c>
    </row>
    <row r="224" ht="14.5">
      <c r="B224" t="s">
        <v>695</v>
      </c>
    </row>
    <row r="225" ht="14.5">
      <c r="B225" t="s">
        <v>695</v>
      </c>
    </row>
    <row r="226" ht="14.5">
      <c r="B226" t="s">
        <v>695</v>
      </c>
    </row>
    <row r="227" ht="14.5">
      <c r="B227" t="s">
        <v>695</v>
      </c>
    </row>
    <row r="228" ht="14.5">
      <c r="B228" t="s">
        <v>695</v>
      </c>
    </row>
    <row r="229" ht="14.5">
      <c r="B229" t="s">
        <v>695</v>
      </c>
    </row>
    <row r="230" ht="14.5">
      <c r="B230" t="s">
        <v>695</v>
      </c>
    </row>
    <row r="231" ht="14.5">
      <c r="B231" t="s">
        <v>695</v>
      </c>
    </row>
    <row r="232" ht="14.5">
      <c r="B232" t="s">
        <v>695</v>
      </c>
    </row>
    <row r="233" ht="14.5">
      <c r="B233" t="s">
        <v>695</v>
      </c>
    </row>
    <row r="234" ht="14.5">
      <c r="B234" t="s">
        <v>695</v>
      </c>
    </row>
    <row r="235" ht="14.5">
      <c r="B235" t="s">
        <v>695</v>
      </c>
    </row>
    <row r="236" ht="14.5">
      <c r="B236" t="s">
        <v>695</v>
      </c>
    </row>
    <row r="237" ht="14.5">
      <c r="B237" t="s">
        <v>695</v>
      </c>
    </row>
    <row r="238" ht="14.5">
      <c r="B238" t="s">
        <v>695</v>
      </c>
    </row>
    <row r="239" ht="14.5">
      <c r="B239" t="s">
        <v>695</v>
      </c>
    </row>
    <row r="240" ht="14.5">
      <c r="B240" t="s">
        <v>695</v>
      </c>
    </row>
    <row r="241" ht="14.5">
      <c r="B241" t="s">
        <v>695</v>
      </c>
    </row>
    <row r="242" ht="14.5">
      <c r="B242" t="s">
        <v>695</v>
      </c>
    </row>
    <row r="243" ht="14.5">
      <c r="B243" t="s">
        <v>695</v>
      </c>
    </row>
    <row r="244" ht="14.5">
      <c r="B244" t="s">
        <v>695</v>
      </c>
    </row>
    <row r="245" ht="14.5">
      <c r="B245" t="s">
        <v>695</v>
      </c>
    </row>
    <row r="246" ht="14.5">
      <c r="B246" t="s">
        <v>695</v>
      </c>
    </row>
    <row r="247" ht="14.5">
      <c r="B247" t="s">
        <v>695</v>
      </c>
    </row>
    <row r="248" ht="14.5">
      <c r="B248" t="s">
        <v>695</v>
      </c>
    </row>
    <row r="249" ht="14.5">
      <c r="B249" t="s">
        <v>695</v>
      </c>
    </row>
    <row r="250" ht="14.5">
      <c r="B250" t="s">
        <v>695</v>
      </c>
    </row>
    <row r="251" ht="14.5">
      <c r="B251" t="s">
        <v>695</v>
      </c>
    </row>
    <row r="252" ht="14.5">
      <c r="B252" t="s">
        <v>695</v>
      </c>
    </row>
    <row r="253" ht="14.5">
      <c r="B253" t="s">
        <v>695</v>
      </c>
    </row>
    <row r="254" ht="14.5">
      <c r="B254" t="s">
        <v>695</v>
      </c>
    </row>
    <row r="255" ht="14.5">
      <c r="B255" t="s">
        <v>695</v>
      </c>
    </row>
    <row r="256" ht="14.5">
      <c r="B256" t="s">
        <v>695</v>
      </c>
    </row>
    <row r="257" ht="14.5">
      <c r="B257" t="s">
        <v>695</v>
      </c>
    </row>
    <row r="258" ht="14.5">
      <c r="B258" t="s">
        <v>695</v>
      </c>
    </row>
    <row r="259" ht="14.5">
      <c r="B259" t="s">
        <v>695</v>
      </c>
    </row>
    <row r="260" ht="14.5">
      <c r="B260" t="s">
        <v>695</v>
      </c>
    </row>
    <row r="261" ht="14.5">
      <c r="B261" t="s">
        <v>695</v>
      </c>
    </row>
    <row r="262" ht="14.5">
      <c r="B262" t="s">
        <v>695</v>
      </c>
    </row>
    <row r="263" ht="14.5">
      <c r="B263" t="s">
        <v>695</v>
      </c>
    </row>
    <row r="264" ht="14.5">
      <c r="B264" t="s">
        <v>695</v>
      </c>
    </row>
    <row r="265" ht="14.5">
      <c r="B265" t="s">
        <v>695</v>
      </c>
    </row>
    <row r="266" ht="14.5">
      <c r="B266" t="s">
        <v>695</v>
      </c>
    </row>
    <row r="267" ht="14.5">
      <c r="B267" t="s">
        <v>695</v>
      </c>
    </row>
    <row r="268" ht="14.5">
      <c r="B268" t="s">
        <v>695</v>
      </c>
    </row>
    <row r="269" ht="14.5">
      <c r="B269" t="s">
        <v>695</v>
      </c>
    </row>
    <row r="270" ht="14.5">
      <c r="B270" t="s">
        <v>695</v>
      </c>
    </row>
    <row r="271" ht="14.5">
      <c r="B271" t="s">
        <v>695</v>
      </c>
    </row>
    <row r="272" ht="14.5">
      <c r="B272" t="s">
        <v>695</v>
      </c>
    </row>
    <row r="273" ht="14.5">
      <c r="B273" t="s">
        <v>695</v>
      </c>
    </row>
    <row r="274" ht="14.5">
      <c r="B274" t="s">
        <v>695</v>
      </c>
    </row>
    <row r="275" ht="14.5">
      <c r="B275" t="s">
        <v>695</v>
      </c>
    </row>
    <row r="276" ht="14.5">
      <c r="B276" t="s">
        <v>695</v>
      </c>
    </row>
    <row r="277" ht="14.5">
      <c r="B277" t="s">
        <v>695</v>
      </c>
    </row>
    <row r="278" ht="14.5">
      <c r="B278" t="s">
        <v>695</v>
      </c>
    </row>
    <row r="279" ht="14.5">
      <c r="B279" t="s">
        <v>695</v>
      </c>
    </row>
    <row r="280" ht="14.5">
      <c r="B280" t="s">
        <v>695</v>
      </c>
    </row>
    <row r="281" ht="14.5">
      <c r="B281" t="s">
        <v>695</v>
      </c>
    </row>
    <row r="282" ht="14.5">
      <c r="B282" t="s">
        <v>695</v>
      </c>
    </row>
    <row r="283" ht="14.5">
      <c r="B283" t="s">
        <v>695</v>
      </c>
    </row>
    <row r="284" ht="14.5">
      <c r="B284" t="s">
        <v>695</v>
      </c>
    </row>
    <row r="285" ht="14.5">
      <c r="B285" t="s">
        <v>695</v>
      </c>
    </row>
    <row r="286" ht="14.5">
      <c r="B286" t="s">
        <v>695</v>
      </c>
    </row>
    <row r="287" ht="14.5">
      <c r="B287" t="s">
        <v>695</v>
      </c>
    </row>
    <row r="288" ht="14.5">
      <c r="B288" t="s">
        <v>695</v>
      </c>
    </row>
    <row r="289" ht="14.5">
      <c r="B289" t="s">
        <v>695</v>
      </c>
    </row>
    <row r="290" ht="14.5">
      <c r="B290" t="s">
        <v>695</v>
      </c>
    </row>
    <row r="291" ht="14.5">
      <c r="B291" t="s">
        <v>695</v>
      </c>
    </row>
    <row r="292" ht="14.5">
      <c r="B292" t="s">
        <v>695</v>
      </c>
    </row>
    <row r="293" ht="14.5">
      <c r="B293" t="s">
        <v>695</v>
      </c>
    </row>
    <row r="294" ht="14.5">
      <c r="B294" t="s">
        <v>695</v>
      </c>
    </row>
    <row r="295" ht="14.5">
      <c r="B295" t="s">
        <v>695</v>
      </c>
    </row>
    <row r="296" ht="14.5">
      <c r="B296" t="s">
        <v>695</v>
      </c>
    </row>
    <row r="297" ht="14.5">
      <c r="B297" t="s">
        <v>695</v>
      </c>
    </row>
    <row r="298" ht="14.5">
      <c r="B298" t="s">
        <v>695</v>
      </c>
    </row>
    <row r="299" ht="14.5">
      <c r="B299" t="s">
        <v>695</v>
      </c>
    </row>
    <row r="300" ht="14.5">
      <c r="B300" t="s">
        <v>695</v>
      </c>
    </row>
    <row r="301" ht="14.5">
      <c r="B301" t="s">
        <v>695</v>
      </c>
    </row>
    <row r="302" ht="14.5">
      <c r="B302" t="s">
        <v>695</v>
      </c>
    </row>
    <row r="303" ht="14.5">
      <c r="B303" t="s">
        <v>695</v>
      </c>
    </row>
    <row r="304" ht="14.5">
      <c r="B304" t="s">
        <v>695</v>
      </c>
    </row>
    <row r="305" ht="14.5">
      <c r="B305" t="s">
        <v>695</v>
      </c>
    </row>
    <row r="306" ht="14.5">
      <c r="B306" t="s">
        <v>695</v>
      </c>
    </row>
    <row r="307" ht="14.5">
      <c r="B307" t="s">
        <v>695</v>
      </c>
    </row>
    <row r="308" ht="14.5">
      <c r="B308" t="s">
        <v>695</v>
      </c>
    </row>
    <row r="309" ht="14.5">
      <c r="B309" t="s">
        <v>695</v>
      </c>
    </row>
    <row r="310" ht="14.5">
      <c r="B310" t="s">
        <v>695</v>
      </c>
    </row>
    <row r="311" ht="14.5">
      <c r="B311" t="s">
        <v>695</v>
      </c>
    </row>
    <row r="312" ht="14.5">
      <c r="B312" t="s">
        <v>695</v>
      </c>
    </row>
    <row r="313" ht="14.5">
      <c r="B313" t="s">
        <v>695</v>
      </c>
    </row>
    <row r="314" ht="14.5">
      <c r="B314" t="s">
        <v>695</v>
      </c>
    </row>
    <row r="315" ht="14.5">
      <c r="B315" t="s">
        <v>695</v>
      </c>
    </row>
    <row r="316" ht="14.5">
      <c r="B316" t="s">
        <v>695</v>
      </c>
    </row>
    <row r="317" ht="14.5">
      <c r="B317" t="s">
        <v>695</v>
      </c>
    </row>
    <row r="318" ht="14.5">
      <c r="B318" t="s">
        <v>695</v>
      </c>
    </row>
    <row r="319" ht="14.5">
      <c r="B319" t="s">
        <v>695</v>
      </c>
    </row>
    <row r="320" ht="14.5">
      <c r="B320" t="s">
        <v>695</v>
      </c>
    </row>
    <row r="321" ht="14.5">
      <c r="B321" t="s">
        <v>695</v>
      </c>
    </row>
    <row r="322" ht="14.5">
      <c r="B322" t="s">
        <v>695</v>
      </c>
    </row>
    <row r="323" ht="14.5">
      <c r="B323" t="s">
        <v>695</v>
      </c>
    </row>
    <row r="324" ht="14.5">
      <c r="B324" t="s">
        <v>695</v>
      </c>
    </row>
    <row r="325" ht="14.5">
      <c r="B325" t="s">
        <v>695</v>
      </c>
    </row>
    <row r="326" ht="14.5">
      <c r="B326" t="s">
        <v>695</v>
      </c>
    </row>
    <row r="327" ht="14.5">
      <c r="B327" t="s">
        <v>695</v>
      </c>
    </row>
    <row r="328" ht="14.5">
      <c r="B328" t="s">
        <v>695</v>
      </c>
    </row>
    <row r="329" ht="14.5">
      <c r="B329" t="s">
        <v>695</v>
      </c>
    </row>
    <row r="330" ht="14.5">
      <c r="B330" t="s">
        <v>695</v>
      </c>
    </row>
    <row r="331" ht="14.5">
      <c r="B331" t="s">
        <v>695</v>
      </c>
    </row>
    <row r="332" ht="14.5">
      <c r="B332" t="s">
        <v>695</v>
      </c>
    </row>
    <row r="333" ht="14.5">
      <c r="B333" t="s">
        <v>695</v>
      </c>
    </row>
    <row r="334" ht="14.5">
      <c r="B334" t="s">
        <v>695</v>
      </c>
    </row>
    <row r="335" ht="14.5">
      <c r="B335" t="s">
        <v>695</v>
      </c>
    </row>
    <row r="336" ht="14.5">
      <c r="B336" t="s">
        <v>695</v>
      </c>
    </row>
    <row r="337" ht="14.5">
      <c r="B337" t="s">
        <v>695</v>
      </c>
    </row>
    <row r="338" ht="14.5">
      <c r="B338" t="s">
        <v>695</v>
      </c>
    </row>
    <row r="339" ht="14.5">
      <c r="B339" t="s">
        <v>695</v>
      </c>
    </row>
    <row r="340" ht="14.5">
      <c r="B340" t="s">
        <v>695</v>
      </c>
    </row>
    <row r="341" ht="14.5">
      <c r="B341" t="s">
        <v>695</v>
      </c>
    </row>
    <row r="342" ht="14.5">
      <c r="B342" t="s">
        <v>695</v>
      </c>
    </row>
    <row r="343" ht="14.5">
      <c r="B343" t="s">
        <v>695</v>
      </c>
    </row>
    <row r="344" ht="14.5">
      <c r="B344" t="s">
        <v>695</v>
      </c>
    </row>
    <row r="345" ht="14.5">
      <c r="B345" t="s">
        <v>695</v>
      </c>
    </row>
    <row r="346" ht="14.5">
      <c r="B346" t="s">
        <v>695</v>
      </c>
    </row>
    <row r="347" ht="14.5">
      <c r="B347" t="s">
        <v>695</v>
      </c>
    </row>
    <row r="348" ht="14.5">
      <c r="B348" t="s">
        <v>695</v>
      </c>
    </row>
    <row r="349" ht="14.5">
      <c r="B349" t="s">
        <v>695</v>
      </c>
    </row>
    <row r="350" ht="14.5">
      <c r="B350" t="s">
        <v>695</v>
      </c>
    </row>
    <row r="351" ht="14.5">
      <c r="B351" t="s">
        <v>695</v>
      </c>
    </row>
    <row r="352" ht="14.5">
      <c r="B352" t="s">
        <v>695</v>
      </c>
    </row>
    <row r="353" ht="14.5">
      <c r="B353" t="s">
        <v>695</v>
      </c>
    </row>
    <row r="354" ht="14.5">
      <c r="B354" t="s">
        <v>695</v>
      </c>
    </row>
    <row r="355" ht="14.5">
      <c r="B355" t="s">
        <v>695</v>
      </c>
    </row>
    <row r="356" ht="14.5">
      <c r="B356" t="s">
        <v>695</v>
      </c>
    </row>
    <row r="357" ht="14.5">
      <c r="B357" t="s">
        <v>695</v>
      </c>
    </row>
    <row r="358" ht="14.5">
      <c r="B358" t="s">
        <v>695</v>
      </c>
    </row>
    <row r="359" ht="14.5">
      <c r="B359" t="s">
        <v>695</v>
      </c>
    </row>
    <row r="360" ht="14.5">
      <c r="B360" t="s">
        <v>695</v>
      </c>
    </row>
    <row r="361" ht="14.5">
      <c r="B361" t="s">
        <v>695</v>
      </c>
    </row>
    <row r="362" ht="14.5">
      <c r="B362" t="s">
        <v>695</v>
      </c>
    </row>
    <row r="363" ht="14.5">
      <c r="B363" t="s">
        <v>695</v>
      </c>
    </row>
    <row r="364" ht="14.5">
      <c r="B364" t="s">
        <v>695</v>
      </c>
    </row>
    <row r="365" ht="14.5">
      <c r="B365" t="s">
        <v>695</v>
      </c>
    </row>
    <row r="366" ht="14.5">
      <c r="B366" t="s">
        <v>695</v>
      </c>
    </row>
    <row r="367" ht="14.5">
      <c r="B367" t="s">
        <v>695</v>
      </c>
    </row>
    <row r="368" ht="14.5">
      <c r="B368" t="s">
        <v>695</v>
      </c>
    </row>
    <row r="369" ht="14.5">
      <c r="B369" t="s">
        <v>695</v>
      </c>
    </row>
    <row r="370" ht="14.5">
      <c r="B370" t="s">
        <v>695</v>
      </c>
    </row>
    <row r="371" ht="14.5">
      <c r="B371" t="s">
        <v>695</v>
      </c>
    </row>
    <row r="372" ht="14.5">
      <c r="B372" t="s">
        <v>695</v>
      </c>
    </row>
    <row r="373" ht="14.5">
      <c r="B373" t="s">
        <v>695</v>
      </c>
    </row>
    <row r="374" ht="14.5">
      <c r="B374" t="s">
        <v>695</v>
      </c>
    </row>
    <row r="375" ht="14.5">
      <c r="B375" t="s">
        <v>695</v>
      </c>
    </row>
    <row r="376" ht="14.5">
      <c r="B376" t="s">
        <v>695</v>
      </c>
    </row>
    <row r="377" ht="14.5">
      <c r="B377" t="s">
        <v>695</v>
      </c>
    </row>
    <row r="378" ht="14.5">
      <c r="B378" t="s">
        <v>695</v>
      </c>
    </row>
    <row r="379" ht="14.5">
      <c r="B379" t="s">
        <v>695</v>
      </c>
    </row>
    <row r="380" ht="14.5">
      <c r="B380" t="s">
        <v>695</v>
      </c>
    </row>
    <row r="381" ht="14.5">
      <c r="B381" t="s">
        <v>695</v>
      </c>
    </row>
    <row r="382" ht="14.5">
      <c r="B382" t="s">
        <v>695</v>
      </c>
    </row>
    <row r="383" ht="14.5">
      <c r="B383" t="s">
        <v>695</v>
      </c>
    </row>
    <row r="384" ht="14.5">
      <c r="B384" t="s">
        <v>695</v>
      </c>
    </row>
    <row r="385" ht="14.5">
      <c r="B385" t="s">
        <v>695</v>
      </c>
    </row>
    <row r="386" ht="14.5">
      <c r="B386" t="s">
        <v>695</v>
      </c>
    </row>
    <row r="387" ht="14.5">
      <c r="B387" t="s">
        <v>695</v>
      </c>
    </row>
    <row r="388" ht="14.5">
      <c r="B388" t="s">
        <v>695</v>
      </c>
    </row>
    <row r="389" ht="14.5">
      <c r="B389" t="s">
        <v>695</v>
      </c>
    </row>
    <row r="390" ht="14.5">
      <c r="B390" t="s">
        <v>695</v>
      </c>
    </row>
    <row r="391" ht="14.5">
      <c r="B391" t="s">
        <v>695</v>
      </c>
    </row>
    <row r="392" ht="14.5">
      <c r="B392" t="s">
        <v>695</v>
      </c>
    </row>
    <row r="393" ht="14.5">
      <c r="B393" t="s">
        <v>695</v>
      </c>
    </row>
    <row r="394" ht="14.5">
      <c r="B394" t="s">
        <v>695</v>
      </c>
    </row>
    <row r="395" ht="14.5">
      <c r="B395" t="s">
        <v>695</v>
      </c>
    </row>
    <row r="396" ht="14.5">
      <c r="B396" t="s">
        <v>695</v>
      </c>
    </row>
    <row r="397" ht="14.5">
      <c r="B397" t="s">
        <v>695</v>
      </c>
    </row>
    <row r="398" ht="14.5">
      <c r="B398" t="s">
        <v>695</v>
      </c>
    </row>
    <row r="399" ht="14.5">
      <c r="B399" t="s">
        <v>695</v>
      </c>
    </row>
    <row r="400" ht="14.5">
      <c r="B400" t="s">
        <v>695</v>
      </c>
    </row>
    <row r="401" ht="14.5">
      <c r="B401" t="s">
        <v>695</v>
      </c>
    </row>
    <row r="402" ht="14.5">
      <c r="B402" t="s">
        <v>695</v>
      </c>
    </row>
    <row r="403" ht="14.5">
      <c r="B403" t="s">
        <v>695</v>
      </c>
    </row>
    <row r="404" ht="14.5">
      <c r="B404" t="s">
        <v>695</v>
      </c>
    </row>
    <row r="405" ht="14.5">
      <c r="B405" t="s">
        <v>695</v>
      </c>
    </row>
    <row r="406" ht="14.5">
      <c r="B406" t="s">
        <v>695</v>
      </c>
    </row>
    <row r="407" ht="14.5">
      <c r="B407" t="s">
        <v>695</v>
      </c>
    </row>
    <row r="408" ht="14.5">
      <c r="B408" t="s">
        <v>695</v>
      </c>
    </row>
    <row r="409" ht="14.5">
      <c r="B409" t="s">
        <v>695</v>
      </c>
    </row>
    <row r="410" ht="14.5">
      <c r="B410" t="s">
        <v>695</v>
      </c>
    </row>
    <row r="411" ht="14.5">
      <c r="B411" t="s">
        <v>695</v>
      </c>
    </row>
    <row r="412" ht="14.5">
      <c r="B412" t="s">
        <v>695</v>
      </c>
    </row>
    <row r="413" ht="14.5">
      <c r="B413" t="s">
        <v>695</v>
      </c>
    </row>
    <row r="414" ht="14.5">
      <c r="B414" t="s">
        <v>695</v>
      </c>
    </row>
    <row r="415" ht="14.5">
      <c r="B415" t="s">
        <v>695</v>
      </c>
    </row>
    <row r="416" ht="14.5">
      <c r="B416" t="s">
        <v>695</v>
      </c>
    </row>
    <row r="417" ht="14.5">
      <c r="B417" t="s">
        <v>695</v>
      </c>
    </row>
    <row r="418" ht="14.5">
      <c r="B418" t="s">
        <v>695</v>
      </c>
    </row>
    <row r="419" ht="14.5">
      <c r="B419" t="s">
        <v>695</v>
      </c>
    </row>
    <row r="420" ht="14.5">
      <c r="B420" t="s">
        <v>695</v>
      </c>
    </row>
    <row r="421" ht="14.5">
      <c r="B421" t="s">
        <v>695</v>
      </c>
    </row>
    <row r="422" ht="14.5">
      <c r="B422" t="s">
        <v>695</v>
      </c>
    </row>
    <row r="423" ht="14.5">
      <c r="B423" t="s">
        <v>695</v>
      </c>
    </row>
    <row r="424" ht="14.5">
      <c r="B424" t="s">
        <v>695</v>
      </c>
    </row>
    <row r="425" ht="14.5">
      <c r="B425" t="s">
        <v>695</v>
      </c>
    </row>
    <row r="426" ht="14.5">
      <c r="B426" t="s">
        <v>695</v>
      </c>
    </row>
    <row r="427" ht="14.5">
      <c r="B427" t="s">
        <v>695</v>
      </c>
    </row>
    <row r="428" ht="14.5">
      <c r="B428" t="s">
        <v>695</v>
      </c>
    </row>
    <row r="429" ht="14.5">
      <c r="B429" t="s">
        <v>695</v>
      </c>
    </row>
    <row r="430" ht="14.5">
      <c r="B430" t="s">
        <v>695</v>
      </c>
    </row>
    <row r="431" ht="14.5">
      <c r="B431" t="s">
        <v>695</v>
      </c>
    </row>
    <row r="432" ht="14.5">
      <c r="B432" t="s">
        <v>695</v>
      </c>
    </row>
    <row r="433" ht="14.5">
      <c r="B433" t="s">
        <v>695</v>
      </c>
    </row>
    <row r="434" ht="14.5">
      <c r="B434" t="s">
        <v>695</v>
      </c>
    </row>
    <row r="435" ht="14.5">
      <c r="B435" t="s">
        <v>695</v>
      </c>
    </row>
    <row r="436" ht="14.5">
      <c r="B436" t="s">
        <v>695</v>
      </c>
    </row>
    <row r="437" ht="14.5">
      <c r="B437" t="s">
        <v>695</v>
      </c>
    </row>
    <row r="438" ht="14.5">
      <c r="B438" t="s">
        <v>695</v>
      </c>
    </row>
    <row r="439" ht="14.5">
      <c r="B439" t="s">
        <v>695</v>
      </c>
    </row>
    <row r="440" ht="14.5">
      <c r="B440" t="s">
        <v>695</v>
      </c>
    </row>
    <row r="441" ht="14.5">
      <c r="B441" t="s">
        <v>695</v>
      </c>
    </row>
    <row r="442" ht="14.5">
      <c r="B442" t="s">
        <v>695</v>
      </c>
    </row>
    <row r="443" ht="14.5">
      <c r="B443" t="s">
        <v>695</v>
      </c>
    </row>
    <row r="444" ht="14.5">
      <c r="B444" t="s">
        <v>695</v>
      </c>
    </row>
    <row r="445" ht="14.5">
      <c r="B445" t="s">
        <v>695</v>
      </c>
    </row>
    <row r="446" ht="14.5">
      <c r="B446" t="s">
        <v>695</v>
      </c>
    </row>
    <row r="447" ht="14.5">
      <c r="B447" t="s">
        <v>695</v>
      </c>
    </row>
    <row r="448" ht="14.5">
      <c r="B448" t="s">
        <v>695</v>
      </c>
    </row>
    <row r="449" ht="14.5">
      <c r="B449" t="s">
        <v>695</v>
      </c>
    </row>
    <row r="450" ht="14.5">
      <c r="B450" t="s">
        <v>695</v>
      </c>
    </row>
    <row r="451" ht="14.5">
      <c r="B451" t="s">
        <v>695</v>
      </c>
    </row>
    <row r="452" ht="14.5">
      <c r="B452" t="s">
        <v>695</v>
      </c>
    </row>
    <row r="453" ht="14.5">
      <c r="B453" t="s">
        <v>695</v>
      </c>
    </row>
    <row r="454" ht="14.5">
      <c r="B454" t="s">
        <v>695</v>
      </c>
    </row>
    <row r="455" ht="14.5">
      <c r="B455" t="s">
        <v>695</v>
      </c>
    </row>
    <row r="456" ht="14.5">
      <c r="B456" t="s">
        <v>695</v>
      </c>
    </row>
    <row r="457" ht="14.5">
      <c r="B457" t="s">
        <v>695</v>
      </c>
    </row>
    <row r="458" ht="14.5">
      <c r="B458" t="s">
        <v>695</v>
      </c>
    </row>
    <row r="459" ht="14.5">
      <c r="B459" t="s">
        <v>695</v>
      </c>
    </row>
    <row r="460" ht="14.5">
      <c r="B460" t="s">
        <v>695</v>
      </c>
    </row>
    <row r="461" ht="14.5">
      <c r="B461" t="s">
        <v>695</v>
      </c>
    </row>
    <row r="462" ht="14.5">
      <c r="B462" t="s">
        <v>695</v>
      </c>
    </row>
    <row r="463" ht="14.5">
      <c r="B463" t="s">
        <v>695</v>
      </c>
    </row>
    <row r="464" ht="14.5">
      <c r="B464" t="s">
        <v>695</v>
      </c>
    </row>
    <row r="465" ht="14.5">
      <c r="B465" t="s">
        <v>695</v>
      </c>
    </row>
    <row r="466" ht="14.5">
      <c r="B466" t="s">
        <v>695</v>
      </c>
    </row>
    <row r="467" ht="14.5">
      <c r="B467" t="s">
        <v>695</v>
      </c>
    </row>
    <row r="468" ht="14.5">
      <c r="B468" t="s">
        <v>695</v>
      </c>
    </row>
    <row r="469" ht="14.5">
      <c r="B469" t="s">
        <v>695</v>
      </c>
    </row>
    <row r="470" ht="14.5">
      <c r="B470" t="s">
        <v>695</v>
      </c>
    </row>
    <row r="471" ht="14.5">
      <c r="B471" t="s">
        <v>695</v>
      </c>
    </row>
    <row r="472" ht="14.5">
      <c r="B472" t="s">
        <v>695</v>
      </c>
    </row>
    <row r="473" ht="14.5">
      <c r="B473" t="s">
        <v>695</v>
      </c>
    </row>
    <row r="474" ht="14.5">
      <c r="B474" t="s">
        <v>695</v>
      </c>
    </row>
    <row r="475" ht="14.5">
      <c r="B475" t="s">
        <v>695</v>
      </c>
    </row>
    <row r="476" ht="14.5">
      <c r="B476" t="s">
        <v>695</v>
      </c>
    </row>
    <row r="477" ht="14.5">
      <c r="B477" t="s">
        <v>695</v>
      </c>
    </row>
    <row r="478" ht="14.5">
      <c r="B478" t="s">
        <v>695</v>
      </c>
    </row>
    <row r="479" ht="14.5">
      <c r="B479" t="s">
        <v>695</v>
      </c>
    </row>
    <row r="480" ht="14.5">
      <c r="B480" t="s">
        <v>695</v>
      </c>
    </row>
    <row r="481" ht="14.5">
      <c r="B481" t="s">
        <v>695</v>
      </c>
    </row>
    <row r="482" ht="14.5">
      <c r="B482" t="s">
        <v>695</v>
      </c>
    </row>
    <row r="483" ht="14.5">
      <c r="B483" t="s">
        <v>695</v>
      </c>
    </row>
    <row r="484" ht="14.5">
      <c r="B484" t="s">
        <v>695</v>
      </c>
    </row>
    <row r="485" ht="14.5">
      <c r="B485" t="s">
        <v>695</v>
      </c>
    </row>
    <row r="486" ht="14.5">
      <c r="B486" t="s">
        <v>695</v>
      </c>
    </row>
    <row r="487" ht="14.5">
      <c r="B487" t="s">
        <v>695</v>
      </c>
    </row>
    <row r="488" ht="14.5">
      <c r="B488" t="s">
        <v>695</v>
      </c>
    </row>
    <row r="489" ht="14.5">
      <c r="B489" t="s">
        <v>695</v>
      </c>
    </row>
    <row r="490" ht="14.5">
      <c r="B490" t="s">
        <v>695</v>
      </c>
    </row>
    <row r="491" ht="14.5">
      <c r="B491" t="s">
        <v>695</v>
      </c>
    </row>
    <row r="492" ht="14.5">
      <c r="B492" t="s">
        <v>695</v>
      </c>
    </row>
    <row r="493" ht="14.5">
      <c r="B493" t="s">
        <v>695</v>
      </c>
    </row>
    <row r="494" ht="14.5">
      <c r="B494" t="s">
        <v>695</v>
      </c>
    </row>
    <row r="495" ht="14.5">
      <c r="B495" t="s">
        <v>695</v>
      </c>
    </row>
    <row r="496" ht="14.5">
      <c r="B496" t="s">
        <v>695</v>
      </c>
    </row>
    <row r="497" ht="14.5">
      <c r="B497" t="s">
        <v>695</v>
      </c>
    </row>
    <row r="498" ht="14.5">
      <c r="B498" t="s">
        <v>695</v>
      </c>
    </row>
    <row r="499" ht="14.5">
      <c r="B499" t="s">
        <v>695</v>
      </c>
    </row>
    <row r="500" ht="14.5">
      <c r="B500" t="s">
        <v>695</v>
      </c>
    </row>
    <row r="501" ht="14.5">
      <c r="B501" t="s">
        <v>695</v>
      </c>
    </row>
    <row r="502" ht="14.5">
      <c r="B502" t="s">
        <v>695</v>
      </c>
    </row>
    <row r="503" ht="14.5">
      <c r="B503" t="s">
        <v>695</v>
      </c>
    </row>
    <row r="504" ht="14.5">
      <c r="B504" t="s">
        <v>695</v>
      </c>
    </row>
    <row r="505" ht="14.5">
      <c r="B505" t="s">
        <v>695</v>
      </c>
    </row>
    <row r="506" ht="14.5">
      <c r="B506" t="s">
        <v>695</v>
      </c>
    </row>
    <row r="507" ht="14.5">
      <c r="B507" t="s">
        <v>695</v>
      </c>
    </row>
    <row r="508" ht="14.5">
      <c r="B508" t="s">
        <v>695</v>
      </c>
    </row>
    <row r="509" ht="14.5">
      <c r="B509" t="s">
        <v>695</v>
      </c>
    </row>
    <row r="510" ht="14.5">
      <c r="B510" t="s">
        <v>695</v>
      </c>
    </row>
    <row r="511" ht="14.5">
      <c r="B511" t="s">
        <v>695</v>
      </c>
    </row>
    <row r="512" ht="14.5">
      <c r="B512" t="s">
        <v>695</v>
      </c>
    </row>
    <row r="513" ht="14.5">
      <c r="B513" t="s">
        <v>695</v>
      </c>
    </row>
    <row r="514" ht="14.5">
      <c r="B514" t="s">
        <v>695</v>
      </c>
    </row>
    <row r="515" ht="14.5">
      <c r="B515" t="s">
        <v>695</v>
      </c>
    </row>
    <row r="516" ht="14.5">
      <c r="B516" t="s">
        <v>695</v>
      </c>
    </row>
    <row r="517" ht="14.5">
      <c r="B517" t="s">
        <v>695</v>
      </c>
    </row>
    <row r="518" ht="14.5">
      <c r="B518" t="s">
        <v>695</v>
      </c>
    </row>
    <row r="519" ht="14.5">
      <c r="B519" t="s">
        <v>695</v>
      </c>
    </row>
    <row r="520" ht="14.5">
      <c r="B520" t="s">
        <v>695</v>
      </c>
    </row>
    <row r="521" ht="14.5">
      <c r="B521" t="s">
        <v>695</v>
      </c>
    </row>
    <row r="522" ht="14.5">
      <c r="B522" t="s">
        <v>695</v>
      </c>
    </row>
    <row r="523" ht="14.5">
      <c r="B523" t="s">
        <v>695</v>
      </c>
    </row>
    <row r="524" ht="14.5">
      <c r="B524" t="s">
        <v>695</v>
      </c>
    </row>
    <row r="525" ht="14.5">
      <c r="B525" t="s">
        <v>695</v>
      </c>
    </row>
    <row r="526" ht="14.5">
      <c r="B526" t="s">
        <v>695</v>
      </c>
    </row>
    <row r="527" ht="14.5">
      <c r="B527" t="s">
        <v>695</v>
      </c>
    </row>
    <row r="528" ht="14.5">
      <c r="B528" t="s">
        <v>695</v>
      </c>
    </row>
    <row r="529" ht="14.5">
      <c r="B529" t="s">
        <v>695</v>
      </c>
    </row>
    <row r="530" ht="14.5">
      <c r="B530" t="s">
        <v>695</v>
      </c>
    </row>
    <row r="531" ht="14.5">
      <c r="B531" t="s">
        <v>695</v>
      </c>
    </row>
    <row r="532" ht="14.5">
      <c r="B532" t="s">
        <v>695</v>
      </c>
    </row>
    <row r="533" ht="14.5">
      <c r="B533" t="s">
        <v>695</v>
      </c>
    </row>
    <row r="534" ht="14.5">
      <c r="B534" t="s">
        <v>695</v>
      </c>
    </row>
    <row r="535" ht="14.5">
      <c r="B535" t="s">
        <v>695</v>
      </c>
    </row>
    <row r="536" ht="14.5">
      <c r="B536" t="s">
        <v>695</v>
      </c>
    </row>
    <row r="537" ht="14.5">
      <c r="B537" t="s">
        <v>695</v>
      </c>
    </row>
    <row r="538" ht="14.5">
      <c r="B538" t="s">
        <v>695</v>
      </c>
    </row>
    <row r="539" ht="14.5">
      <c r="B539" t="s">
        <v>695</v>
      </c>
    </row>
    <row r="540" ht="14.5">
      <c r="B540" t="s">
        <v>695</v>
      </c>
    </row>
    <row r="541" ht="14.5">
      <c r="B541" t="s">
        <v>695</v>
      </c>
    </row>
    <row r="542" ht="14.5">
      <c r="B542" t="s">
        <v>695</v>
      </c>
    </row>
    <row r="543" ht="14.5">
      <c r="B543" t="s">
        <v>695</v>
      </c>
    </row>
    <row r="544" ht="14.5">
      <c r="B544" t="s">
        <v>695</v>
      </c>
    </row>
    <row r="545" ht="14.5">
      <c r="B545" t="s">
        <v>695</v>
      </c>
    </row>
    <row r="546" ht="14.5">
      <c r="B546" t="s">
        <v>695</v>
      </c>
    </row>
    <row r="547" ht="14.5">
      <c r="B547" t="s">
        <v>695</v>
      </c>
    </row>
    <row r="548" ht="14.5">
      <c r="B548" t="s">
        <v>695</v>
      </c>
    </row>
    <row r="549" ht="14.5">
      <c r="B549" t="s">
        <v>695</v>
      </c>
    </row>
    <row r="550" ht="14.5">
      <c r="B550" t="s">
        <v>695</v>
      </c>
    </row>
    <row r="551" ht="14.5">
      <c r="B551" t="s">
        <v>695</v>
      </c>
    </row>
    <row r="552" ht="14.5">
      <c r="B552" t="s">
        <v>695</v>
      </c>
    </row>
    <row r="553" ht="14.5">
      <c r="B553" t="s">
        <v>695</v>
      </c>
    </row>
    <row r="554" ht="14.5">
      <c r="B554" t="s">
        <v>695</v>
      </c>
    </row>
    <row r="555" ht="14.5">
      <c r="B555" t="s">
        <v>695</v>
      </c>
    </row>
    <row r="556" ht="14.5">
      <c r="B556" t="s">
        <v>695</v>
      </c>
    </row>
    <row r="557" ht="14.5">
      <c r="B557" t="s">
        <v>695</v>
      </c>
    </row>
    <row r="558" ht="14.5">
      <c r="B558" t="s">
        <v>695</v>
      </c>
    </row>
    <row r="559" ht="14.5">
      <c r="B559" t="s">
        <v>695</v>
      </c>
    </row>
    <row r="560" ht="14.5">
      <c r="B560" t="s">
        <v>695</v>
      </c>
    </row>
    <row r="561" ht="14.5">
      <c r="B561" t="s">
        <v>695</v>
      </c>
    </row>
    <row r="562" ht="14.5">
      <c r="B562" t="s">
        <v>695</v>
      </c>
    </row>
    <row r="563" ht="14.5">
      <c r="B563" t="s">
        <v>695</v>
      </c>
    </row>
    <row r="564" ht="14.5">
      <c r="B564" t="s">
        <v>695</v>
      </c>
    </row>
    <row r="565" ht="14.5">
      <c r="B565" t="s">
        <v>695</v>
      </c>
    </row>
    <row r="566" ht="14.5">
      <c r="B566" t="s">
        <v>695</v>
      </c>
    </row>
    <row r="567" ht="14.5">
      <c r="B567" t="s">
        <v>695</v>
      </c>
    </row>
    <row r="568" ht="14.5">
      <c r="B568" t="s">
        <v>695</v>
      </c>
    </row>
    <row r="569" ht="14.5">
      <c r="B569" t="s">
        <v>695</v>
      </c>
    </row>
    <row r="570" ht="14.5">
      <c r="B570" t="s">
        <v>695</v>
      </c>
    </row>
    <row r="571" ht="14.5">
      <c r="B571" t="s">
        <v>695</v>
      </c>
    </row>
    <row r="572" ht="14.5">
      <c r="B572" t="s">
        <v>695</v>
      </c>
    </row>
    <row r="573" ht="14.5">
      <c r="B573" t="s">
        <v>695</v>
      </c>
    </row>
    <row r="574" ht="14.5">
      <c r="B574" t="s">
        <v>695</v>
      </c>
    </row>
    <row r="575" ht="14.5">
      <c r="B575" t="s">
        <v>695</v>
      </c>
    </row>
    <row r="576" ht="14.5">
      <c r="B576" t="s">
        <v>695</v>
      </c>
    </row>
    <row r="577" ht="14.5">
      <c r="B577" t="s">
        <v>695</v>
      </c>
    </row>
    <row r="578" ht="14.5">
      <c r="B578" t="s">
        <v>695</v>
      </c>
    </row>
    <row r="579" ht="14.5">
      <c r="B579" t="s">
        <v>695</v>
      </c>
    </row>
    <row r="580" ht="14.5">
      <c r="B580" t="s">
        <v>695</v>
      </c>
    </row>
    <row r="581" ht="14.5">
      <c r="B581" t="s">
        <v>695</v>
      </c>
    </row>
    <row r="582" ht="14.5">
      <c r="B582" t="s">
        <v>695</v>
      </c>
    </row>
    <row r="583" ht="14.5">
      <c r="B583" t="s">
        <v>695</v>
      </c>
    </row>
    <row r="584" ht="14.5">
      <c r="B584" t="s">
        <v>695</v>
      </c>
    </row>
    <row r="585" ht="14.5">
      <c r="B585" t="s">
        <v>695</v>
      </c>
    </row>
    <row r="586" ht="14.5">
      <c r="B586" t="s">
        <v>695</v>
      </c>
    </row>
    <row r="587" ht="14.5">
      <c r="B587" t="s">
        <v>695</v>
      </c>
    </row>
    <row r="588" ht="14.5">
      <c r="B588" t="s">
        <v>695</v>
      </c>
    </row>
    <row r="589" ht="14.5">
      <c r="B589" t="s">
        <v>695</v>
      </c>
    </row>
    <row r="590" ht="14.5">
      <c r="B590" t="s">
        <v>695</v>
      </c>
    </row>
    <row r="591" ht="14.5">
      <c r="B591" t="s">
        <v>695</v>
      </c>
    </row>
    <row r="592" ht="14.5">
      <c r="B592" t="s">
        <v>695</v>
      </c>
    </row>
    <row r="593" ht="14.5">
      <c r="B593" t="s">
        <v>695</v>
      </c>
    </row>
    <row r="594" ht="14.5">
      <c r="B594" t="s">
        <v>695</v>
      </c>
    </row>
    <row r="595" ht="14.5">
      <c r="B595" t="s">
        <v>695</v>
      </c>
    </row>
    <row r="596" ht="14.5">
      <c r="B596" t="s">
        <v>695</v>
      </c>
    </row>
    <row r="597" ht="14.5">
      <c r="B597" t="s">
        <v>695</v>
      </c>
    </row>
    <row r="598" ht="14.5">
      <c r="B598" t="s">
        <v>695</v>
      </c>
    </row>
    <row r="599" ht="14.5">
      <c r="B599" t="s">
        <v>695</v>
      </c>
    </row>
    <row r="600" ht="14.5">
      <c r="B600" t="s">
        <v>695</v>
      </c>
    </row>
    <row r="601" ht="14.5">
      <c r="B601" t="s">
        <v>695</v>
      </c>
    </row>
    <row r="602" ht="14.5">
      <c r="B602" t="s">
        <v>695</v>
      </c>
    </row>
    <row r="603" ht="14.5">
      <c r="B603" t="s">
        <v>695</v>
      </c>
    </row>
    <row r="604" ht="14.5">
      <c r="B604" t="s">
        <v>695</v>
      </c>
    </row>
    <row r="605" ht="14.5">
      <c r="B605" t="s">
        <v>695</v>
      </c>
    </row>
    <row r="606" ht="14.5">
      <c r="B606" t="s">
        <v>695</v>
      </c>
    </row>
    <row r="607" ht="14.5">
      <c r="B607" t="s">
        <v>695</v>
      </c>
    </row>
    <row r="608" ht="14.5">
      <c r="B608" t="s">
        <v>695</v>
      </c>
    </row>
    <row r="609" ht="14.5">
      <c r="B609" t="s">
        <v>695</v>
      </c>
    </row>
    <row r="610" ht="14.5">
      <c r="B610" t="s">
        <v>695</v>
      </c>
    </row>
    <row r="611" ht="14.5">
      <c r="B611" t="s">
        <v>695</v>
      </c>
    </row>
    <row r="612" ht="14.5">
      <c r="B612" t="s">
        <v>695</v>
      </c>
    </row>
    <row r="613" ht="14.5">
      <c r="B613" t="s">
        <v>695</v>
      </c>
    </row>
    <row r="614" ht="14.5">
      <c r="B614" t="s">
        <v>695</v>
      </c>
    </row>
    <row r="615" ht="14.5">
      <c r="B615" t="s">
        <v>695</v>
      </c>
    </row>
    <row r="616" ht="14.5">
      <c r="B616" t="s">
        <v>695</v>
      </c>
    </row>
    <row r="617" ht="14.5">
      <c r="B617" t="s">
        <v>695</v>
      </c>
    </row>
    <row r="618" ht="14.5">
      <c r="B618" t="s">
        <v>695</v>
      </c>
    </row>
    <row r="619" ht="14.5">
      <c r="B619" t="s">
        <v>695</v>
      </c>
    </row>
    <row r="620" ht="14.5">
      <c r="B620" t="s">
        <v>695</v>
      </c>
    </row>
    <row r="621" ht="14.5">
      <c r="B621" t="s">
        <v>695</v>
      </c>
    </row>
    <row r="622" ht="14.5">
      <c r="B622" t="s">
        <v>695</v>
      </c>
    </row>
    <row r="623" ht="14.5">
      <c r="B623" t="s">
        <v>695</v>
      </c>
    </row>
    <row r="624" ht="14.5">
      <c r="B624" t="s">
        <v>695</v>
      </c>
    </row>
    <row r="625" ht="14.5">
      <c r="B625" t="s">
        <v>695</v>
      </c>
    </row>
    <row r="626" ht="14.5">
      <c r="B626" t="s">
        <v>695</v>
      </c>
    </row>
    <row r="627" ht="14.5">
      <c r="B627" t="s">
        <v>695</v>
      </c>
    </row>
    <row r="628" ht="14.5">
      <c r="B628" t="s">
        <v>695</v>
      </c>
    </row>
    <row r="629" ht="14.5">
      <c r="B629" t="s">
        <v>695</v>
      </c>
    </row>
    <row r="630" ht="14.5">
      <c r="B630" t="s">
        <v>695</v>
      </c>
    </row>
    <row r="631" ht="14.5">
      <c r="B631" t="s">
        <v>695</v>
      </c>
    </row>
    <row r="632" ht="14.5">
      <c r="B632" t="s">
        <v>695</v>
      </c>
    </row>
    <row r="633" ht="14.5">
      <c r="B633" t="s">
        <v>695</v>
      </c>
    </row>
    <row r="634" ht="14.5">
      <c r="B634" t="s">
        <v>695</v>
      </c>
    </row>
    <row r="635" ht="14.5">
      <c r="B635" t="s">
        <v>695</v>
      </c>
    </row>
    <row r="636" ht="14.5">
      <c r="B636" t="s">
        <v>695</v>
      </c>
    </row>
    <row r="637" ht="14.5">
      <c r="B637" t="s">
        <v>695</v>
      </c>
    </row>
    <row r="638" ht="14.5">
      <c r="B638" t="s">
        <v>695</v>
      </c>
    </row>
    <row r="639" ht="14.5">
      <c r="B639" t="s">
        <v>695</v>
      </c>
    </row>
    <row r="640" ht="14.5">
      <c r="B640" t="s">
        <v>695</v>
      </c>
    </row>
    <row r="641" ht="14.5">
      <c r="B641" t="s">
        <v>695</v>
      </c>
    </row>
    <row r="642" ht="14.5">
      <c r="B642" t="s">
        <v>695</v>
      </c>
    </row>
    <row r="643" ht="14.5">
      <c r="B643" t="s">
        <v>695</v>
      </c>
    </row>
    <row r="644" ht="14.5">
      <c r="B644" t="s">
        <v>695</v>
      </c>
    </row>
    <row r="645" ht="14.5">
      <c r="B645" t="s">
        <v>695</v>
      </c>
    </row>
    <row r="646" ht="14.5">
      <c r="B646" t="s">
        <v>695</v>
      </c>
    </row>
    <row r="647" ht="14.5">
      <c r="B647" t="s">
        <v>695</v>
      </c>
    </row>
    <row r="648" ht="14.5">
      <c r="B648" t="s">
        <v>695</v>
      </c>
    </row>
    <row r="649" ht="14.5">
      <c r="B649" t="s">
        <v>695</v>
      </c>
    </row>
    <row r="650" ht="14.5">
      <c r="B650" t="s">
        <v>695</v>
      </c>
    </row>
    <row r="651" ht="14.5">
      <c r="B651" t="s">
        <v>695</v>
      </c>
    </row>
    <row r="652" ht="14.5">
      <c r="B652" t="s">
        <v>695</v>
      </c>
    </row>
    <row r="653" ht="14.5">
      <c r="B653" t="s">
        <v>695</v>
      </c>
    </row>
    <row r="654" ht="14.5">
      <c r="B654" t="s">
        <v>695</v>
      </c>
    </row>
    <row r="655" ht="14.5">
      <c r="B655" t="s">
        <v>695</v>
      </c>
    </row>
    <row r="656" ht="14.5">
      <c r="B656" t="s">
        <v>695</v>
      </c>
    </row>
    <row r="657" ht="14.5">
      <c r="B657" t="s">
        <v>695</v>
      </c>
    </row>
    <row r="658" ht="14.5">
      <c r="B658" t="s">
        <v>695</v>
      </c>
    </row>
    <row r="659" ht="14.5">
      <c r="B659" t="s">
        <v>695</v>
      </c>
    </row>
    <row r="660" ht="14.5">
      <c r="B660" t="s">
        <v>695</v>
      </c>
    </row>
    <row r="661" ht="14.5">
      <c r="B661" t="s">
        <v>695</v>
      </c>
    </row>
    <row r="662" ht="14.5">
      <c r="B662" t="s">
        <v>695</v>
      </c>
    </row>
    <row r="663" ht="14.5">
      <c r="B663" t="s">
        <v>695</v>
      </c>
    </row>
    <row r="664" ht="14.5">
      <c r="B664" t="s">
        <v>695</v>
      </c>
    </row>
    <row r="665" ht="14.5">
      <c r="B665" t="s">
        <v>695</v>
      </c>
    </row>
    <row r="666" ht="14.5">
      <c r="B666" t="s">
        <v>695</v>
      </c>
    </row>
    <row r="667" ht="14.5">
      <c r="B667" t="s">
        <v>695</v>
      </c>
    </row>
    <row r="668" ht="14.5">
      <c r="B668" t="s">
        <v>695</v>
      </c>
    </row>
    <row r="669" ht="14.5">
      <c r="B669" t="s">
        <v>695</v>
      </c>
    </row>
    <row r="670" ht="14.5">
      <c r="B670" t="s">
        <v>695</v>
      </c>
    </row>
    <row r="671" ht="14.5">
      <c r="B671" t="s">
        <v>695</v>
      </c>
    </row>
    <row r="672" ht="14.5">
      <c r="B672" t="s">
        <v>695</v>
      </c>
    </row>
    <row r="673" ht="14.5">
      <c r="B673" t="s">
        <v>695</v>
      </c>
    </row>
    <row r="674" ht="14.5">
      <c r="B674" t="s">
        <v>695</v>
      </c>
    </row>
    <row r="675" ht="14.5">
      <c r="B675" t="s">
        <v>695</v>
      </c>
    </row>
    <row r="676" ht="14.5">
      <c r="B676" t="s">
        <v>695</v>
      </c>
    </row>
    <row r="677" ht="14.5">
      <c r="B677" t="s">
        <v>695</v>
      </c>
    </row>
    <row r="678" ht="14.5">
      <c r="B678" t="s">
        <v>695</v>
      </c>
    </row>
    <row r="679" ht="14.5">
      <c r="B679" t="s">
        <v>695</v>
      </c>
    </row>
    <row r="680" ht="14.5">
      <c r="B680" t="s">
        <v>695</v>
      </c>
    </row>
    <row r="681" ht="14.5">
      <c r="B681" t="s">
        <v>695</v>
      </c>
    </row>
    <row r="682" ht="14.5">
      <c r="B682" t="s">
        <v>695</v>
      </c>
    </row>
    <row r="683" ht="14.5">
      <c r="B683" t="s">
        <v>695</v>
      </c>
    </row>
    <row r="684" ht="14.5">
      <c r="B684" t="s">
        <v>695</v>
      </c>
    </row>
    <row r="685" ht="14.5">
      <c r="B685" t="s">
        <v>695</v>
      </c>
    </row>
    <row r="686" ht="14.5">
      <c r="B686" t="s">
        <v>695</v>
      </c>
    </row>
    <row r="687" ht="14.5">
      <c r="B687" t="s">
        <v>695</v>
      </c>
    </row>
    <row r="688" ht="14.5">
      <c r="B688" t="s">
        <v>695</v>
      </c>
    </row>
    <row r="689" ht="14.5">
      <c r="B689" t="s">
        <v>695</v>
      </c>
    </row>
  </sheetData>
  <hyperlinks>
    <hyperlink ref="A1" location="MENU!A1" display="MENU"/>
  </hyperlinks>
</worksheet>
</file>

<file path=xl/worksheets/sheet8.xml><?xml version="1.0" encoding="utf-8"?>
<worksheet xmlns:r="http://schemas.openxmlformats.org/officeDocument/2006/relationships" xmlns="http://schemas.openxmlformats.org/spreadsheetml/2006/main">
  <sheetPr>
    <tabColor rgb="FF92D050"/>
  </sheetPr>
  <sheetViews>
    <sheetView workbookViewId="0">
      <selection activeCell="A3" sqref="A3"/>
    </sheetView>
  </sheetViews>
  <sheetFormatPr defaultRowHeight="15"/>
  <cols>
    <col min="2" max="2" width="13.42578" bestFit="1" customWidth="1"/>
    <col min="3" max="62" width="10.57031" bestFit="1" customWidth="1"/>
  </cols>
  <sheetData>
    <row r="1" ht="14.5">
      <c r="A1" s="9" t="s">
        <v>38</v>
      </c>
    </row>
    <row r="2" ht="14.5">
      <c r="B2" s="3" t="s">
        <v>693</v>
      </c>
      <c r="C2" s="20">
        <f>+EOMONTH(MENU!B1,1)</f>
        <v>45961</v>
      </c>
      <c r="D2" s="20">
        <f>+EOMONTH(C2,1)</f>
        <v>45991</v>
      </c>
      <c r="E2" s="20">
        <f t="shared" ref="E2:BJ2" si="0">+EOMONTH(D2,1)</f>
        <v>46022</v>
      </c>
      <c r="F2" s="20">
        <f t="shared" si="0"/>
        <v>46053</v>
      </c>
      <c r="G2" s="20">
        <f t="shared" si="0"/>
        <v>46081</v>
      </c>
      <c r="H2" s="20">
        <f t="shared" si="0"/>
        <v>46112</v>
      </c>
      <c r="I2" s="20">
        <f t="shared" si="0"/>
        <v>46142</v>
      </c>
      <c r="J2" s="20">
        <f t="shared" si="0"/>
        <v>46173</v>
      </c>
      <c r="K2" s="20">
        <f t="shared" si="0"/>
        <v>46203</v>
      </c>
      <c r="L2" s="20">
        <f t="shared" si="0"/>
        <v>46234</v>
      </c>
      <c r="M2" s="20">
        <f t="shared" si="0"/>
        <v>46265</v>
      </c>
      <c r="N2" s="20">
        <f t="shared" si="0"/>
        <v>46295</v>
      </c>
      <c r="O2" s="20">
        <f t="shared" si="0"/>
        <v>46326</v>
      </c>
      <c r="P2" s="20">
        <f t="shared" si="0"/>
        <v>46356</v>
      </c>
      <c r="Q2" s="20">
        <f t="shared" si="0"/>
        <v>46387</v>
      </c>
      <c r="R2" s="20">
        <f t="shared" si="0"/>
        <v>46418</v>
      </c>
      <c r="S2" s="20">
        <f t="shared" si="0"/>
        <v>46446</v>
      </c>
      <c r="T2" s="20">
        <f t="shared" si="0"/>
        <v>46477</v>
      </c>
      <c r="U2" s="20">
        <f t="shared" si="0"/>
        <v>46507</v>
      </c>
      <c r="V2" s="20">
        <f t="shared" si="0"/>
        <v>46538</v>
      </c>
      <c r="W2" s="20">
        <f t="shared" si="0"/>
        <v>46568</v>
      </c>
      <c r="X2" s="20">
        <f t="shared" si="0"/>
        <v>46599</v>
      </c>
      <c r="Y2" s="20">
        <f t="shared" si="0"/>
        <v>46630</v>
      </c>
      <c r="Z2" s="20">
        <f t="shared" si="0"/>
        <v>46660</v>
      </c>
      <c r="AA2" s="20">
        <f t="shared" si="0"/>
        <v>46691</v>
      </c>
      <c r="AB2" s="20">
        <f t="shared" si="0"/>
        <v>46721</v>
      </c>
      <c r="AC2" s="20">
        <f t="shared" si="0"/>
        <v>46752</v>
      </c>
      <c r="AD2" s="20">
        <f t="shared" si="0"/>
        <v>46783</v>
      </c>
      <c r="AE2" s="20">
        <f t="shared" si="0"/>
        <v>46812</v>
      </c>
      <c r="AF2" s="20">
        <f t="shared" si="0"/>
        <v>46843</v>
      </c>
      <c r="AG2" s="20">
        <f t="shared" si="0"/>
        <v>46873</v>
      </c>
      <c r="AH2" s="20">
        <f t="shared" si="0"/>
        <v>46904</v>
      </c>
      <c r="AI2" s="20">
        <f t="shared" si="0"/>
        <v>46934</v>
      </c>
      <c r="AJ2" s="20">
        <f t="shared" si="0"/>
        <v>46965</v>
      </c>
      <c r="AK2" s="20">
        <f t="shared" si="0"/>
        <v>46996</v>
      </c>
      <c r="AL2" s="20">
        <f t="shared" si="0"/>
        <v>47026</v>
      </c>
      <c r="AM2" s="20">
        <f t="shared" si="0"/>
        <v>47057</v>
      </c>
      <c r="AN2" s="20">
        <f t="shared" si="0"/>
        <v>47087</v>
      </c>
      <c r="AO2" s="20">
        <f t="shared" si="0"/>
        <v>47118</v>
      </c>
      <c r="AP2" s="20">
        <f t="shared" si="0"/>
        <v>47149</v>
      </c>
      <c r="AQ2" s="20">
        <f t="shared" si="0"/>
        <v>47177</v>
      </c>
      <c r="AR2" s="20">
        <f t="shared" si="0"/>
        <v>47208</v>
      </c>
      <c r="AS2" s="20">
        <f t="shared" si="0"/>
        <v>47238</v>
      </c>
      <c r="AT2" s="20">
        <f t="shared" si="0"/>
        <v>47269</v>
      </c>
      <c r="AU2" s="20">
        <f t="shared" si="0"/>
        <v>47299</v>
      </c>
      <c r="AV2" s="20">
        <f t="shared" si="0"/>
        <v>47330</v>
      </c>
      <c r="AW2" s="20">
        <f t="shared" si="0"/>
        <v>47361</v>
      </c>
      <c r="AX2" s="20">
        <f t="shared" si="0"/>
        <v>47391</v>
      </c>
      <c r="AY2" s="20">
        <f t="shared" si="0"/>
        <v>47422</v>
      </c>
      <c r="AZ2" s="20">
        <f t="shared" si="0"/>
        <v>47452</v>
      </c>
      <c r="BA2" s="20">
        <f t="shared" si="0"/>
        <v>47483</v>
      </c>
      <c r="BB2" s="20">
        <f t="shared" si="0"/>
        <v>47514</v>
      </c>
      <c r="BC2" s="20">
        <f t="shared" si="0"/>
        <v>47542</v>
      </c>
      <c r="BD2" s="20">
        <f t="shared" si="0"/>
        <v>47573</v>
      </c>
      <c r="BE2" s="20">
        <f t="shared" si="0"/>
        <v>47603</v>
      </c>
      <c r="BF2" s="20">
        <f t="shared" si="0"/>
        <v>47634</v>
      </c>
      <c r="BG2" s="20">
        <f t="shared" si="0"/>
        <v>47664</v>
      </c>
      <c r="BH2" s="20">
        <f t="shared" si="0"/>
        <v>47695</v>
      </c>
      <c r="BI2" s="20">
        <f t="shared" si="0"/>
        <v>47726</v>
      </c>
      <c r="BJ2" s="20">
        <f t="shared" si="0"/>
        <v>47756</v>
      </c>
    </row>
    <row r="3" ht="14.5">
      <c r="B3" t="s">
        <v>696</v>
      </c>
    </row>
    <row r="4" ht="14.5">
      <c r="B4" t="s">
        <v>696</v>
      </c>
    </row>
    <row r="5" ht="14.5">
      <c r="B5" t="s">
        <v>696</v>
      </c>
    </row>
    <row r="6" ht="14.5">
      <c r="B6" t="s">
        <v>696</v>
      </c>
    </row>
    <row r="7" ht="14.5">
      <c r="B7" t="s">
        <v>696</v>
      </c>
    </row>
    <row r="8" ht="14.5">
      <c r="B8" t="s">
        <v>696</v>
      </c>
    </row>
    <row r="9" ht="14.5">
      <c r="B9" t="s">
        <v>696</v>
      </c>
    </row>
    <row r="10" ht="14.5">
      <c r="B10" t="s">
        <v>696</v>
      </c>
    </row>
    <row r="11" ht="14.5">
      <c r="B11" t="s">
        <v>696</v>
      </c>
    </row>
    <row r="12" ht="14.5">
      <c r="B12" t="s">
        <v>696</v>
      </c>
    </row>
    <row r="13" ht="14.5">
      <c r="B13" t="s">
        <v>696</v>
      </c>
    </row>
    <row r="14" ht="14.5">
      <c r="B14" t="s">
        <v>696</v>
      </c>
    </row>
    <row r="15" ht="14.5">
      <c r="B15" t="s">
        <v>696</v>
      </c>
    </row>
    <row r="16" ht="14.5">
      <c r="B16" t="s">
        <v>696</v>
      </c>
    </row>
    <row r="17" ht="14.5">
      <c r="B17" t="s">
        <v>696</v>
      </c>
    </row>
    <row r="18" ht="14.5">
      <c r="B18" t="s">
        <v>696</v>
      </c>
    </row>
    <row r="19" ht="14.5">
      <c r="B19" t="s">
        <v>696</v>
      </c>
    </row>
    <row r="20" ht="14.5">
      <c r="B20" t="s">
        <v>696</v>
      </c>
    </row>
    <row r="21" ht="14.5">
      <c r="B21" t="s">
        <v>696</v>
      </c>
    </row>
    <row r="22" ht="14.5">
      <c r="B22" t="s">
        <v>696</v>
      </c>
    </row>
    <row r="23" ht="14.5">
      <c r="B23" t="s">
        <v>696</v>
      </c>
    </row>
    <row r="24" ht="14.5">
      <c r="B24" t="s">
        <v>696</v>
      </c>
    </row>
    <row r="25" ht="14.5">
      <c r="B25" t="s">
        <v>696</v>
      </c>
    </row>
    <row r="26" ht="14.5">
      <c r="B26" t="s">
        <v>696</v>
      </c>
    </row>
    <row r="27" ht="14.5">
      <c r="B27" t="s">
        <v>696</v>
      </c>
    </row>
    <row r="28" ht="14.5">
      <c r="B28" t="s">
        <v>696</v>
      </c>
    </row>
    <row r="29" ht="14.5">
      <c r="B29" t="s">
        <v>696</v>
      </c>
    </row>
    <row r="30" ht="14.5">
      <c r="B30" t="s">
        <v>696</v>
      </c>
    </row>
    <row r="31" ht="14.5">
      <c r="B31" t="s">
        <v>696</v>
      </c>
    </row>
    <row r="32" ht="14.5">
      <c r="B32" t="s">
        <v>696</v>
      </c>
    </row>
    <row r="33" ht="14.5">
      <c r="B33" t="s">
        <v>696</v>
      </c>
    </row>
    <row r="34" ht="14.5">
      <c r="B34" t="s">
        <v>696</v>
      </c>
    </row>
    <row r="35" ht="14.5">
      <c r="B35" t="s">
        <v>696</v>
      </c>
    </row>
    <row r="36" ht="14.5">
      <c r="B36" t="s">
        <v>696</v>
      </c>
    </row>
    <row r="37" ht="14.5">
      <c r="B37" t="s">
        <v>696</v>
      </c>
    </row>
    <row r="38" ht="14.5">
      <c r="B38" t="s">
        <v>696</v>
      </c>
    </row>
    <row r="39" ht="14.5">
      <c r="B39" t="s">
        <v>696</v>
      </c>
    </row>
    <row r="40" ht="14.5">
      <c r="B40" t="s">
        <v>696</v>
      </c>
    </row>
    <row r="41" ht="14.5">
      <c r="B41" t="s">
        <v>696</v>
      </c>
    </row>
    <row r="42" ht="14.5">
      <c r="B42" t="s">
        <v>696</v>
      </c>
    </row>
    <row r="43" ht="14.5">
      <c r="B43" t="s">
        <v>696</v>
      </c>
    </row>
    <row r="44" ht="14.5">
      <c r="B44" t="s">
        <v>696</v>
      </c>
    </row>
    <row r="45" ht="14.5">
      <c r="B45" t="s">
        <v>696</v>
      </c>
    </row>
    <row r="46" ht="14.5">
      <c r="B46" t="s">
        <v>696</v>
      </c>
    </row>
    <row r="47" ht="14.5">
      <c r="B47" t="s">
        <v>696</v>
      </c>
    </row>
    <row r="48" ht="14.5">
      <c r="B48" t="s">
        <v>696</v>
      </c>
    </row>
    <row r="49" ht="14.5">
      <c r="B49" t="s">
        <v>696</v>
      </c>
    </row>
    <row r="50" ht="14.5">
      <c r="B50" t="s">
        <v>696</v>
      </c>
    </row>
    <row r="51" ht="14.5">
      <c r="B51" t="s">
        <v>696</v>
      </c>
    </row>
    <row r="52" ht="14.5">
      <c r="B52" t="s">
        <v>696</v>
      </c>
    </row>
    <row r="53" ht="14.5">
      <c r="B53" t="s">
        <v>696</v>
      </c>
    </row>
    <row r="54" ht="14.5">
      <c r="B54" t="s">
        <v>696</v>
      </c>
    </row>
    <row r="55" ht="14.5">
      <c r="B55" t="s">
        <v>696</v>
      </c>
    </row>
    <row r="56" ht="14.5">
      <c r="B56" t="s">
        <v>696</v>
      </c>
    </row>
    <row r="57" ht="14.5">
      <c r="B57" t="s">
        <v>696</v>
      </c>
    </row>
    <row r="58" ht="14.5">
      <c r="B58" t="s">
        <v>696</v>
      </c>
    </row>
    <row r="59" ht="14.5">
      <c r="B59" t="s">
        <v>696</v>
      </c>
    </row>
    <row r="60" ht="14.5">
      <c r="B60" t="s">
        <v>696</v>
      </c>
    </row>
    <row r="61" ht="14.5">
      <c r="B61" t="s">
        <v>696</v>
      </c>
    </row>
    <row r="62" ht="14.5">
      <c r="B62" t="s">
        <v>696</v>
      </c>
    </row>
    <row r="63" ht="14.5">
      <c r="B63" t="s">
        <v>696</v>
      </c>
    </row>
    <row r="64" ht="14.5">
      <c r="B64" t="s">
        <v>696</v>
      </c>
    </row>
    <row r="65" ht="14.5">
      <c r="B65" t="s">
        <v>696</v>
      </c>
    </row>
    <row r="66" ht="14.5">
      <c r="B66" t="s">
        <v>696</v>
      </c>
    </row>
    <row r="67" ht="14.5">
      <c r="B67" t="s">
        <v>696</v>
      </c>
    </row>
    <row r="68" ht="14.5">
      <c r="B68" t="s">
        <v>696</v>
      </c>
    </row>
    <row r="69" ht="14.5">
      <c r="B69" t="s">
        <v>696</v>
      </c>
    </row>
    <row r="70" ht="14.5">
      <c r="B70" t="s">
        <v>696</v>
      </c>
    </row>
    <row r="71" ht="14.5">
      <c r="B71" t="s">
        <v>696</v>
      </c>
    </row>
    <row r="72" ht="14.5">
      <c r="B72" t="s">
        <v>696</v>
      </c>
    </row>
    <row r="73" ht="14.5">
      <c r="B73" t="s">
        <v>696</v>
      </c>
    </row>
    <row r="74" ht="14.5">
      <c r="B74" t="s">
        <v>696</v>
      </c>
    </row>
    <row r="75" ht="14.5">
      <c r="B75" t="s">
        <v>696</v>
      </c>
    </row>
    <row r="76" ht="14.5">
      <c r="B76" t="s">
        <v>696</v>
      </c>
    </row>
    <row r="77" ht="14.5">
      <c r="B77" t="s">
        <v>696</v>
      </c>
    </row>
    <row r="78" ht="14.5">
      <c r="B78" t="s">
        <v>696</v>
      </c>
    </row>
    <row r="79" ht="14.5">
      <c r="B79" t="s">
        <v>696</v>
      </c>
    </row>
    <row r="80" ht="14.5">
      <c r="B80" t="s">
        <v>696</v>
      </c>
    </row>
    <row r="81" ht="14.5">
      <c r="B81" t="s">
        <v>696</v>
      </c>
    </row>
    <row r="82" ht="14.5">
      <c r="B82" t="s">
        <v>696</v>
      </c>
    </row>
    <row r="83" ht="14.5">
      <c r="B83" t="s">
        <v>696</v>
      </c>
    </row>
    <row r="84" ht="14.5">
      <c r="B84" t="s">
        <v>696</v>
      </c>
    </row>
    <row r="85" ht="14.5">
      <c r="B85" t="s">
        <v>696</v>
      </c>
    </row>
    <row r="86" ht="14.5">
      <c r="B86" t="s">
        <v>696</v>
      </c>
    </row>
    <row r="87" ht="14.5">
      <c r="B87" t="s">
        <v>696</v>
      </c>
    </row>
    <row r="88" ht="14.5">
      <c r="B88" t="s">
        <v>696</v>
      </c>
    </row>
    <row r="89" ht="14.5">
      <c r="B89" t="s">
        <v>696</v>
      </c>
    </row>
    <row r="90" ht="14.5">
      <c r="B90" t="s">
        <v>696</v>
      </c>
    </row>
    <row r="91" ht="14.5">
      <c r="B91" t="s">
        <v>696</v>
      </c>
    </row>
    <row r="92" ht="14.5">
      <c r="B92" t="s">
        <v>696</v>
      </c>
    </row>
    <row r="93" ht="14.5">
      <c r="B93" t="s">
        <v>696</v>
      </c>
    </row>
    <row r="94" ht="14.5">
      <c r="B94" t="s">
        <v>696</v>
      </c>
    </row>
    <row r="95" ht="14.5">
      <c r="B95" t="s">
        <v>696</v>
      </c>
    </row>
    <row r="96" ht="14.5">
      <c r="B96" t="s">
        <v>696</v>
      </c>
    </row>
    <row r="97" ht="14.5">
      <c r="B97" t="s">
        <v>696</v>
      </c>
    </row>
    <row r="98" ht="14.5">
      <c r="B98" t="s">
        <v>696</v>
      </c>
    </row>
    <row r="99" ht="14.5">
      <c r="B99" t="s">
        <v>696</v>
      </c>
    </row>
    <row r="100" ht="14.5">
      <c r="B100" t="s">
        <v>696</v>
      </c>
    </row>
    <row r="101" ht="14.5">
      <c r="B101" t="s">
        <v>696</v>
      </c>
    </row>
    <row r="102" ht="14.5">
      <c r="B102" t="s">
        <v>696</v>
      </c>
    </row>
    <row r="103" ht="14.5">
      <c r="B103" t="s">
        <v>696</v>
      </c>
    </row>
    <row r="104" ht="14.5">
      <c r="B104" t="s">
        <v>696</v>
      </c>
    </row>
    <row r="105" ht="14.5">
      <c r="B105" t="s">
        <v>696</v>
      </c>
    </row>
    <row r="106" ht="14.5">
      <c r="B106" t="s">
        <v>696</v>
      </c>
    </row>
    <row r="107" ht="14.5">
      <c r="B107" t="s">
        <v>696</v>
      </c>
    </row>
    <row r="108" ht="14.5">
      <c r="B108" t="s">
        <v>696</v>
      </c>
    </row>
    <row r="109" ht="14.5">
      <c r="B109" t="s">
        <v>696</v>
      </c>
    </row>
    <row r="110" ht="14.5">
      <c r="B110" t="s">
        <v>696</v>
      </c>
    </row>
    <row r="111" ht="14.5">
      <c r="B111" t="s">
        <v>696</v>
      </c>
    </row>
    <row r="112" ht="14.5">
      <c r="B112" t="s">
        <v>696</v>
      </c>
    </row>
    <row r="113" ht="14.5">
      <c r="B113" t="s">
        <v>696</v>
      </c>
    </row>
    <row r="114" ht="14.5">
      <c r="B114" t="s">
        <v>696</v>
      </c>
    </row>
    <row r="115" ht="14.5">
      <c r="B115" t="s">
        <v>696</v>
      </c>
    </row>
    <row r="116" ht="14.5">
      <c r="B116" t="s">
        <v>696</v>
      </c>
    </row>
    <row r="117" ht="14.5">
      <c r="B117" t="s">
        <v>696</v>
      </c>
    </row>
    <row r="118" ht="14.5">
      <c r="B118" t="s">
        <v>696</v>
      </c>
    </row>
    <row r="119" ht="14.5">
      <c r="B119" t="s">
        <v>696</v>
      </c>
    </row>
    <row r="120" ht="14.5">
      <c r="B120" t="s">
        <v>696</v>
      </c>
    </row>
    <row r="121" ht="14.5">
      <c r="B121" t="s">
        <v>696</v>
      </c>
    </row>
    <row r="122" ht="14.5">
      <c r="B122" t="s">
        <v>696</v>
      </c>
    </row>
    <row r="123" ht="14.5">
      <c r="B123" t="s">
        <v>696</v>
      </c>
    </row>
    <row r="124" ht="14.5">
      <c r="B124" t="s">
        <v>696</v>
      </c>
    </row>
    <row r="125" ht="14.5">
      <c r="B125" t="s">
        <v>696</v>
      </c>
    </row>
    <row r="126" ht="14.5">
      <c r="B126" t="s">
        <v>696</v>
      </c>
    </row>
    <row r="127" ht="14.5">
      <c r="B127" t="s">
        <v>696</v>
      </c>
    </row>
    <row r="128" ht="14.5">
      <c r="B128" t="s">
        <v>696</v>
      </c>
    </row>
    <row r="129" ht="14.5">
      <c r="B129" t="s">
        <v>696</v>
      </c>
    </row>
    <row r="130" ht="14.5">
      <c r="B130" t="s">
        <v>696</v>
      </c>
    </row>
    <row r="131" ht="14.5">
      <c r="B131" t="s">
        <v>696</v>
      </c>
    </row>
    <row r="132" ht="14.5">
      <c r="B132" t="s">
        <v>696</v>
      </c>
    </row>
    <row r="133" ht="14.5">
      <c r="B133" t="s">
        <v>696</v>
      </c>
    </row>
    <row r="134" ht="14.5">
      <c r="B134" t="s">
        <v>696</v>
      </c>
    </row>
    <row r="135" ht="14.5">
      <c r="B135" t="s">
        <v>696</v>
      </c>
    </row>
    <row r="136" ht="14.5">
      <c r="B136" t="s">
        <v>696</v>
      </c>
    </row>
    <row r="137" ht="14.5">
      <c r="B137" t="s">
        <v>696</v>
      </c>
    </row>
    <row r="138" ht="14.5">
      <c r="B138" t="s">
        <v>696</v>
      </c>
    </row>
    <row r="139" ht="14.5">
      <c r="B139" t="s">
        <v>696</v>
      </c>
    </row>
    <row r="140" ht="14.5">
      <c r="B140" t="s">
        <v>696</v>
      </c>
    </row>
    <row r="141" ht="14.5">
      <c r="B141" t="s">
        <v>696</v>
      </c>
    </row>
    <row r="142" ht="14.5">
      <c r="B142" t="s">
        <v>696</v>
      </c>
    </row>
    <row r="143" ht="14.5">
      <c r="B143" t="s">
        <v>696</v>
      </c>
    </row>
    <row r="144" ht="14.5">
      <c r="B144" t="s">
        <v>696</v>
      </c>
    </row>
    <row r="145" ht="14.5">
      <c r="B145" t="s">
        <v>696</v>
      </c>
    </row>
    <row r="146" ht="14.5">
      <c r="B146" t="s">
        <v>696</v>
      </c>
    </row>
    <row r="147" ht="14.5">
      <c r="B147" t="s">
        <v>696</v>
      </c>
    </row>
    <row r="148" ht="14.5">
      <c r="B148" t="s">
        <v>696</v>
      </c>
    </row>
    <row r="149" ht="14.5">
      <c r="B149" t="s">
        <v>696</v>
      </c>
    </row>
    <row r="150" ht="14.5">
      <c r="B150" t="s">
        <v>696</v>
      </c>
    </row>
    <row r="151" ht="14.5">
      <c r="B151" t="s">
        <v>696</v>
      </c>
    </row>
    <row r="152" ht="14.5">
      <c r="B152" t="s">
        <v>696</v>
      </c>
    </row>
    <row r="153" ht="14.5">
      <c r="B153" t="s">
        <v>696</v>
      </c>
    </row>
    <row r="154" ht="14.5">
      <c r="B154" t="s">
        <v>696</v>
      </c>
    </row>
    <row r="155" ht="14.5">
      <c r="B155" t="s">
        <v>696</v>
      </c>
    </row>
    <row r="156" ht="14.5">
      <c r="B156" t="s">
        <v>696</v>
      </c>
    </row>
    <row r="157" ht="14.5">
      <c r="B157" t="s">
        <v>696</v>
      </c>
    </row>
    <row r="158" ht="14.5">
      <c r="B158" t="s">
        <v>696</v>
      </c>
    </row>
    <row r="159" ht="14.5">
      <c r="B159" t="s">
        <v>696</v>
      </c>
    </row>
    <row r="160" ht="14.5">
      <c r="B160" t="s">
        <v>696</v>
      </c>
    </row>
    <row r="161" ht="14.5">
      <c r="B161" t="s">
        <v>696</v>
      </c>
    </row>
    <row r="162" ht="14.5">
      <c r="B162" t="s">
        <v>696</v>
      </c>
    </row>
    <row r="163" ht="14.5">
      <c r="B163" t="s">
        <v>696</v>
      </c>
    </row>
    <row r="164" ht="14.5">
      <c r="B164" t="s">
        <v>696</v>
      </c>
    </row>
    <row r="165" ht="14.5">
      <c r="B165" t="s">
        <v>696</v>
      </c>
    </row>
    <row r="166" ht="14.5">
      <c r="B166" t="s">
        <v>696</v>
      </c>
    </row>
    <row r="167" ht="14.5">
      <c r="B167" t="s">
        <v>696</v>
      </c>
    </row>
    <row r="168" ht="14.5">
      <c r="B168" t="s">
        <v>696</v>
      </c>
    </row>
    <row r="169" ht="14.5">
      <c r="B169" t="s">
        <v>696</v>
      </c>
    </row>
    <row r="170" ht="14.5">
      <c r="B170" t="s">
        <v>696</v>
      </c>
    </row>
    <row r="171" ht="14.5">
      <c r="B171" t="s">
        <v>696</v>
      </c>
    </row>
    <row r="172" ht="14.5">
      <c r="B172" t="s">
        <v>696</v>
      </c>
    </row>
    <row r="173" ht="14.5">
      <c r="B173" t="s">
        <v>696</v>
      </c>
    </row>
    <row r="174" ht="14.5">
      <c r="B174" t="s">
        <v>696</v>
      </c>
    </row>
    <row r="175" ht="14.5">
      <c r="B175" t="s">
        <v>696</v>
      </c>
    </row>
    <row r="176" ht="14.5">
      <c r="B176" t="s">
        <v>696</v>
      </c>
    </row>
    <row r="177" ht="14.5">
      <c r="B177" t="s">
        <v>696</v>
      </c>
    </row>
    <row r="178" ht="14.5">
      <c r="B178" t="s">
        <v>696</v>
      </c>
    </row>
    <row r="179" ht="14.5">
      <c r="B179" t="s">
        <v>696</v>
      </c>
    </row>
    <row r="180" ht="14.5">
      <c r="B180" t="s">
        <v>696</v>
      </c>
    </row>
    <row r="181" ht="14.5">
      <c r="B181" t="s">
        <v>696</v>
      </c>
    </row>
    <row r="182" ht="14.5">
      <c r="B182" t="s">
        <v>696</v>
      </c>
    </row>
    <row r="183" ht="14.5">
      <c r="B183" t="s">
        <v>696</v>
      </c>
    </row>
    <row r="184" ht="14.5">
      <c r="B184" t="s">
        <v>696</v>
      </c>
    </row>
    <row r="185" ht="14.5">
      <c r="B185" t="s">
        <v>696</v>
      </c>
    </row>
    <row r="186" ht="14.5">
      <c r="B186" t="s">
        <v>696</v>
      </c>
    </row>
    <row r="187" ht="14.5">
      <c r="B187" t="s">
        <v>696</v>
      </c>
    </row>
    <row r="188" ht="14.5">
      <c r="B188" t="s">
        <v>696</v>
      </c>
    </row>
    <row r="189" ht="14.5">
      <c r="B189" t="s">
        <v>696</v>
      </c>
    </row>
    <row r="190" ht="14.5">
      <c r="B190" t="s">
        <v>696</v>
      </c>
    </row>
    <row r="191" ht="14.5">
      <c r="B191" t="s">
        <v>696</v>
      </c>
    </row>
    <row r="192" ht="14.5">
      <c r="B192" t="s">
        <v>696</v>
      </c>
    </row>
    <row r="193" ht="14.5">
      <c r="B193" t="s">
        <v>696</v>
      </c>
    </row>
    <row r="194" ht="14.5">
      <c r="B194" t="s">
        <v>696</v>
      </c>
    </row>
    <row r="195" ht="14.5">
      <c r="B195" t="s">
        <v>696</v>
      </c>
    </row>
    <row r="196" ht="14.5">
      <c r="B196" t="s">
        <v>696</v>
      </c>
    </row>
    <row r="197" ht="14.5">
      <c r="B197" t="s">
        <v>696</v>
      </c>
    </row>
    <row r="198" ht="14.5">
      <c r="B198" t="s">
        <v>696</v>
      </c>
    </row>
    <row r="199" ht="14.5">
      <c r="B199" t="s">
        <v>696</v>
      </c>
    </row>
    <row r="200" ht="14.5">
      <c r="B200" t="s">
        <v>696</v>
      </c>
    </row>
    <row r="201" ht="14.5">
      <c r="B201" t="s">
        <v>696</v>
      </c>
    </row>
    <row r="202" ht="14.5">
      <c r="B202" t="s">
        <v>696</v>
      </c>
    </row>
    <row r="203" ht="14.5">
      <c r="B203" t="s">
        <v>696</v>
      </c>
    </row>
    <row r="204" ht="14.5">
      <c r="B204" t="s">
        <v>696</v>
      </c>
    </row>
    <row r="205" ht="14.5">
      <c r="B205" t="s">
        <v>696</v>
      </c>
    </row>
    <row r="206" ht="14.5">
      <c r="B206" t="s">
        <v>696</v>
      </c>
    </row>
    <row r="207" ht="14.5">
      <c r="B207" t="s">
        <v>696</v>
      </c>
    </row>
    <row r="208" ht="14.5">
      <c r="B208" t="s">
        <v>696</v>
      </c>
    </row>
    <row r="209" ht="14.5">
      <c r="B209" t="s">
        <v>696</v>
      </c>
    </row>
    <row r="210" ht="14.5">
      <c r="B210" t="s">
        <v>696</v>
      </c>
    </row>
    <row r="211" ht="14.5">
      <c r="B211" t="s">
        <v>696</v>
      </c>
    </row>
    <row r="212" ht="14.5">
      <c r="B212" t="s">
        <v>696</v>
      </c>
    </row>
    <row r="213" ht="14.5">
      <c r="B213" t="s">
        <v>696</v>
      </c>
    </row>
    <row r="214" ht="14.5">
      <c r="B214" t="s">
        <v>696</v>
      </c>
    </row>
    <row r="215" ht="14.5">
      <c r="B215" t="s">
        <v>696</v>
      </c>
    </row>
    <row r="216" ht="14.5">
      <c r="B216" t="s">
        <v>696</v>
      </c>
    </row>
    <row r="217" ht="14.5">
      <c r="B217" t="s">
        <v>696</v>
      </c>
    </row>
    <row r="218" ht="14.5">
      <c r="B218" t="s">
        <v>696</v>
      </c>
    </row>
    <row r="219" ht="14.5">
      <c r="B219" t="s">
        <v>696</v>
      </c>
    </row>
    <row r="220" ht="14.5">
      <c r="B220" t="s">
        <v>696</v>
      </c>
    </row>
    <row r="221" ht="14.5">
      <c r="B221" t="s">
        <v>696</v>
      </c>
    </row>
    <row r="222" ht="14.5">
      <c r="B222" t="s">
        <v>696</v>
      </c>
    </row>
    <row r="223" ht="14.5">
      <c r="B223" t="s">
        <v>696</v>
      </c>
    </row>
    <row r="224" ht="14.5">
      <c r="B224" t="s">
        <v>696</v>
      </c>
    </row>
    <row r="225" ht="14.5">
      <c r="B225" t="s">
        <v>696</v>
      </c>
    </row>
    <row r="226" ht="14.5">
      <c r="B226" t="s">
        <v>696</v>
      </c>
    </row>
    <row r="227" ht="14.5">
      <c r="B227" t="s">
        <v>696</v>
      </c>
    </row>
    <row r="228" ht="14.5">
      <c r="B228" t="s">
        <v>696</v>
      </c>
    </row>
    <row r="229" ht="14.5">
      <c r="B229" t="s">
        <v>696</v>
      </c>
    </row>
    <row r="230" ht="14.5">
      <c r="B230" t="s">
        <v>696</v>
      </c>
    </row>
    <row r="231" ht="14.5">
      <c r="B231" t="s">
        <v>696</v>
      </c>
    </row>
    <row r="232" ht="14.5">
      <c r="B232" t="s">
        <v>696</v>
      </c>
    </row>
    <row r="233" ht="14.5">
      <c r="B233" t="s">
        <v>696</v>
      </c>
    </row>
    <row r="234" ht="14.5">
      <c r="B234" t="s">
        <v>696</v>
      </c>
    </row>
    <row r="235" ht="14.5">
      <c r="B235" t="s">
        <v>696</v>
      </c>
    </row>
    <row r="236" ht="14.5">
      <c r="B236" t="s">
        <v>696</v>
      </c>
    </row>
    <row r="237" ht="14.5">
      <c r="B237" t="s">
        <v>696</v>
      </c>
    </row>
    <row r="238" ht="14.5">
      <c r="B238" t="s">
        <v>696</v>
      </c>
    </row>
    <row r="239" ht="14.5">
      <c r="B239" t="s">
        <v>696</v>
      </c>
    </row>
    <row r="240" ht="14.5">
      <c r="B240" t="s">
        <v>696</v>
      </c>
    </row>
    <row r="241" ht="14.5">
      <c r="B241" t="s">
        <v>696</v>
      </c>
    </row>
    <row r="242" ht="14.5">
      <c r="B242" t="s">
        <v>696</v>
      </c>
    </row>
    <row r="243" ht="14.5">
      <c r="B243" t="s">
        <v>696</v>
      </c>
    </row>
    <row r="244" ht="14.5">
      <c r="B244" t="s">
        <v>696</v>
      </c>
    </row>
    <row r="245" ht="14.5">
      <c r="B245" t="s">
        <v>696</v>
      </c>
    </row>
    <row r="246" ht="14.5">
      <c r="B246" t="s">
        <v>696</v>
      </c>
    </row>
    <row r="247" ht="14.5">
      <c r="B247" t="s">
        <v>696</v>
      </c>
    </row>
    <row r="248" ht="14.5">
      <c r="B248" t="s">
        <v>696</v>
      </c>
    </row>
    <row r="249" ht="14.5">
      <c r="B249" t="s">
        <v>696</v>
      </c>
    </row>
    <row r="250" ht="14.5">
      <c r="B250" t="s">
        <v>696</v>
      </c>
    </row>
    <row r="251" ht="14.5">
      <c r="B251" t="s">
        <v>696</v>
      </c>
    </row>
    <row r="252" ht="14.5">
      <c r="B252" t="s">
        <v>696</v>
      </c>
    </row>
    <row r="253" ht="14.5">
      <c r="B253" t="s">
        <v>696</v>
      </c>
    </row>
    <row r="254" ht="14.5">
      <c r="B254" t="s">
        <v>696</v>
      </c>
    </row>
    <row r="255" ht="14.5">
      <c r="B255" t="s">
        <v>696</v>
      </c>
    </row>
    <row r="256" ht="14.5">
      <c r="B256" t="s">
        <v>696</v>
      </c>
    </row>
    <row r="257" ht="14.5">
      <c r="B257" t="s">
        <v>696</v>
      </c>
    </row>
    <row r="258" ht="14.5">
      <c r="B258" t="s">
        <v>696</v>
      </c>
    </row>
    <row r="259" ht="14.5">
      <c r="B259" t="s">
        <v>696</v>
      </c>
    </row>
    <row r="260" ht="14.5">
      <c r="B260" t="s">
        <v>696</v>
      </c>
    </row>
    <row r="261" ht="14.5">
      <c r="B261" t="s">
        <v>696</v>
      </c>
    </row>
    <row r="262" ht="14.5">
      <c r="B262" t="s">
        <v>696</v>
      </c>
    </row>
    <row r="263" ht="14.5">
      <c r="B263" t="s">
        <v>696</v>
      </c>
    </row>
    <row r="264" ht="14.5">
      <c r="B264" t="s">
        <v>696</v>
      </c>
    </row>
    <row r="265" ht="14.5">
      <c r="B265" t="s">
        <v>696</v>
      </c>
    </row>
    <row r="266" ht="14.5">
      <c r="B266" t="s">
        <v>696</v>
      </c>
    </row>
    <row r="267" ht="14.5">
      <c r="B267" t="s">
        <v>696</v>
      </c>
    </row>
    <row r="268" ht="14.5">
      <c r="B268" t="s">
        <v>696</v>
      </c>
    </row>
    <row r="269" ht="14.5">
      <c r="B269" t="s">
        <v>696</v>
      </c>
    </row>
    <row r="270" ht="14.5">
      <c r="B270" t="s">
        <v>696</v>
      </c>
    </row>
    <row r="271" ht="14.5">
      <c r="B271" t="s">
        <v>696</v>
      </c>
    </row>
    <row r="272" ht="14.5">
      <c r="B272" t="s">
        <v>696</v>
      </c>
    </row>
    <row r="273" ht="14.5">
      <c r="B273" t="s">
        <v>696</v>
      </c>
    </row>
    <row r="274" ht="14.5">
      <c r="B274" t="s">
        <v>696</v>
      </c>
    </row>
    <row r="275" ht="14.5">
      <c r="B275" t="s">
        <v>696</v>
      </c>
    </row>
    <row r="276" ht="14.5">
      <c r="B276" t="s">
        <v>696</v>
      </c>
    </row>
    <row r="277" ht="14.5">
      <c r="B277" t="s">
        <v>696</v>
      </c>
    </row>
    <row r="278" ht="14.5">
      <c r="B278" t="s">
        <v>696</v>
      </c>
    </row>
    <row r="279" ht="14.5">
      <c r="B279" t="s">
        <v>696</v>
      </c>
    </row>
    <row r="280" ht="14.5">
      <c r="B280" t="s">
        <v>696</v>
      </c>
    </row>
    <row r="281" ht="14.5">
      <c r="B281" t="s">
        <v>696</v>
      </c>
    </row>
    <row r="282" ht="14.5">
      <c r="B282" t="s">
        <v>696</v>
      </c>
    </row>
    <row r="283" ht="14.5">
      <c r="B283" t="s">
        <v>696</v>
      </c>
    </row>
    <row r="284" ht="14.5">
      <c r="B284" t="s">
        <v>696</v>
      </c>
    </row>
    <row r="285" ht="14.5">
      <c r="B285" t="s">
        <v>696</v>
      </c>
    </row>
    <row r="286" ht="14.5">
      <c r="B286" t="s">
        <v>696</v>
      </c>
    </row>
    <row r="287" ht="14.5">
      <c r="B287" t="s">
        <v>696</v>
      </c>
    </row>
    <row r="288" ht="14.5">
      <c r="B288" t="s">
        <v>696</v>
      </c>
    </row>
    <row r="289" ht="14.5">
      <c r="B289" t="s">
        <v>696</v>
      </c>
    </row>
    <row r="290" ht="14.5">
      <c r="B290" t="s">
        <v>696</v>
      </c>
    </row>
    <row r="291" ht="14.5">
      <c r="B291" t="s">
        <v>696</v>
      </c>
    </row>
    <row r="292" ht="14.5">
      <c r="B292" t="s">
        <v>696</v>
      </c>
    </row>
    <row r="293" ht="14.5">
      <c r="B293" t="s">
        <v>696</v>
      </c>
    </row>
    <row r="294" ht="14.5">
      <c r="B294" t="s">
        <v>696</v>
      </c>
    </row>
    <row r="295" ht="14.5">
      <c r="B295" t="s">
        <v>696</v>
      </c>
    </row>
    <row r="296" ht="14.5">
      <c r="B296" t="s">
        <v>696</v>
      </c>
    </row>
    <row r="297" ht="14.5">
      <c r="B297" t="s">
        <v>696</v>
      </c>
    </row>
    <row r="298" ht="14.5">
      <c r="B298" t="s">
        <v>696</v>
      </c>
    </row>
    <row r="299" ht="14.5">
      <c r="B299" t="s">
        <v>696</v>
      </c>
    </row>
    <row r="300" ht="14.5">
      <c r="B300" t="s">
        <v>696</v>
      </c>
    </row>
    <row r="301" ht="14.5">
      <c r="B301" t="s">
        <v>696</v>
      </c>
    </row>
    <row r="302" ht="14.5">
      <c r="B302" t="s">
        <v>696</v>
      </c>
    </row>
    <row r="303" ht="14.5">
      <c r="B303" t="s">
        <v>696</v>
      </c>
    </row>
    <row r="304" ht="14.5">
      <c r="B304" t="s">
        <v>696</v>
      </c>
    </row>
    <row r="305" ht="14.5">
      <c r="B305" t="s">
        <v>696</v>
      </c>
    </row>
    <row r="306" ht="14.5">
      <c r="B306" t="s">
        <v>696</v>
      </c>
    </row>
    <row r="307" ht="14.5">
      <c r="B307" t="s">
        <v>696</v>
      </c>
    </row>
    <row r="308" ht="14.5">
      <c r="B308" t="s">
        <v>696</v>
      </c>
    </row>
    <row r="309" ht="14.5">
      <c r="B309" t="s">
        <v>696</v>
      </c>
    </row>
    <row r="310" ht="14.5">
      <c r="B310" t="s">
        <v>696</v>
      </c>
    </row>
    <row r="311" ht="14.5">
      <c r="B311" t="s">
        <v>696</v>
      </c>
    </row>
    <row r="312" ht="14.5">
      <c r="B312" t="s">
        <v>696</v>
      </c>
    </row>
    <row r="313" ht="14.5">
      <c r="B313" t="s">
        <v>696</v>
      </c>
    </row>
    <row r="314" ht="14.5">
      <c r="B314" t="s">
        <v>696</v>
      </c>
    </row>
    <row r="315" ht="14.5">
      <c r="B315" t="s">
        <v>696</v>
      </c>
    </row>
    <row r="316" ht="14.5">
      <c r="B316" t="s">
        <v>696</v>
      </c>
    </row>
    <row r="317" ht="14.5">
      <c r="B317" t="s">
        <v>696</v>
      </c>
    </row>
    <row r="318" ht="14.5">
      <c r="B318" t="s">
        <v>696</v>
      </c>
    </row>
    <row r="319" ht="14.5">
      <c r="B319" t="s">
        <v>696</v>
      </c>
    </row>
    <row r="320" ht="14.5">
      <c r="B320" t="s">
        <v>696</v>
      </c>
    </row>
    <row r="321" ht="14.5">
      <c r="B321" t="s">
        <v>696</v>
      </c>
    </row>
    <row r="322" ht="14.5">
      <c r="B322" t="s">
        <v>696</v>
      </c>
    </row>
    <row r="323" ht="14.5">
      <c r="B323" t="s">
        <v>696</v>
      </c>
    </row>
    <row r="324" ht="14.5">
      <c r="B324" t="s">
        <v>696</v>
      </c>
    </row>
    <row r="325" ht="14.5">
      <c r="B325" t="s">
        <v>696</v>
      </c>
    </row>
    <row r="326" ht="14.5">
      <c r="B326" t="s">
        <v>696</v>
      </c>
    </row>
    <row r="327" ht="14.5">
      <c r="B327" t="s">
        <v>696</v>
      </c>
    </row>
    <row r="328" ht="14.5">
      <c r="B328" t="s">
        <v>696</v>
      </c>
    </row>
    <row r="329" ht="14.5">
      <c r="B329" t="s">
        <v>696</v>
      </c>
    </row>
    <row r="330" ht="14.5">
      <c r="B330" t="s">
        <v>696</v>
      </c>
    </row>
    <row r="331" ht="14.5">
      <c r="B331" t="s">
        <v>696</v>
      </c>
    </row>
    <row r="332" ht="14.5">
      <c r="B332" t="s">
        <v>696</v>
      </c>
    </row>
    <row r="333" ht="14.5">
      <c r="B333" t="s">
        <v>696</v>
      </c>
    </row>
    <row r="334" ht="14.5">
      <c r="B334" t="s">
        <v>696</v>
      </c>
    </row>
    <row r="335" ht="14.5">
      <c r="B335" t="s">
        <v>696</v>
      </c>
    </row>
    <row r="336" ht="14.5">
      <c r="B336" t="s">
        <v>696</v>
      </c>
    </row>
    <row r="337" ht="14.5">
      <c r="B337" t="s">
        <v>696</v>
      </c>
    </row>
    <row r="338" ht="14.5">
      <c r="B338" t="s">
        <v>696</v>
      </c>
    </row>
    <row r="339" ht="14.5">
      <c r="B339" t="s">
        <v>696</v>
      </c>
    </row>
    <row r="340" ht="14.5">
      <c r="B340" t="s">
        <v>696</v>
      </c>
    </row>
    <row r="341" ht="14.5">
      <c r="B341" t="s">
        <v>696</v>
      </c>
    </row>
    <row r="342" ht="14.5">
      <c r="B342" t="s">
        <v>696</v>
      </c>
    </row>
    <row r="343" ht="14.5">
      <c r="B343" t="s">
        <v>696</v>
      </c>
    </row>
    <row r="344" ht="14.5">
      <c r="B344" t="s">
        <v>696</v>
      </c>
    </row>
    <row r="345" ht="14.5">
      <c r="B345" t="s">
        <v>696</v>
      </c>
    </row>
    <row r="346" ht="14.5">
      <c r="B346" t="s">
        <v>696</v>
      </c>
    </row>
    <row r="347" ht="14.5">
      <c r="B347" t="s">
        <v>696</v>
      </c>
    </row>
    <row r="348" ht="14.5">
      <c r="B348" t="s">
        <v>696</v>
      </c>
    </row>
    <row r="349" ht="14.5">
      <c r="B349" t="s">
        <v>696</v>
      </c>
    </row>
    <row r="350" ht="14.5">
      <c r="B350" t="s">
        <v>696</v>
      </c>
    </row>
    <row r="351" ht="14.5">
      <c r="B351" t="s">
        <v>696</v>
      </c>
    </row>
    <row r="352" ht="14.5">
      <c r="B352" t="s">
        <v>696</v>
      </c>
    </row>
    <row r="353" ht="14.5">
      <c r="B353" t="s">
        <v>696</v>
      </c>
    </row>
    <row r="354" ht="14.5">
      <c r="B354" t="s">
        <v>696</v>
      </c>
    </row>
    <row r="355" ht="14.5">
      <c r="B355" t="s">
        <v>696</v>
      </c>
    </row>
    <row r="356" ht="14.5">
      <c r="B356" t="s">
        <v>696</v>
      </c>
    </row>
    <row r="357" ht="14.5">
      <c r="B357" t="s">
        <v>696</v>
      </c>
    </row>
    <row r="358" ht="14.5">
      <c r="B358" t="s">
        <v>696</v>
      </c>
    </row>
    <row r="359" ht="14.5">
      <c r="B359" t="s">
        <v>696</v>
      </c>
    </row>
    <row r="360" ht="14.5">
      <c r="B360" t="s">
        <v>696</v>
      </c>
    </row>
    <row r="361" ht="14.5">
      <c r="B361" t="s">
        <v>696</v>
      </c>
    </row>
    <row r="362" ht="14.5">
      <c r="B362" t="s">
        <v>696</v>
      </c>
    </row>
    <row r="363" ht="14.5">
      <c r="B363" t="s">
        <v>696</v>
      </c>
    </row>
    <row r="364" ht="14.5">
      <c r="B364" t="s">
        <v>696</v>
      </c>
    </row>
    <row r="365" ht="14.5">
      <c r="B365" t="s">
        <v>696</v>
      </c>
    </row>
    <row r="366" ht="14.5">
      <c r="B366" t="s">
        <v>696</v>
      </c>
    </row>
    <row r="367" ht="14.5">
      <c r="B367" t="s">
        <v>696</v>
      </c>
    </row>
    <row r="368" ht="14.5">
      <c r="B368" t="s">
        <v>696</v>
      </c>
    </row>
    <row r="369" ht="14.5">
      <c r="B369" t="s">
        <v>696</v>
      </c>
    </row>
    <row r="370" ht="14.5">
      <c r="B370" t="s">
        <v>696</v>
      </c>
    </row>
    <row r="371" ht="14.5">
      <c r="B371" t="s">
        <v>696</v>
      </c>
    </row>
    <row r="372" ht="14.5">
      <c r="B372" t="s">
        <v>696</v>
      </c>
    </row>
    <row r="373" ht="14.5">
      <c r="B373" t="s">
        <v>696</v>
      </c>
    </row>
    <row r="374" ht="14.5">
      <c r="B374" t="s">
        <v>696</v>
      </c>
    </row>
    <row r="375" ht="14.5">
      <c r="B375" t="s">
        <v>696</v>
      </c>
    </row>
    <row r="376" ht="14.5">
      <c r="B376" t="s">
        <v>696</v>
      </c>
    </row>
    <row r="377" ht="14.5">
      <c r="B377" t="s">
        <v>696</v>
      </c>
    </row>
    <row r="378" ht="14.5">
      <c r="B378" t="s">
        <v>696</v>
      </c>
    </row>
    <row r="379" ht="14.5">
      <c r="B379" t="s">
        <v>696</v>
      </c>
    </row>
    <row r="380" ht="14.5">
      <c r="B380" t="s">
        <v>696</v>
      </c>
    </row>
    <row r="381" ht="14.5">
      <c r="B381" t="s">
        <v>696</v>
      </c>
    </row>
    <row r="382" ht="14.5">
      <c r="B382" t="s">
        <v>696</v>
      </c>
    </row>
    <row r="383" ht="14.5">
      <c r="B383" t="s">
        <v>696</v>
      </c>
    </row>
    <row r="384" ht="14.5">
      <c r="B384" t="s">
        <v>696</v>
      </c>
    </row>
    <row r="385" ht="14.5">
      <c r="B385" t="s">
        <v>696</v>
      </c>
    </row>
    <row r="386" ht="14.5">
      <c r="B386" t="s">
        <v>696</v>
      </c>
    </row>
    <row r="387" ht="14.5">
      <c r="B387" t="s">
        <v>696</v>
      </c>
    </row>
    <row r="388" ht="14.5">
      <c r="B388" t="s">
        <v>696</v>
      </c>
    </row>
    <row r="389" ht="14.5">
      <c r="B389" t="s">
        <v>696</v>
      </c>
    </row>
    <row r="390" ht="14.5">
      <c r="B390" t="s">
        <v>696</v>
      </c>
    </row>
    <row r="391" ht="14.5">
      <c r="B391" t="s">
        <v>696</v>
      </c>
    </row>
    <row r="392" ht="14.5">
      <c r="B392" t="s">
        <v>696</v>
      </c>
    </row>
    <row r="393" ht="14.5">
      <c r="B393" t="s">
        <v>696</v>
      </c>
    </row>
    <row r="394" ht="14.5">
      <c r="B394" t="s">
        <v>696</v>
      </c>
    </row>
    <row r="395" ht="14.5">
      <c r="B395" t="s">
        <v>696</v>
      </c>
    </row>
    <row r="396" ht="14.5">
      <c r="B396" t="s">
        <v>696</v>
      </c>
    </row>
    <row r="397" ht="14.5">
      <c r="B397" t="s">
        <v>696</v>
      </c>
    </row>
    <row r="398" ht="14.5">
      <c r="B398" t="s">
        <v>696</v>
      </c>
    </row>
    <row r="399" ht="14.5">
      <c r="B399" t="s">
        <v>696</v>
      </c>
    </row>
    <row r="400" ht="14.5">
      <c r="B400" t="s">
        <v>696</v>
      </c>
    </row>
    <row r="401" ht="14.5">
      <c r="B401" t="s">
        <v>696</v>
      </c>
    </row>
    <row r="402" ht="14.5">
      <c r="B402" t="s">
        <v>696</v>
      </c>
    </row>
    <row r="403" ht="14.5">
      <c r="B403" t="s">
        <v>696</v>
      </c>
    </row>
    <row r="404" ht="14.5">
      <c r="B404" t="s">
        <v>696</v>
      </c>
    </row>
    <row r="405" ht="14.5">
      <c r="B405" t="s">
        <v>696</v>
      </c>
    </row>
    <row r="406" ht="14.5">
      <c r="B406" t="s">
        <v>696</v>
      </c>
    </row>
    <row r="407" ht="14.5">
      <c r="B407" t="s">
        <v>696</v>
      </c>
    </row>
    <row r="408" ht="14.5">
      <c r="B408" t="s">
        <v>696</v>
      </c>
    </row>
    <row r="409" ht="14.5">
      <c r="B409" t="s">
        <v>696</v>
      </c>
    </row>
    <row r="410" ht="14.5">
      <c r="B410" t="s">
        <v>696</v>
      </c>
    </row>
    <row r="411" ht="14.5">
      <c r="B411" t="s">
        <v>696</v>
      </c>
    </row>
    <row r="412" ht="14.5">
      <c r="B412" t="s">
        <v>696</v>
      </c>
    </row>
    <row r="413" ht="14.5">
      <c r="B413" t="s">
        <v>696</v>
      </c>
    </row>
    <row r="414" ht="14.5">
      <c r="B414" t="s">
        <v>696</v>
      </c>
    </row>
    <row r="415" ht="14.5">
      <c r="B415" t="s">
        <v>696</v>
      </c>
    </row>
    <row r="416" ht="14.5">
      <c r="B416" t="s">
        <v>696</v>
      </c>
    </row>
    <row r="417" ht="14.5">
      <c r="B417" t="s">
        <v>696</v>
      </c>
    </row>
    <row r="418" ht="14.5">
      <c r="B418" t="s">
        <v>696</v>
      </c>
    </row>
    <row r="419" ht="14.5">
      <c r="B419" t="s">
        <v>696</v>
      </c>
    </row>
    <row r="420" ht="14.5">
      <c r="B420" t="s">
        <v>696</v>
      </c>
    </row>
    <row r="421" ht="14.5">
      <c r="B421" t="s">
        <v>696</v>
      </c>
    </row>
    <row r="422" ht="14.5">
      <c r="B422" t="s">
        <v>696</v>
      </c>
    </row>
    <row r="423" ht="14.5">
      <c r="B423" t="s">
        <v>696</v>
      </c>
    </row>
    <row r="424" ht="14.5">
      <c r="B424" t="s">
        <v>696</v>
      </c>
    </row>
    <row r="425" ht="14.5">
      <c r="B425" t="s">
        <v>696</v>
      </c>
    </row>
    <row r="426" ht="14.5">
      <c r="B426" t="s">
        <v>696</v>
      </c>
    </row>
    <row r="427" ht="14.5">
      <c r="B427" t="s">
        <v>696</v>
      </c>
    </row>
    <row r="428" ht="14.5">
      <c r="B428" t="s">
        <v>696</v>
      </c>
    </row>
    <row r="429" ht="14.5">
      <c r="B429" t="s">
        <v>696</v>
      </c>
    </row>
    <row r="430" ht="14.5">
      <c r="B430" t="s">
        <v>696</v>
      </c>
    </row>
    <row r="431" ht="14.5">
      <c r="B431" t="s">
        <v>696</v>
      </c>
    </row>
    <row r="432" ht="14.5">
      <c r="B432" t="s">
        <v>696</v>
      </c>
    </row>
    <row r="433" ht="14.5">
      <c r="B433" t="s">
        <v>696</v>
      </c>
    </row>
    <row r="434" ht="14.5">
      <c r="B434" t="s">
        <v>696</v>
      </c>
    </row>
    <row r="435" ht="14.5">
      <c r="B435" t="s">
        <v>696</v>
      </c>
    </row>
    <row r="436" ht="14.5">
      <c r="B436" t="s">
        <v>696</v>
      </c>
    </row>
    <row r="437" ht="14.5">
      <c r="B437" t="s">
        <v>696</v>
      </c>
    </row>
    <row r="438" ht="14.5">
      <c r="B438" t="s">
        <v>696</v>
      </c>
    </row>
    <row r="439" ht="14.5">
      <c r="B439" t="s">
        <v>696</v>
      </c>
    </row>
    <row r="440" ht="14.5">
      <c r="B440" t="s">
        <v>696</v>
      </c>
    </row>
    <row r="441" ht="14.5">
      <c r="B441" t="s">
        <v>696</v>
      </c>
    </row>
    <row r="442" ht="14.5">
      <c r="B442" t="s">
        <v>696</v>
      </c>
    </row>
    <row r="443" ht="14.5">
      <c r="B443" t="s">
        <v>696</v>
      </c>
    </row>
    <row r="444" ht="14.5">
      <c r="B444" t="s">
        <v>696</v>
      </c>
    </row>
    <row r="445" ht="14.5">
      <c r="B445" t="s">
        <v>696</v>
      </c>
    </row>
    <row r="446" ht="14.5">
      <c r="B446" t="s">
        <v>696</v>
      </c>
    </row>
    <row r="447" ht="14.5">
      <c r="B447" t="s">
        <v>696</v>
      </c>
    </row>
    <row r="448" ht="14.5">
      <c r="B448" t="s">
        <v>696</v>
      </c>
    </row>
    <row r="449" ht="14.5">
      <c r="B449" t="s">
        <v>696</v>
      </c>
    </row>
    <row r="450" ht="14.5">
      <c r="B450" t="s">
        <v>696</v>
      </c>
    </row>
    <row r="451" ht="14.5">
      <c r="B451" t="s">
        <v>696</v>
      </c>
    </row>
    <row r="452" ht="14.5">
      <c r="B452" t="s">
        <v>696</v>
      </c>
    </row>
    <row r="453" ht="14.5">
      <c r="B453" t="s">
        <v>696</v>
      </c>
    </row>
    <row r="454" ht="14.5">
      <c r="B454" t="s">
        <v>696</v>
      </c>
    </row>
    <row r="455" ht="14.5">
      <c r="B455" t="s">
        <v>696</v>
      </c>
    </row>
    <row r="456" ht="14.5">
      <c r="B456" t="s">
        <v>696</v>
      </c>
    </row>
    <row r="457" ht="14.5">
      <c r="B457" t="s">
        <v>696</v>
      </c>
    </row>
    <row r="458" ht="14.5">
      <c r="B458" t="s">
        <v>696</v>
      </c>
    </row>
    <row r="459" ht="14.5">
      <c r="B459" t="s">
        <v>696</v>
      </c>
    </row>
    <row r="460" ht="14.5">
      <c r="B460" t="s">
        <v>696</v>
      </c>
    </row>
    <row r="461" ht="14.5">
      <c r="B461" t="s">
        <v>696</v>
      </c>
    </row>
    <row r="462" ht="14.5">
      <c r="B462" t="s">
        <v>696</v>
      </c>
    </row>
    <row r="463" ht="14.5">
      <c r="B463" t="s">
        <v>696</v>
      </c>
    </row>
    <row r="464" ht="14.5">
      <c r="B464" t="s">
        <v>696</v>
      </c>
    </row>
    <row r="465" ht="14.5">
      <c r="B465" t="s">
        <v>696</v>
      </c>
    </row>
    <row r="466" ht="14.5">
      <c r="B466" t="s">
        <v>696</v>
      </c>
    </row>
    <row r="467" ht="14.5">
      <c r="B467" t="s">
        <v>696</v>
      </c>
    </row>
    <row r="468" ht="14.5">
      <c r="B468" t="s">
        <v>696</v>
      </c>
    </row>
    <row r="469" ht="14.5">
      <c r="B469" t="s">
        <v>696</v>
      </c>
    </row>
    <row r="470" ht="14.5">
      <c r="B470" t="s">
        <v>696</v>
      </c>
    </row>
    <row r="471" ht="14.5">
      <c r="B471" t="s">
        <v>696</v>
      </c>
    </row>
    <row r="472" ht="14.5">
      <c r="B472" t="s">
        <v>696</v>
      </c>
    </row>
    <row r="473" ht="14.5">
      <c r="B473" t="s">
        <v>696</v>
      </c>
    </row>
    <row r="474" ht="14.5">
      <c r="B474" t="s">
        <v>696</v>
      </c>
    </row>
    <row r="475" ht="14.5">
      <c r="B475" t="s">
        <v>696</v>
      </c>
    </row>
    <row r="476" ht="14.5">
      <c r="B476" t="s">
        <v>696</v>
      </c>
    </row>
    <row r="477" ht="14.5">
      <c r="B477" t="s">
        <v>696</v>
      </c>
    </row>
    <row r="478" ht="14.5">
      <c r="B478" t="s">
        <v>696</v>
      </c>
    </row>
    <row r="479" ht="14.5">
      <c r="B479" t="s">
        <v>696</v>
      </c>
    </row>
    <row r="480" ht="14.5">
      <c r="B480" t="s">
        <v>696</v>
      </c>
    </row>
    <row r="481" ht="14.5">
      <c r="B481" t="s">
        <v>696</v>
      </c>
    </row>
    <row r="482" ht="14.5">
      <c r="B482" t="s">
        <v>696</v>
      </c>
    </row>
    <row r="483" ht="14.5">
      <c r="B483" t="s">
        <v>696</v>
      </c>
    </row>
    <row r="484" ht="14.5">
      <c r="B484" t="s">
        <v>696</v>
      </c>
    </row>
    <row r="485" ht="14.5">
      <c r="B485" t="s">
        <v>696</v>
      </c>
    </row>
    <row r="486" ht="14.5">
      <c r="B486" t="s">
        <v>696</v>
      </c>
    </row>
    <row r="487" ht="14.5">
      <c r="B487" t="s">
        <v>696</v>
      </c>
    </row>
    <row r="488" ht="14.5">
      <c r="B488" t="s">
        <v>696</v>
      </c>
    </row>
    <row r="489" ht="14.5">
      <c r="B489" t="s">
        <v>696</v>
      </c>
    </row>
    <row r="490" ht="14.5">
      <c r="B490" t="s">
        <v>696</v>
      </c>
    </row>
    <row r="491" ht="14.5">
      <c r="B491" t="s">
        <v>696</v>
      </c>
    </row>
    <row r="492" ht="14.5">
      <c r="B492" t="s">
        <v>696</v>
      </c>
    </row>
    <row r="493" ht="14.5">
      <c r="B493" t="s">
        <v>696</v>
      </c>
    </row>
    <row r="494" ht="14.5">
      <c r="B494" t="s">
        <v>696</v>
      </c>
    </row>
    <row r="495" ht="14.5">
      <c r="B495" t="s">
        <v>696</v>
      </c>
    </row>
    <row r="496" ht="14.5">
      <c r="B496" t="s">
        <v>696</v>
      </c>
    </row>
    <row r="497" ht="14.5">
      <c r="B497" t="s">
        <v>696</v>
      </c>
    </row>
    <row r="498" ht="14.5">
      <c r="B498" t="s">
        <v>696</v>
      </c>
    </row>
    <row r="499" ht="14.5">
      <c r="B499" t="s">
        <v>696</v>
      </c>
    </row>
    <row r="500" ht="14.5">
      <c r="B500" t="s">
        <v>696</v>
      </c>
    </row>
    <row r="501" ht="14.5">
      <c r="B501" t="s">
        <v>696</v>
      </c>
    </row>
    <row r="502" ht="14.5">
      <c r="B502" t="s">
        <v>696</v>
      </c>
    </row>
    <row r="503" ht="14.5">
      <c r="B503" t="s">
        <v>696</v>
      </c>
    </row>
    <row r="504" ht="14.5">
      <c r="B504" t="s">
        <v>696</v>
      </c>
    </row>
    <row r="505" ht="14.5">
      <c r="B505" t="s">
        <v>696</v>
      </c>
    </row>
    <row r="506" ht="14.5">
      <c r="B506" t="s">
        <v>696</v>
      </c>
    </row>
    <row r="507" ht="14.5">
      <c r="B507" t="s">
        <v>696</v>
      </c>
    </row>
    <row r="508" ht="14.5">
      <c r="B508" t="s">
        <v>696</v>
      </c>
    </row>
    <row r="509" ht="14.5">
      <c r="B509" t="s">
        <v>696</v>
      </c>
    </row>
    <row r="510" ht="14.5">
      <c r="B510" t="s">
        <v>696</v>
      </c>
    </row>
    <row r="511" ht="14.5">
      <c r="B511" t="s">
        <v>696</v>
      </c>
    </row>
    <row r="512" ht="14.5">
      <c r="B512" t="s">
        <v>696</v>
      </c>
    </row>
    <row r="513" ht="14.5">
      <c r="B513" t="s">
        <v>696</v>
      </c>
    </row>
    <row r="514" ht="14.5">
      <c r="B514" t="s">
        <v>696</v>
      </c>
    </row>
    <row r="515" ht="14.5">
      <c r="B515" t="s">
        <v>696</v>
      </c>
    </row>
    <row r="516" ht="14.5">
      <c r="B516" t="s">
        <v>696</v>
      </c>
    </row>
    <row r="517" ht="14.5">
      <c r="B517" t="s">
        <v>696</v>
      </c>
    </row>
    <row r="518" ht="14.5">
      <c r="B518" t="s">
        <v>696</v>
      </c>
    </row>
    <row r="519" ht="14.5">
      <c r="B519" t="s">
        <v>696</v>
      </c>
    </row>
    <row r="520" ht="14.5">
      <c r="B520" t="s">
        <v>696</v>
      </c>
    </row>
    <row r="521" ht="14.5">
      <c r="B521" t="s">
        <v>696</v>
      </c>
    </row>
    <row r="522" ht="14.5">
      <c r="B522" t="s">
        <v>696</v>
      </c>
    </row>
    <row r="523" ht="14.5">
      <c r="B523" t="s">
        <v>696</v>
      </c>
    </row>
    <row r="524" ht="14.5">
      <c r="B524" t="s">
        <v>696</v>
      </c>
    </row>
    <row r="525" ht="14.5">
      <c r="B525" t="s">
        <v>696</v>
      </c>
    </row>
    <row r="526" ht="14.5">
      <c r="B526" t="s">
        <v>696</v>
      </c>
    </row>
    <row r="527" ht="14.5">
      <c r="B527" t="s">
        <v>696</v>
      </c>
    </row>
    <row r="528" ht="14.5">
      <c r="B528" t="s">
        <v>696</v>
      </c>
    </row>
    <row r="529" ht="14.5">
      <c r="B529" t="s">
        <v>696</v>
      </c>
    </row>
    <row r="530" ht="14.5">
      <c r="B530" t="s">
        <v>696</v>
      </c>
    </row>
    <row r="531" ht="14.5">
      <c r="B531" t="s">
        <v>696</v>
      </c>
    </row>
    <row r="532" ht="14.5">
      <c r="B532" t="s">
        <v>696</v>
      </c>
    </row>
    <row r="533" ht="14.5">
      <c r="B533" t="s">
        <v>696</v>
      </c>
    </row>
    <row r="534" ht="14.5">
      <c r="B534" t="s">
        <v>696</v>
      </c>
    </row>
    <row r="535" ht="14.5">
      <c r="B535" t="s">
        <v>696</v>
      </c>
    </row>
    <row r="536" ht="14.5">
      <c r="B536" t="s">
        <v>696</v>
      </c>
    </row>
    <row r="537" ht="14.5">
      <c r="B537" t="s">
        <v>696</v>
      </c>
    </row>
    <row r="538" ht="14.5">
      <c r="B538" t="s">
        <v>696</v>
      </c>
    </row>
    <row r="539" ht="14.5">
      <c r="B539" t="s">
        <v>696</v>
      </c>
    </row>
    <row r="540" ht="14.5">
      <c r="B540" t="s">
        <v>696</v>
      </c>
    </row>
    <row r="541" ht="14.5">
      <c r="B541" t="s">
        <v>696</v>
      </c>
    </row>
    <row r="542" ht="14.5">
      <c r="B542" t="s">
        <v>696</v>
      </c>
    </row>
    <row r="543" ht="14.5">
      <c r="B543" t="s">
        <v>696</v>
      </c>
    </row>
    <row r="544" ht="14.5">
      <c r="B544" t="s">
        <v>696</v>
      </c>
    </row>
    <row r="545" ht="14.5">
      <c r="B545" t="s">
        <v>696</v>
      </c>
    </row>
    <row r="546" ht="14.5">
      <c r="B546" t="s">
        <v>696</v>
      </c>
    </row>
    <row r="547" ht="14.5">
      <c r="B547" t="s">
        <v>696</v>
      </c>
    </row>
    <row r="548" ht="14.5">
      <c r="B548" t="s">
        <v>696</v>
      </c>
    </row>
    <row r="549" ht="14.5">
      <c r="B549" t="s">
        <v>696</v>
      </c>
    </row>
    <row r="550" ht="14.5">
      <c r="B550" t="s">
        <v>696</v>
      </c>
    </row>
    <row r="551" ht="14.5">
      <c r="B551" t="s">
        <v>696</v>
      </c>
    </row>
    <row r="552" ht="14.5">
      <c r="B552" t="s">
        <v>696</v>
      </c>
    </row>
    <row r="553" ht="14.5">
      <c r="B553" t="s">
        <v>696</v>
      </c>
    </row>
    <row r="554" ht="14.5">
      <c r="B554" t="s">
        <v>696</v>
      </c>
    </row>
    <row r="555" ht="14.5">
      <c r="B555" t="s">
        <v>696</v>
      </c>
    </row>
  </sheetData>
  <hyperlinks>
    <hyperlink ref="A1" location="MENU!A1" display="MENU"/>
  </hyperlinks>
</worksheet>
</file>

<file path=xl/worksheets/sheet9.xml><?xml version="1.0" encoding="utf-8"?>
<worksheet xmlns:r="http://schemas.openxmlformats.org/officeDocument/2006/relationships" xmlns="http://schemas.openxmlformats.org/spreadsheetml/2006/main">
  <sheetPr>
    <tabColor rgb="FF92D050"/>
  </sheetPr>
  <sheetViews>
    <sheetView workbookViewId="0">
      <selection activeCell="A3" sqref="A3"/>
    </sheetView>
  </sheetViews>
  <sheetFormatPr defaultRowHeight="15"/>
  <cols>
    <col min="2" max="2" width="13.14063" bestFit="1" customWidth="1"/>
    <col min="3" max="62" width="10.57031" bestFit="1" customWidth="1"/>
  </cols>
  <sheetData>
    <row r="1" ht="14.5">
      <c r="A1" s="9" t="s">
        <v>38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</row>
    <row r="2" ht="14.5">
      <c r="B2" s="3" t="s">
        <v>693</v>
      </c>
      <c r="C2" s="20">
        <f>+EOMONTH(MENU!B1,1)</f>
        <v>45961</v>
      </c>
      <c r="D2" s="20">
        <f>+EOMONTH(C2,1)</f>
        <v>45991</v>
      </c>
      <c r="E2" s="20">
        <f t="shared" ref="E2:BJ2" si="0">+EOMONTH(D2,1)</f>
        <v>46022</v>
      </c>
      <c r="F2" s="20">
        <f t="shared" si="0"/>
        <v>46053</v>
      </c>
      <c r="G2" s="20">
        <f t="shared" si="0"/>
        <v>46081</v>
      </c>
      <c r="H2" s="20">
        <f t="shared" si="0"/>
        <v>46112</v>
      </c>
      <c r="I2" s="20">
        <f t="shared" si="0"/>
        <v>46142</v>
      </c>
      <c r="J2" s="20">
        <f t="shared" si="0"/>
        <v>46173</v>
      </c>
      <c r="K2" s="20">
        <f t="shared" si="0"/>
        <v>46203</v>
      </c>
      <c r="L2" s="20">
        <f t="shared" si="0"/>
        <v>46234</v>
      </c>
      <c r="M2" s="20">
        <f t="shared" si="0"/>
        <v>46265</v>
      </c>
      <c r="N2" s="20">
        <f t="shared" si="0"/>
        <v>46295</v>
      </c>
      <c r="O2" s="20">
        <f t="shared" si="0"/>
        <v>46326</v>
      </c>
      <c r="P2" s="20">
        <f t="shared" si="0"/>
        <v>46356</v>
      </c>
      <c r="Q2" s="20">
        <f t="shared" si="0"/>
        <v>46387</v>
      </c>
      <c r="R2" s="20">
        <f t="shared" si="0"/>
        <v>46418</v>
      </c>
      <c r="S2" s="20">
        <f t="shared" si="0"/>
        <v>46446</v>
      </c>
      <c r="T2" s="20">
        <f t="shared" si="0"/>
        <v>46477</v>
      </c>
      <c r="U2" s="20">
        <f t="shared" si="0"/>
        <v>46507</v>
      </c>
      <c r="V2" s="20">
        <f t="shared" si="0"/>
        <v>46538</v>
      </c>
      <c r="W2" s="20">
        <f t="shared" si="0"/>
        <v>46568</v>
      </c>
      <c r="X2" s="20">
        <f t="shared" si="0"/>
        <v>46599</v>
      </c>
      <c r="Y2" s="20">
        <f t="shared" si="0"/>
        <v>46630</v>
      </c>
      <c r="Z2" s="20">
        <f t="shared" si="0"/>
        <v>46660</v>
      </c>
      <c r="AA2" s="20">
        <f t="shared" si="0"/>
        <v>46691</v>
      </c>
      <c r="AB2" s="20">
        <f t="shared" si="0"/>
        <v>46721</v>
      </c>
      <c r="AC2" s="20">
        <f t="shared" si="0"/>
        <v>46752</v>
      </c>
      <c r="AD2" s="20">
        <f t="shared" si="0"/>
        <v>46783</v>
      </c>
      <c r="AE2" s="20">
        <f t="shared" si="0"/>
        <v>46812</v>
      </c>
      <c r="AF2" s="20">
        <f t="shared" si="0"/>
        <v>46843</v>
      </c>
      <c r="AG2" s="20">
        <f t="shared" si="0"/>
        <v>46873</v>
      </c>
      <c r="AH2" s="20">
        <f t="shared" si="0"/>
        <v>46904</v>
      </c>
      <c r="AI2" s="20">
        <f t="shared" si="0"/>
        <v>46934</v>
      </c>
      <c r="AJ2" s="20">
        <f t="shared" si="0"/>
        <v>46965</v>
      </c>
      <c r="AK2" s="20">
        <f t="shared" si="0"/>
        <v>46996</v>
      </c>
      <c r="AL2" s="20">
        <f t="shared" si="0"/>
        <v>47026</v>
      </c>
      <c r="AM2" s="20">
        <f t="shared" si="0"/>
        <v>47057</v>
      </c>
      <c r="AN2" s="20">
        <f t="shared" si="0"/>
        <v>47087</v>
      </c>
      <c r="AO2" s="20">
        <f t="shared" si="0"/>
        <v>47118</v>
      </c>
      <c r="AP2" s="20">
        <f t="shared" si="0"/>
        <v>47149</v>
      </c>
      <c r="AQ2" s="20">
        <f t="shared" si="0"/>
        <v>47177</v>
      </c>
      <c r="AR2" s="20">
        <f t="shared" si="0"/>
        <v>47208</v>
      </c>
      <c r="AS2" s="20">
        <f t="shared" si="0"/>
        <v>47238</v>
      </c>
      <c r="AT2" s="20">
        <f t="shared" si="0"/>
        <v>47269</v>
      </c>
      <c r="AU2" s="20">
        <f t="shared" si="0"/>
        <v>47299</v>
      </c>
      <c r="AV2" s="20">
        <f t="shared" si="0"/>
        <v>47330</v>
      </c>
      <c r="AW2" s="20">
        <f t="shared" si="0"/>
        <v>47361</v>
      </c>
      <c r="AX2" s="20">
        <f t="shared" si="0"/>
        <v>47391</v>
      </c>
      <c r="AY2" s="20">
        <f t="shared" si="0"/>
        <v>47422</v>
      </c>
      <c r="AZ2" s="20">
        <f t="shared" si="0"/>
        <v>47452</v>
      </c>
      <c r="BA2" s="20">
        <f t="shared" si="0"/>
        <v>47483</v>
      </c>
      <c r="BB2" s="20">
        <f t="shared" si="0"/>
        <v>47514</v>
      </c>
      <c r="BC2" s="20">
        <f t="shared" si="0"/>
        <v>47542</v>
      </c>
      <c r="BD2" s="20">
        <f t="shared" si="0"/>
        <v>47573</v>
      </c>
      <c r="BE2" s="20">
        <f t="shared" si="0"/>
        <v>47603</v>
      </c>
      <c r="BF2" s="20">
        <f t="shared" si="0"/>
        <v>47634</v>
      </c>
      <c r="BG2" s="20">
        <f t="shared" si="0"/>
        <v>47664</v>
      </c>
      <c r="BH2" s="20">
        <f t="shared" si="0"/>
        <v>47695</v>
      </c>
      <c r="BI2" s="20">
        <f t="shared" si="0"/>
        <v>47726</v>
      </c>
      <c r="BJ2" s="20">
        <f t="shared" si="0"/>
        <v>47756</v>
      </c>
    </row>
    <row r="3" ht="14.5">
      <c r="B3" t="s">
        <v>695</v>
      </c>
    </row>
    <row r="4" ht="14.5">
      <c r="B4" t="s">
        <v>695</v>
      </c>
    </row>
    <row r="5" ht="14.5">
      <c r="B5" t="s">
        <v>695</v>
      </c>
    </row>
    <row r="6" ht="14.5">
      <c r="B6" t="s">
        <v>695</v>
      </c>
    </row>
    <row r="7" ht="14.5">
      <c r="B7" t="s">
        <v>695</v>
      </c>
    </row>
    <row r="8" ht="14.5">
      <c r="B8" t="s">
        <v>695</v>
      </c>
    </row>
    <row r="9" ht="14.5">
      <c r="B9" t="s">
        <v>695</v>
      </c>
    </row>
    <row r="10" ht="14.5">
      <c r="B10" t="s">
        <v>695</v>
      </c>
    </row>
    <row r="11" ht="14.5">
      <c r="B11" t="s">
        <v>695</v>
      </c>
    </row>
    <row r="12" ht="14.5">
      <c r="B12" t="s">
        <v>695</v>
      </c>
    </row>
    <row r="13" ht="14.5">
      <c r="B13" t="s">
        <v>695</v>
      </c>
    </row>
    <row r="14" ht="14.5">
      <c r="B14" t="s">
        <v>695</v>
      </c>
    </row>
    <row r="15" ht="14.5">
      <c r="B15" t="s">
        <v>695</v>
      </c>
    </row>
    <row r="16" ht="14.5">
      <c r="B16" t="s">
        <v>695</v>
      </c>
    </row>
    <row r="17" ht="14.5">
      <c r="B17" t="s">
        <v>695</v>
      </c>
    </row>
    <row r="18" ht="14.5">
      <c r="B18" t="s">
        <v>695</v>
      </c>
    </row>
    <row r="19" ht="14.5">
      <c r="B19" t="s">
        <v>695</v>
      </c>
    </row>
    <row r="20" ht="14.5">
      <c r="B20" t="s">
        <v>695</v>
      </c>
    </row>
    <row r="21" ht="14.5">
      <c r="B21" t="s">
        <v>695</v>
      </c>
    </row>
    <row r="22" ht="14.5">
      <c r="B22" t="s">
        <v>695</v>
      </c>
    </row>
    <row r="23" ht="14.5">
      <c r="B23" t="s">
        <v>695</v>
      </c>
    </row>
    <row r="24" ht="14.5">
      <c r="B24" t="s">
        <v>695</v>
      </c>
    </row>
    <row r="25" ht="14.5">
      <c r="B25" t="s">
        <v>695</v>
      </c>
    </row>
    <row r="26" ht="14.5">
      <c r="B26" t="s">
        <v>695</v>
      </c>
    </row>
    <row r="27" ht="14.5">
      <c r="B27" t="s">
        <v>695</v>
      </c>
    </row>
    <row r="28" ht="14.5">
      <c r="B28" t="s">
        <v>695</v>
      </c>
    </row>
    <row r="29" ht="14.5">
      <c r="B29" t="s">
        <v>695</v>
      </c>
    </row>
    <row r="30" ht="14.5">
      <c r="B30" t="s">
        <v>695</v>
      </c>
    </row>
    <row r="31" ht="14.5">
      <c r="B31" t="s">
        <v>695</v>
      </c>
    </row>
    <row r="32" ht="14.5">
      <c r="B32" t="s">
        <v>695</v>
      </c>
    </row>
    <row r="33" ht="14.5">
      <c r="B33" t="s">
        <v>695</v>
      </c>
    </row>
    <row r="34" ht="14.5">
      <c r="B34" t="s">
        <v>695</v>
      </c>
    </row>
    <row r="35" ht="14.5">
      <c r="B35" t="s">
        <v>695</v>
      </c>
    </row>
    <row r="36" ht="14.5">
      <c r="B36" t="s">
        <v>695</v>
      </c>
    </row>
    <row r="37" ht="14.5">
      <c r="B37" t="s">
        <v>695</v>
      </c>
    </row>
    <row r="38" ht="14.5">
      <c r="B38" t="s">
        <v>695</v>
      </c>
    </row>
    <row r="39" ht="14.5">
      <c r="B39" t="s">
        <v>695</v>
      </c>
    </row>
    <row r="40" ht="14.5">
      <c r="B40" t="s">
        <v>695</v>
      </c>
    </row>
    <row r="41" ht="14.5">
      <c r="B41" t="s">
        <v>695</v>
      </c>
    </row>
    <row r="42" ht="14.5">
      <c r="B42" t="s">
        <v>695</v>
      </c>
    </row>
    <row r="43" ht="14.5">
      <c r="B43" t="s">
        <v>695</v>
      </c>
    </row>
    <row r="44" ht="14.5">
      <c r="B44" t="s">
        <v>695</v>
      </c>
    </row>
    <row r="45" ht="14.5">
      <c r="B45" t="s">
        <v>695</v>
      </c>
    </row>
    <row r="46" ht="14.5">
      <c r="B46" t="s">
        <v>695</v>
      </c>
    </row>
    <row r="47" ht="14.5">
      <c r="B47" t="s">
        <v>695</v>
      </c>
    </row>
    <row r="48" ht="14.5">
      <c r="B48" t="s">
        <v>695</v>
      </c>
    </row>
    <row r="49" ht="14.5">
      <c r="B49" t="s">
        <v>695</v>
      </c>
    </row>
    <row r="50" ht="14.5">
      <c r="B50" t="s">
        <v>695</v>
      </c>
    </row>
    <row r="51" ht="14.5">
      <c r="B51" t="s">
        <v>695</v>
      </c>
    </row>
    <row r="52" ht="14.5">
      <c r="B52" t="s">
        <v>695</v>
      </c>
    </row>
    <row r="53" ht="14.5">
      <c r="B53" t="s">
        <v>695</v>
      </c>
    </row>
    <row r="54" ht="14.5">
      <c r="B54" t="s">
        <v>695</v>
      </c>
    </row>
    <row r="55" ht="14.5">
      <c r="B55" t="s">
        <v>695</v>
      </c>
    </row>
    <row r="56" ht="14.5">
      <c r="B56" t="s">
        <v>695</v>
      </c>
    </row>
    <row r="57" ht="14.5">
      <c r="B57" t="s">
        <v>695</v>
      </c>
    </row>
    <row r="58" ht="14.5">
      <c r="B58" t="s">
        <v>695</v>
      </c>
    </row>
    <row r="59" ht="14.5">
      <c r="B59" t="s">
        <v>695</v>
      </c>
    </row>
    <row r="60" ht="14.5">
      <c r="B60" t="s">
        <v>695</v>
      </c>
    </row>
    <row r="61" ht="14.5">
      <c r="B61" t="s">
        <v>695</v>
      </c>
    </row>
    <row r="62" ht="14.5">
      <c r="B62" t="s">
        <v>695</v>
      </c>
    </row>
    <row r="63" ht="14.5">
      <c r="B63" t="s">
        <v>695</v>
      </c>
    </row>
    <row r="64" ht="14.5">
      <c r="B64" t="s">
        <v>695</v>
      </c>
    </row>
    <row r="65" ht="14.5">
      <c r="B65" t="s">
        <v>695</v>
      </c>
    </row>
    <row r="66" ht="14.5">
      <c r="B66" t="s">
        <v>695</v>
      </c>
    </row>
    <row r="67" ht="14.5">
      <c r="B67" t="s">
        <v>695</v>
      </c>
    </row>
    <row r="68" ht="14.5">
      <c r="B68" t="s">
        <v>695</v>
      </c>
    </row>
    <row r="69" ht="14.5">
      <c r="B69" t="s">
        <v>695</v>
      </c>
    </row>
    <row r="70" ht="14.5">
      <c r="B70" t="s">
        <v>695</v>
      </c>
    </row>
    <row r="71" ht="14.5">
      <c r="B71" t="s">
        <v>695</v>
      </c>
    </row>
    <row r="72" ht="14.5">
      <c r="B72" t="s">
        <v>695</v>
      </c>
    </row>
    <row r="73" ht="14.5">
      <c r="B73" t="s">
        <v>695</v>
      </c>
    </row>
    <row r="74" ht="14.5">
      <c r="B74" t="s">
        <v>695</v>
      </c>
    </row>
    <row r="75" ht="14.5">
      <c r="B75" t="s">
        <v>695</v>
      </c>
    </row>
    <row r="76" ht="14.5">
      <c r="B76" t="s">
        <v>695</v>
      </c>
    </row>
    <row r="77" ht="14.5">
      <c r="B77" t="s">
        <v>695</v>
      </c>
    </row>
    <row r="78" ht="14.5">
      <c r="B78" t="s">
        <v>695</v>
      </c>
    </row>
    <row r="79" ht="14.5">
      <c r="B79" t="s">
        <v>695</v>
      </c>
    </row>
    <row r="80" ht="14.5">
      <c r="B80" t="s">
        <v>695</v>
      </c>
    </row>
    <row r="81" ht="14.5">
      <c r="B81" t="s">
        <v>695</v>
      </c>
    </row>
    <row r="82" ht="14.5">
      <c r="B82" t="s">
        <v>695</v>
      </c>
    </row>
    <row r="83" ht="14.5">
      <c r="B83" t="s">
        <v>695</v>
      </c>
    </row>
    <row r="84" ht="14.5">
      <c r="B84" t="s">
        <v>695</v>
      </c>
    </row>
    <row r="85" ht="14.5">
      <c r="B85" t="s">
        <v>695</v>
      </c>
    </row>
    <row r="86" ht="14.5">
      <c r="B86" t="s">
        <v>695</v>
      </c>
    </row>
    <row r="87" ht="14.5">
      <c r="B87" t="s">
        <v>695</v>
      </c>
    </row>
    <row r="88" ht="14.5">
      <c r="B88" t="s">
        <v>695</v>
      </c>
    </row>
    <row r="89" ht="14.5">
      <c r="B89" t="s">
        <v>695</v>
      </c>
    </row>
    <row r="90" ht="14.5">
      <c r="B90" t="s">
        <v>695</v>
      </c>
    </row>
    <row r="91" ht="14.5">
      <c r="B91" t="s">
        <v>695</v>
      </c>
    </row>
    <row r="92" ht="14.5">
      <c r="B92" t="s">
        <v>695</v>
      </c>
    </row>
    <row r="93" ht="14.5">
      <c r="B93" t="s">
        <v>695</v>
      </c>
    </row>
    <row r="94" ht="14.5">
      <c r="B94" t="s">
        <v>695</v>
      </c>
    </row>
    <row r="95" ht="14.5">
      <c r="B95" t="s">
        <v>695</v>
      </c>
    </row>
    <row r="96" ht="14.5">
      <c r="B96" t="s">
        <v>695</v>
      </c>
    </row>
    <row r="97" ht="14.5">
      <c r="B97" t="s">
        <v>695</v>
      </c>
    </row>
    <row r="98" ht="14.5">
      <c r="B98" t="s">
        <v>695</v>
      </c>
    </row>
    <row r="99" ht="14.5">
      <c r="B99" t="s">
        <v>695</v>
      </c>
    </row>
    <row r="100" ht="14.5">
      <c r="B100" t="s">
        <v>695</v>
      </c>
    </row>
    <row r="101" ht="14.5">
      <c r="B101" t="s">
        <v>695</v>
      </c>
    </row>
    <row r="102" ht="14.5">
      <c r="B102" t="s">
        <v>695</v>
      </c>
    </row>
    <row r="103" ht="14.5">
      <c r="B103" t="s">
        <v>695</v>
      </c>
    </row>
    <row r="104" ht="14.5">
      <c r="B104" t="s">
        <v>695</v>
      </c>
    </row>
    <row r="105" ht="14.5">
      <c r="B105" t="s">
        <v>695</v>
      </c>
    </row>
    <row r="106" ht="14.5">
      <c r="B106" t="s">
        <v>695</v>
      </c>
    </row>
    <row r="107" ht="14.5">
      <c r="B107" t="s">
        <v>695</v>
      </c>
    </row>
    <row r="108" ht="14.5">
      <c r="B108" t="s">
        <v>695</v>
      </c>
    </row>
    <row r="109" ht="14.5">
      <c r="B109" t="s">
        <v>695</v>
      </c>
    </row>
    <row r="110" ht="14.5">
      <c r="B110" t="s">
        <v>695</v>
      </c>
    </row>
    <row r="111" ht="14.5">
      <c r="B111" t="s">
        <v>695</v>
      </c>
    </row>
    <row r="112" ht="14.5">
      <c r="B112" t="s">
        <v>695</v>
      </c>
    </row>
    <row r="113" ht="14.5">
      <c r="B113" t="s">
        <v>695</v>
      </c>
    </row>
    <row r="114" ht="14.5">
      <c r="B114" t="s">
        <v>695</v>
      </c>
    </row>
    <row r="115" ht="14.5">
      <c r="B115" t="s">
        <v>695</v>
      </c>
    </row>
    <row r="116" ht="14.5">
      <c r="B116" t="s">
        <v>695</v>
      </c>
    </row>
    <row r="117" ht="14.5">
      <c r="B117" t="s">
        <v>695</v>
      </c>
    </row>
    <row r="118" ht="14.5">
      <c r="B118" t="s">
        <v>695</v>
      </c>
    </row>
    <row r="119" ht="14.5">
      <c r="B119" t="s">
        <v>695</v>
      </c>
    </row>
    <row r="120" ht="14.5">
      <c r="B120" t="s">
        <v>695</v>
      </c>
    </row>
    <row r="121" ht="14.5">
      <c r="B121" t="s">
        <v>695</v>
      </c>
    </row>
    <row r="122" ht="14.5">
      <c r="B122" t="s">
        <v>695</v>
      </c>
    </row>
    <row r="123" ht="14.5">
      <c r="B123" t="s">
        <v>695</v>
      </c>
    </row>
    <row r="124" ht="14.5">
      <c r="B124" t="s">
        <v>695</v>
      </c>
    </row>
    <row r="125" ht="14.5">
      <c r="B125" t="s">
        <v>695</v>
      </c>
    </row>
    <row r="126" ht="14.5">
      <c r="B126" t="s">
        <v>695</v>
      </c>
    </row>
    <row r="127" ht="14.5">
      <c r="B127" t="s">
        <v>695</v>
      </c>
    </row>
    <row r="128" ht="14.5">
      <c r="B128" t="s">
        <v>695</v>
      </c>
    </row>
    <row r="129" ht="14.5">
      <c r="B129" t="s">
        <v>695</v>
      </c>
    </row>
    <row r="130" ht="14.5">
      <c r="B130" t="s">
        <v>695</v>
      </c>
    </row>
    <row r="131" ht="14.5">
      <c r="B131" t="s">
        <v>695</v>
      </c>
    </row>
    <row r="132" ht="14.5">
      <c r="B132" t="s">
        <v>695</v>
      </c>
    </row>
    <row r="133" ht="14.5">
      <c r="B133" t="s">
        <v>695</v>
      </c>
    </row>
    <row r="134" ht="14.5">
      <c r="B134" t="s">
        <v>695</v>
      </c>
    </row>
    <row r="135" ht="14.5">
      <c r="B135" t="s">
        <v>695</v>
      </c>
    </row>
    <row r="136" ht="14.5">
      <c r="B136" t="s">
        <v>695</v>
      </c>
    </row>
    <row r="137" ht="14.5">
      <c r="B137" t="s">
        <v>695</v>
      </c>
    </row>
    <row r="138" ht="14.5">
      <c r="B138" t="s">
        <v>695</v>
      </c>
    </row>
    <row r="139" ht="14.5">
      <c r="B139" t="s">
        <v>695</v>
      </c>
    </row>
    <row r="140" ht="14.5">
      <c r="B140" t="s">
        <v>695</v>
      </c>
    </row>
    <row r="141" ht="14.5">
      <c r="B141" t="s">
        <v>695</v>
      </c>
    </row>
    <row r="142" ht="14.5">
      <c r="B142" t="s">
        <v>695</v>
      </c>
    </row>
    <row r="143" ht="14.5">
      <c r="B143" t="s">
        <v>695</v>
      </c>
    </row>
    <row r="144" ht="14.5">
      <c r="B144" t="s">
        <v>695</v>
      </c>
    </row>
    <row r="145" ht="14.5">
      <c r="B145" t="s">
        <v>695</v>
      </c>
    </row>
    <row r="146" ht="14.5">
      <c r="B146" t="s">
        <v>695</v>
      </c>
    </row>
    <row r="147" ht="14.5">
      <c r="B147" t="s">
        <v>695</v>
      </c>
    </row>
    <row r="148" ht="14.5">
      <c r="B148" t="s">
        <v>695</v>
      </c>
    </row>
    <row r="149" ht="14.5">
      <c r="B149" t="s">
        <v>695</v>
      </c>
    </row>
    <row r="150" ht="14.5">
      <c r="B150" t="s">
        <v>695</v>
      </c>
    </row>
    <row r="151" ht="14.5">
      <c r="B151" t="s">
        <v>695</v>
      </c>
    </row>
    <row r="152" ht="14.5">
      <c r="B152" t="s">
        <v>695</v>
      </c>
    </row>
    <row r="153" ht="14.5">
      <c r="B153" t="s">
        <v>695</v>
      </c>
    </row>
    <row r="154" ht="14.5">
      <c r="B154" t="s">
        <v>695</v>
      </c>
    </row>
    <row r="155" ht="14.5">
      <c r="B155" t="s">
        <v>695</v>
      </c>
    </row>
    <row r="156" ht="14.5">
      <c r="B156" t="s">
        <v>695</v>
      </c>
    </row>
    <row r="157" ht="14.5">
      <c r="B157" t="s">
        <v>695</v>
      </c>
    </row>
    <row r="158" ht="14.5">
      <c r="B158" t="s">
        <v>695</v>
      </c>
    </row>
    <row r="159" ht="14.5">
      <c r="B159" t="s">
        <v>695</v>
      </c>
    </row>
    <row r="160" ht="14.5">
      <c r="B160" t="s">
        <v>695</v>
      </c>
    </row>
    <row r="161" ht="14.5">
      <c r="B161" t="s">
        <v>695</v>
      </c>
    </row>
    <row r="162" ht="14.5">
      <c r="B162" t="s">
        <v>695</v>
      </c>
    </row>
    <row r="163" ht="14.5">
      <c r="B163" t="s">
        <v>695</v>
      </c>
    </row>
    <row r="164" ht="14.5">
      <c r="B164" t="s">
        <v>695</v>
      </c>
    </row>
    <row r="165" ht="14.5">
      <c r="B165" t="s">
        <v>695</v>
      </c>
    </row>
    <row r="166" ht="14.5">
      <c r="B166" t="s">
        <v>695</v>
      </c>
    </row>
    <row r="167" ht="14.5">
      <c r="B167" t="s">
        <v>695</v>
      </c>
    </row>
    <row r="168" ht="14.5">
      <c r="B168" t="s">
        <v>695</v>
      </c>
    </row>
    <row r="169" ht="14.5">
      <c r="B169" t="s">
        <v>695</v>
      </c>
    </row>
    <row r="170" ht="14.5">
      <c r="B170" t="s">
        <v>695</v>
      </c>
    </row>
    <row r="171" ht="14.5">
      <c r="B171" t="s">
        <v>695</v>
      </c>
    </row>
    <row r="172" ht="14.5">
      <c r="B172" t="s">
        <v>695</v>
      </c>
    </row>
    <row r="173" ht="14.5">
      <c r="B173" t="s">
        <v>695</v>
      </c>
    </row>
    <row r="174" ht="14.5">
      <c r="B174" t="s">
        <v>695</v>
      </c>
    </row>
    <row r="175" ht="14.5">
      <c r="B175" t="s">
        <v>695</v>
      </c>
    </row>
    <row r="176" ht="14.5">
      <c r="B176" t="s">
        <v>695</v>
      </c>
    </row>
    <row r="177" ht="14.5">
      <c r="B177" t="s">
        <v>695</v>
      </c>
    </row>
    <row r="178" ht="14.5">
      <c r="B178" t="s">
        <v>695</v>
      </c>
    </row>
    <row r="179" ht="14.5">
      <c r="B179" t="s">
        <v>695</v>
      </c>
    </row>
    <row r="180" ht="14.5">
      <c r="B180" t="s">
        <v>695</v>
      </c>
    </row>
    <row r="181" ht="14.5">
      <c r="B181" t="s">
        <v>695</v>
      </c>
    </row>
    <row r="182" ht="14.5">
      <c r="B182" t="s">
        <v>695</v>
      </c>
    </row>
    <row r="183" ht="14.5">
      <c r="B183" t="s">
        <v>695</v>
      </c>
    </row>
    <row r="184" ht="14.5">
      <c r="B184" t="s">
        <v>695</v>
      </c>
    </row>
    <row r="185" ht="14.5">
      <c r="B185" t="s">
        <v>695</v>
      </c>
    </row>
    <row r="186" ht="14.5">
      <c r="B186" t="s">
        <v>695</v>
      </c>
    </row>
    <row r="187" ht="14.5">
      <c r="B187" t="s">
        <v>695</v>
      </c>
    </row>
    <row r="188" ht="14.5">
      <c r="B188" t="s">
        <v>695</v>
      </c>
    </row>
    <row r="189" ht="14.5">
      <c r="B189" t="s">
        <v>695</v>
      </c>
    </row>
    <row r="190" ht="14.5">
      <c r="B190" t="s">
        <v>695</v>
      </c>
    </row>
    <row r="191" ht="14.5">
      <c r="B191" t="s">
        <v>695</v>
      </c>
    </row>
    <row r="192" ht="14.5">
      <c r="B192" t="s">
        <v>695</v>
      </c>
    </row>
    <row r="193" ht="14.5">
      <c r="B193" t="s">
        <v>695</v>
      </c>
    </row>
    <row r="194" ht="14.5">
      <c r="B194" t="s">
        <v>695</v>
      </c>
    </row>
    <row r="195" ht="14.5">
      <c r="B195" t="s">
        <v>695</v>
      </c>
    </row>
    <row r="196" ht="14.5">
      <c r="B196" t="s">
        <v>695</v>
      </c>
    </row>
    <row r="197" ht="14.5">
      <c r="B197" t="s">
        <v>695</v>
      </c>
    </row>
    <row r="198" ht="14.5">
      <c r="B198" t="s">
        <v>695</v>
      </c>
    </row>
    <row r="199" ht="14.5">
      <c r="B199" t="s">
        <v>695</v>
      </c>
    </row>
    <row r="200" ht="14.5">
      <c r="B200" t="s">
        <v>695</v>
      </c>
    </row>
    <row r="201" ht="14.5">
      <c r="B201" t="s">
        <v>695</v>
      </c>
    </row>
    <row r="202" ht="14.5">
      <c r="B202" t="s">
        <v>695</v>
      </c>
    </row>
    <row r="203" ht="14.5">
      <c r="B203" t="s">
        <v>695</v>
      </c>
    </row>
    <row r="204" ht="14.5">
      <c r="B204" t="s">
        <v>695</v>
      </c>
    </row>
    <row r="205" ht="14.5">
      <c r="B205" t="s">
        <v>695</v>
      </c>
    </row>
    <row r="206" ht="14.5">
      <c r="B206" t="s">
        <v>695</v>
      </c>
    </row>
    <row r="207" ht="14.5">
      <c r="B207" t="s">
        <v>695</v>
      </c>
    </row>
    <row r="208" ht="14.5">
      <c r="B208" t="s">
        <v>695</v>
      </c>
    </row>
    <row r="209" ht="14.5">
      <c r="B209" t="s">
        <v>695</v>
      </c>
    </row>
    <row r="210" ht="14.5">
      <c r="B210" t="s">
        <v>695</v>
      </c>
    </row>
    <row r="211" ht="14.5">
      <c r="B211" t="s">
        <v>695</v>
      </c>
    </row>
    <row r="212" ht="14.5">
      <c r="B212" t="s">
        <v>695</v>
      </c>
    </row>
    <row r="213" ht="14.5">
      <c r="B213" t="s">
        <v>695</v>
      </c>
    </row>
    <row r="214" ht="14.5">
      <c r="B214" t="s">
        <v>695</v>
      </c>
    </row>
    <row r="215" ht="14.5">
      <c r="B215" t="s">
        <v>695</v>
      </c>
    </row>
    <row r="216" ht="14.5">
      <c r="B216" t="s">
        <v>695</v>
      </c>
    </row>
    <row r="217" ht="14.5">
      <c r="B217" t="s">
        <v>695</v>
      </c>
    </row>
    <row r="218" ht="14.5">
      <c r="B218" t="s">
        <v>695</v>
      </c>
    </row>
    <row r="219" ht="14.5">
      <c r="B219" t="s">
        <v>695</v>
      </c>
    </row>
    <row r="220" ht="14.5">
      <c r="B220" t="s">
        <v>695</v>
      </c>
    </row>
    <row r="221" ht="14.5">
      <c r="B221" t="s">
        <v>695</v>
      </c>
    </row>
    <row r="222" ht="14.5">
      <c r="B222" t="s">
        <v>695</v>
      </c>
    </row>
    <row r="223" ht="14.5">
      <c r="B223" t="s">
        <v>695</v>
      </c>
    </row>
    <row r="224" ht="14.5">
      <c r="B224" t="s">
        <v>695</v>
      </c>
    </row>
    <row r="225" ht="14.5">
      <c r="B225" t="s">
        <v>695</v>
      </c>
    </row>
    <row r="226" ht="14.5">
      <c r="B226" t="s">
        <v>695</v>
      </c>
    </row>
    <row r="227" ht="14.5">
      <c r="B227" t="s">
        <v>695</v>
      </c>
    </row>
    <row r="228" ht="14.5">
      <c r="B228" t="s">
        <v>695</v>
      </c>
    </row>
    <row r="229" ht="14.5">
      <c r="B229" t="s">
        <v>695</v>
      </c>
    </row>
    <row r="230" ht="14.5">
      <c r="B230" t="s">
        <v>695</v>
      </c>
    </row>
    <row r="231" ht="14.5">
      <c r="B231" t="s">
        <v>695</v>
      </c>
    </row>
    <row r="232" ht="14.5">
      <c r="B232" t="s">
        <v>695</v>
      </c>
    </row>
    <row r="233" ht="14.5">
      <c r="B233" t="s">
        <v>695</v>
      </c>
    </row>
    <row r="234" ht="14.5">
      <c r="B234" t="s">
        <v>695</v>
      </c>
    </row>
    <row r="235" ht="14.5">
      <c r="B235" t="s">
        <v>695</v>
      </c>
    </row>
    <row r="236" ht="14.5">
      <c r="B236" t="s">
        <v>695</v>
      </c>
    </row>
    <row r="237" ht="14.5">
      <c r="B237" t="s">
        <v>695</v>
      </c>
    </row>
    <row r="238" ht="14.5">
      <c r="B238" t="s">
        <v>695</v>
      </c>
    </row>
    <row r="239" ht="14.5">
      <c r="B239" t="s">
        <v>695</v>
      </c>
    </row>
    <row r="240" ht="14.5">
      <c r="B240" t="s">
        <v>695</v>
      </c>
    </row>
    <row r="241" ht="14.5">
      <c r="B241" t="s">
        <v>695</v>
      </c>
    </row>
    <row r="242" ht="14.5">
      <c r="B242" t="s">
        <v>695</v>
      </c>
    </row>
    <row r="243" ht="14.5">
      <c r="B243" t="s">
        <v>695</v>
      </c>
    </row>
    <row r="244" ht="14.5">
      <c r="B244" t="s">
        <v>695</v>
      </c>
    </row>
    <row r="245" ht="14.5">
      <c r="B245" t="s">
        <v>695</v>
      </c>
    </row>
    <row r="246" ht="14.5">
      <c r="B246" t="s">
        <v>695</v>
      </c>
    </row>
    <row r="247" ht="14.5">
      <c r="B247" t="s">
        <v>695</v>
      </c>
    </row>
    <row r="248" ht="14.5">
      <c r="B248" t="s">
        <v>695</v>
      </c>
    </row>
    <row r="249" ht="14.5">
      <c r="B249" t="s">
        <v>695</v>
      </c>
    </row>
    <row r="250" ht="14.5">
      <c r="B250" t="s">
        <v>695</v>
      </c>
    </row>
    <row r="251" ht="14.5">
      <c r="B251" t="s">
        <v>695</v>
      </c>
    </row>
    <row r="252" ht="14.5">
      <c r="B252" t="s">
        <v>695</v>
      </c>
    </row>
    <row r="253" ht="14.5">
      <c r="B253" t="s">
        <v>695</v>
      </c>
    </row>
    <row r="254" ht="14.5">
      <c r="B254" t="s">
        <v>695</v>
      </c>
    </row>
    <row r="255" ht="14.5">
      <c r="B255" t="s">
        <v>695</v>
      </c>
    </row>
    <row r="256" ht="14.5">
      <c r="B256" t="s">
        <v>695</v>
      </c>
    </row>
    <row r="257" ht="14.5">
      <c r="B257" t="s">
        <v>695</v>
      </c>
    </row>
    <row r="258" ht="14.5">
      <c r="B258" t="s">
        <v>695</v>
      </c>
    </row>
    <row r="259" ht="14.5">
      <c r="B259" t="s">
        <v>695</v>
      </c>
    </row>
    <row r="260" ht="14.5">
      <c r="B260" t="s">
        <v>695</v>
      </c>
    </row>
    <row r="261" ht="14.5">
      <c r="B261" t="s">
        <v>695</v>
      </c>
    </row>
    <row r="262" ht="14.5">
      <c r="B262" t="s">
        <v>695</v>
      </c>
    </row>
    <row r="263" ht="14.5">
      <c r="B263" t="s">
        <v>695</v>
      </c>
    </row>
    <row r="264" ht="14.5">
      <c r="B264" t="s">
        <v>695</v>
      </c>
    </row>
    <row r="265" ht="14.5">
      <c r="B265" t="s">
        <v>695</v>
      </c>
    </row>
    <row r="266" ht="14.5">
      <c r="B266" t="s">
        <v>695</v>
      </c>
    </row>
    <row r="267" ht="14.5">
      <c r="B267" t="s">
        <v>695</v>
      </c>
    </row>
    <row r="268" ht="14.5">
      <c r="B268" t="s">
        <v>695</v>
      </c>
    </row>
    <row r="269" ht="14.5">
      <c r="B269" t="s">
        <v>695</v>
      </c>
    </row>
    <row r="270" ht="14.5">
      <c r="B270" t="s">
        <v>695</v>
      </c>
    </row>
    <row r="271" ht="14.5">
      <c r="B271" t="s">
        <v>695</v>
      </c>
    </row>
    <row r="272" ht="14.5">
      <c r="B272" t="s">
        <v>695</v>
      </c>
    </row>
    <row r="273" ht="14.5">
      <c r="B273" t="s">
        <v>695</v>
      </c>
    </row>
    <row r="274" ht="14.5">
      <c r="B274" t="s">
        <v>695</v>
      </c>
    </row>
    <row r="275" ht="14.5">
      <c r="B275" t="s">
        <v>695</v>
      </c>
    </row>
    <row r="276" ht="14.5">
      <c r="B276" t="s">
        <v>695</v>
      </c>
    </row>
    <row r="277" ht="14.5">
      <c r="B277" t="s">
        <v>695</v>
      </c>
    </row>
    <row r="278" ht="14.5">
      <c r="B278" t="s">
        <v>695</v>
      </c>
    </row>
    <row r="279" ht="14.5">
      <c r="B279" t="s">
        <v>695</v>
      </c>
    </row>
    <row r="280" ht="14.5">
      <c r="B280" t="s">
        <v>695</v>
      </c>
    </row>
    <row r="281" ht="14.5">
      <c r="B281" t="s">
        <v>695</v>
      </c>
    </row>
    <row r="282" ht="14.5">
      <c r="B282" t="s">
        <v>695</v>
      </c>
    </row>
    <row r="283" ht="14.5">
      <c r="B283" t="s">
        <v>695</v>
      </c>
    </row>
    <row r="284" ht="14.5">
      <c r="B284" t="s">
        <v>695</v>
      </c>
    </row>
    <row r="285" ht="14.5">
      <c r="B285" t="s">
        <v>695</v>
      </c>
    </row>
    <row r="286" ht="14.5">
      <c r="B286" t="s">
        <v>695</v>
      </c>
    </row>
    <row r="287" ht="14.5">
      <c r="B287" t="s">
        <v>695</v>
      </c>
    </row>
    <row r="288" ht="14.5">
      <c r="B288" t="s">
        <v>695</v>
      </c>
    </row>
    <row r="289" ht="14.5">
      <c r="B289" t="s">
        <v>695</v>
      </c>
    </row>
    <row r="290" ht="14.5">
      <c r="B290" t="s">
        <v>695</v>
      </c>
    </row>
    <row r="291" ht="14.5">
      <c r="B291" t="s">
        <v>695</v>
      </c>
    </row>
    <row r="292" ht="14.5">
      <c r="B292" t="s">
        <v>695</v>
      </c>
    </row>
    <row r="293" ht="14.5">
      <c r="B293" t="s">
        <v>695</v>
      </c>
    </row>
    <row r="294" ht="14.5">
      <c r="B294" t="s">
        <v>695</v>
      </c>
    </row>
    <row r="295" ht="14.5">
      <c r="B295" t="s">
        <v>695</v>
      </c>
    </row>
    <row r="296" ht="14.5">
      <c r="B296" t="s">
        <v>695</v>
      </c>
    </row>
    <row r="297" ht="14.5">
      <c r="B297" t="s">
        <v>695</v>
      </c>
    </row>
    <row r="298" ht="14.5">
      <c r="B298" t="s">
        <v>695</v>
      </c>
    </row>
    <row r="299" ht="14.5">
      <c r="B299" t="s">
        <v>695</v>
      </c>
    </row>
    <row r="300" ht="14.5">
      <c r="B300" t="s">
        <v>695</v>
      </c>
    </row>
    <row r="301" ht="14.5">
      <c r="B301" t="s">
        <v>695</v>
      </c>
    </row>
    <row r="302" ht="14.5">
      <c r="B302" t="s">
        <v>695</v>
      </c>
    </row>
    <row r="303" ht="14.5">
      <c r="B303" t="s">
        <v>695</v>
      </c>
    </row>
    <row r="304" ht="14.5">
      <c r="B304" t="s">
        <v>695</v>
      </c>
    </row>
    <row r="305" ht="14.5">
      <c r="B305" t="s">
        <v>695</v>
      </c>
    </row>
    <row r="306" ht="14.5">
      <c r="B306" t="s">
        <v>695</v>
      </c>
    </row>
    <row r="307" ht="14.5">
      <c r="B307" t="s">
        <v>695</v>
      </c>
    </row>
    <row r="308" ht="14.5">
      <c r="B308" t="s">
        <v>695</v>
      </c>
    </row>
    <row r="309" ht="14.5">
      <c r="B309" t="s">
        <v>695</v>
      </c>
    </row>
    <row r="310" ht="14.5">
      <c r="B310" t="s">
        <v>695</v>
      </c>
    </row>
    <row r="311" ht="14.5">
      <c r="B311" t="s">
        <v>695</v>
      </c>
    </row>
    <row r="312" ht="14.5">
      <c r="B312" t="s">
        <v>695</v>
      </c>
    </row>
    <row r="313" ht="14.5">
      <c r="B313" t="s">
        <v>695</v>
      </c>
    </row>
    <row r="314" ht="14.5">
      <c r="B314" t="s">
        <v>695</v>
      </c>
    </row>
    <row r="315" ht="14.5">
      <c r="B315" t="s">
        <v>695</v>
      </c>
    </row>
    <row r="316" ht="14.5">
      <c r="B316" t="s">
        <v>695</v>
      </c>
    </row>
    <row r="317" ht="14.5">
      <c r="B317" t="s">
        <v>695</v>
      </c>
    </row>
    <row r="318" ht="14.5">
      <c r="B318" t="s">
        <v>695</v>
      </c>
    </row>
    <row r="319" ht="14.5">
      <c r="B319" t="s">
        <v>695</v>
      </c>
    </row>
    <row r="320" ht="14.5">
      <c r="B320" t="s">
        <v>695</v>
      </c>
    </row>
    <row r="321" ht="14.5">
      <c r="B321" t="s">
        <v>695</v>
      </c>
    </row>
    <row r="322" ht="14.5">
      <c r="B322" t="s">
        <v>695</v>
      </c>
    </row>
    <row r="323" ht="14.5">
      <c r="B323" t="s">
        <v>695</v>
      </c>
    </row>
    <row r="324" ht="14.5">
      <c r="B324" t="s">
        <v>695</v>
      </c>
    </row>
    <row r="325" ht="14.5">
      <c r="B325" t="s">
        <v>695</v>
      </c>
    </row>
    <row r="326" ht="14.5">
      <c r="B326" t="s">
        <v>695</v>
      </c>
    </row>
    <row r="327" ht="14.5">
      <c r="B327" t="s">
        <v>695</v>
      </c>
    </row>
    <row r="328" ht="14.5">
      <c r="B328" t="s">
        <v>695</v>
      </c>
    </row>
    <row r="329" ht="14.5">
      <c r="B329" t="s">
        <v>695</v>
      </c>
    </row>
    <row r="330" ht="14.5">
      <c r="B330" t="s">
        <v>695</v>
      </c>
    </row>
    <row r="331" ht="14.5">
      <c r="B331" t="s">
        <v>695</v>
      </c>
    </row>
    <row r="332" ht="14.5">
      <c r="B332" t="s">
        <v>695</v>
      </c>
    </row>
    <row r="333" ht="14.5">
      <c r="B333" t="s">
        <v>695</v>
      </c>
    </row>
    <row r="334" ht="14.5">
      <c r="B334" t="s">
        <v>695</v>
      </c>
    </row>
    <row r="335" ht="14.5">
      <c r="B335" t="s">
        <v>695</v>
      </c>
    </row>
    <row r="336" ht="14.5">
      <c r="B336" t="s">
        <v>695</v>
      </c>
    </row>
    <row r="337" ht="14.5">
      <c r="B337" t="s">
        <v>695</v>
      </c>
    </row>
    <row r="338" ht="14.5">
      <c r="B338" t="s">
        <v>695</v>
      </c>
    </row>
    <row r="339" ht="14.5">
      <c r="B339" t="s">
        <v>695</v>
      </c>
    </row>
    <row r="340" ht="14.5">
      <c r="B340" t="s">
        <v>695</v>
      </c>
    </row>
    <row r="341" ht="14.5">
      <c r="B341" t="s">
        <v>695</v>
      </c>
    </row>
    <row r="342" ht="14.5">
      <c r="B342" t="s">
        <v>695</v>
      </c>
    </row>
    <row r="343" ht="14.5">
      <c r="B343" t="s">
        <v>695</v>
      </c>
    </row>
    <row r="344" ht="14.5">
      <c r="B344" t="s">
        <v>695</v>
      </c>
    </row>
    <row r="345" ht="14.5">
      <c r="B345" t="s">
        <v>695</v>
      </c>
    </row>
    <row r="346" ht="14.5">
      <c r="B346" t="s">
        <v>695</v>
      </c>
    </row>
    <row r="347" ht="14.5">
      <c r="B347" t="s">
        <v>695</v>
      </c>
    </row>
    <row r="348" ht="14.5">
      <c r="B348" t="s">
        <v>695</v>
      </c>
    </row>
    <row r="349" ht="14.5">
      <c r="B349" t="s">
        <v>695</v>
      </c>
    </row>
    <row r="350" ht="14.5">
      <c r="B350" t="s">
        <v>695</v>
      </c>
    </row>
    <row r="351" ht="14.5">
      <c r="B351" t="s">
        <v>695</v>
      </c>
    </row>
    <row r="352" ht="14.5">
      <c r="B352" t="s">
        <v>695</v>
      </c>
    </row>
    <row r="353" ht="14.5">
      <c r="B353" t="s">
        <v>695</v>
      </c>
    </row>
    <row r="354" ht="14.5">
      <c r="B354" t="s">
        <v>695</v>
      </c>
    </row>
    <row r="355" ht="14.5">
      <c r="B355" t="s">
        <v>695</v>
      </c>
    </row>
    <row r="356" ht="14.5">
      <c r="B356" t="s">
        <v>695</v>
      </c>
    </row>
    <row r="357" ht="14.5">
      <c r="B357" t="s">
        <v>695</v>
      </c>
    </row>
    <row r="358" ht="14.5">
      <c r="B358" t="s">
        <v>695</v>
      </c>
    </row>
    <row r="359" ht="14.5">
      <c r="B359" t="s">
        <v>695</v>
      </c>
    </row>
    <row r="360" ht="14.5">
      <c r="B360" t="s">
        <v>695</v>
      </c>
    </row>
    <row r="361" ht="14.5">
      <c r="B361" t="s">
        <v>695</v>
      </c>
    </row>
    <row r="362" ht="14.5">
      <c r="B362" t="s">
        <v>695</v>
      </c>
    </row>
    <row r="363" ht="14.5">
      <c r="B363" t="s">
        <v>695</v>
      </c>
    </row>
    <row r="364" ht="14.5">
      <c r="B364" t="s">
        <v>695</v>
      </c>
    </row>
    <row r="365" ht="14.5">
      <c r="B365" t="s">
        <v>695</v>
      </c>
    </row>
    <row r="366" ht="14.5">
      <c r="B366" t="s">
        <v>695</v>
      </c>
    </row>
    <row r="367" ht="14.5">
      <c r="B367" t="s">
        <v>695</v>
      </c>
    </row>
    <row r="368" ht="14.5">
      <c r="B368" t="s">
        <v>695</v>
      </c>
    </row>
    <row r="369" ht="14.5">
      <c r="B369" t="s">
        <v>695</v>
      </c>
    </row>
    <row r="370" ht="14.5">
      <c r="B370" t="s">
        <v>695</v>
      </c>
    </row>
    <row r="371" ht="14.5">
      <c r="B371" t="s">
        <v>695</v>
      </c>
    </row>
    <row r="372" ht="14.5">
      <c r="B372" t="s">
        <v>695</v>
      </c>
    </row>
    <row r="373" ht="14.5">
      <c r="B373" t="s">
        <v>695</v>
      </c>
    </row>
    <row r="374" ht="14.5">
      <c r="B374" t="s">
        <v>695</v>
      </c>
    </row>
    <row r="375" ht="14.5">
      <c r="B375" t="s">
        <v>695</v>
      </c>
    </row>
    <row r="376" ht="14.5">
      <c r="B376" t="s">
        <v>695</v>
      </c>
    </row>
    <row r="377" ht="14.5">
      <c r="B377" t="s">
        <v>695</v>
      </c>
    </row>
    <row r="378" ht="14.5">
      <c r="B378" t="s">
        <v>695</v>
      </c>
    </row>
    <row r="379" ht="14.5">
      <c r="B379" t="s">
        <v>695</v>
      </c>
    </row>
    <row r="380" ht="14.5">
      <c r="B380" t="s">
        <v>695</v>
      </c>
    </row>
    <row r="381" ht="14.5">
      <c r="B381" t="s">
        <v>695</v>
      </c>
    </row>
    <row r="382" ht="14.5">
      <c r="B382" t="s">
        <v>695</v>
      </c>
    </row>
    <row r="383" ht="14.5">
      <c r="B383" t="s">
        <v>695</v>
      </c>
    </row>
    <row r="384" ht="14.5">
      <c r="B384" t="s">
        <v>695</v>
      </c>
    </row>
    <row r="385" ht="14.5">
      <c r="B385" t="s">
        <v>695</v>
      </c>
    </row>
    <row r="386" ht="14.5">
      <c r="B386" t="s">
        <v>695</v>
      </c>
    </row>
    <row r="387" ht="14.5">
      <c r="B387" t="s">
        <v>695</v>
      </c>
    </row>
    <row r="388" ht="14.5">
      <c r="B388" t="s">
        <v>695</v>
      </c>
    </row>
    <row r="389" ht="14.5">
      <c r="B389" t="s">
        <v>695</v>
      </c>
    </row>
    <row r="390" ht="14.5">
      <c r="B390" t="s">
        <v>695</v>
      </c>
    </row>
    <row r="391" ht="14.5">
      <c r="B391" t="s">
        <v>695</v>
      </c>
    </row>
    <row r="392" ht="14.5">
      <c r="B392" t="s">
        <v>695</v>
      </c>
    </row>
    <row r="393" ht="14.5">
      <c r="B393" t="s">
        <v>695</v>
      </c>
    </row>
    <row r="394" ht="14.5">
      <c r="B394" t="s">
        <v>695</v>
      </c>
    </row>
    <row r="395" ht="14.5">
      <c r="B395" t="s">
        <v>695</v>
      </c>
    </row>
    <row r="396" ht="14.5">
      <c r="B396" t="s">
        <v>695</v>
      </c>
    </row>
    <row r="397" ht="14.5">
      <c r="B397" t="s">
        <v>695</v>
      </c>
    </row>
    <row r="398" ht="14.5">
      <c r="B398" t="s">
        <v>695</v>
      </c>
    </row>
    <row r="399" ht="14.5">
      <c r="B399" t="s">
        <v>695</v>
      </c>
    </row>
    <row r="400" ht="14.5">
      <c r="B400" t="s">
        <v>695</v>
      </c>
    </row>
    <row r="401" ht="14.5">
      <c r="B401" t="s">
        <v>695</v>
      </c>
    </row>
    <row r="402" ht="14.5">
      <c r="B402" t="s">
        <v>695</v>
      </c>
    </row>
    <row r="403" ht="14.5">
      <c r="B403" t="s">
        <v>695</v>
      </c>
    </row>
    <row r="404" ht="14.5">
      <c r="B404" t="s">
        <v>695</v>
      </c>
    </row>
    <row r="405" ht="14.5">
      <c r="B405" t="s">
        <v>695</v>
      </c>
    </row>
    <row r="406" ht="14.5">
      <c r="B406" t="s">
        <v>695</v>
      </c>
    </row>
    <row r="407" ht="14.5">
      <c r="B407" t="s">
        <v>695</v>
      </c>
    </row>
    <row r="408" ht="14.5">
      <c r="B408" t="s">
        <v>695</v>
      </c>
    </row>
    <row r="409" ht="14.5">
      <c r="B409" t="s">
        <v>695</v>
      </c>
    </row>
    <row r="410" ht="14.5">
      <c r="B410" t="s">
        <v>695</v>
      </c>
    </row>
    <row r="411" ht="14.5">
      <c r="B411" t="s">
        <v>695</v>
      </c>
    </row>
    <row r="412" ht="14.5">
      <c r="B412" t="s">
        <v>695</v>
      </c>
    </row>
    <row r="413" ht="14.5">
      <c r="B413" t="s">
        <v>695</v>
      </c>
    </row>
    <row r="414" ht="14.5">
      <c r="B414" t="s">
        <v>695</v>
      </c>
    </row>
    <row r="415" ht="14.5">
      <c r="B415" t="s">
        <v>695</v>
      </c>
    </row>
    <row r="416" ht="14.5">
      <c r="B416" t="s">
        <v>695</v>
      </c>
    </row>
    <row r="417" ht="14.5">
      <c r="B417" t="s">
        <v>695</v>
      </c>
    </row>
    <row r="418" ht="14.5">
      <c r="B418" t="s">
        <v>695</v>
      </c>
    </row>
    <row r="419" ht="14.5">
      <c r="B419" t="s">
        <v>695</v>
      </c>
    </row>
    <row r="420" ht="14.5">
      <c r="B420" t="s">
        <v>695</v>
      </c>
    </row>
    <row r="421" ht="14.5">
      <c r="B421" t="s">
        <v>695</v>
      </c>
    </row>
    <row r="422" ht="14.5">
      <c r="B422" t="s">
        <v>695</v>
      </c>
    </row>
    <row r="423" ht="14.5">
      <c r="B423" t="s">
        <v>695</v>
      </c>
    </row>
    <row r="424" ht="14.5">
      <c r="B424" t="s">
        <v>695</v>
      </c>
    </row>
    <row r="425" ht="14.5">
      <c r="B425" t="s">
        <v>695</v>
      </c>
    </row>
    <row r="426" ht="14.5">
      <c r="B426" t="s">
        <v>695</v>
      </c>
    </row>
    <row r="427" ht="14.5">
      <c r="B427" t="s">
        <v>695</v>
      </c>
    </row>
    <row r="428" ht="14.5">
      <c r="B428" t="s">
        <v>695</v>
      </c>
    </row>
    <row r="429" ht="14.5">
      <c r="B429" t="s">
        <v>695</v>
      </c>
    </row>
    <row r="430" ht="14.5">
      <c r="B430" t="s">
        <v>695</v>
      </c>
    </row>
    <row r="431" ht="14.5">
      <c r="B431" t="s">
        <v>695</v>
      </c>
    </row>
    <row r="432" ht="14.5">
      <c r="B432" t="s">
        <v>695</v>
      </c>
    </row>
    <row r="433" ht="14.5">
      <c r="B433" t="s">
        <v>695</v>
      </c>
    </row>
    <row r="434" ht="14.5">
      <c r="B434" t="s">
        <v>695</v>
      </c>
    </row>
    <row r="435" ht="14.5">
      <c r="B435" t="s">
        <v>695</v>
      </c>
    </row>
    <row r="436" ht="14.5">
      <c r="B436" t="s">
        <v>695</v>
      </c>
    </row>
    <row r="437" ht="14.5">
      <c r="B437" t="s">
        <v>695</v>
      </c>
    </row>
    <row r="438" ht="14.5">
      <c r="B438" t="s">
        <v>695</v>
      </c>
    </row>
    <row r="439" ht="14.5">
      <c r="B439" t="s">
        <v>695</v>
      </c>
    </row>
    <row r="440" ht="14.5">
      <c r="B440" t="s">
        <v>695</v>
      </c>
    </row>
    <row r="441" ht="14.5">
      <c r="B441" t="s">
        <v>695</v>
      </c>
    </row>
    <row r="442" ht="14.5">
      <c r="B442" t="s">
        <v>695</v>
      </c>
    </row>
    <row r="443" ht="14.5">
      <c r="B443" t="s">
        <v>695</v>
      </c>
    </row>
    <row r="444" ht="14.5">
      <c r="B444" t="s">
        <v>695</v>
      </c>
    </row>
    <row r="445" ht="14.5">
      <c r="B445" t="s">
        <v>695</v>
      </c>
    </row>
    <row r="446" ht="14.5">
      <c r="B446" t="s">
        <v>695</v>
      </c>
    </row>
    <row r="447" ht="14.5">
      <c r="B447" t="s">
        <v>695</v>
      </c>
    </row>
    <row r="448" ht="14.5">
      <c r="B448" t="s">
        <v>695</v>
      </c>
    </row>
    <row r="449" ht="14.5">
      <c r="B449" t="s">
        <v>695</v>
      </c>
    </row>
    <row r="450" ht="14.5">
      <c r="B450" t="s">
        <v>695</v>
      </c>
    </row>
    <row r="451" ht="14.5">
      <c r="B451" t="s">
        <v>695</v>
      </c>
    </row>
    <row r="452" ht="14.5">
      <c r="B452" t="s">
        <v>695</v>
      </c>
    </row>
    <row r="453" ht="14.5">
      <c r="B453" t="s">
        <v>695</v>
      </c>
    </row>
    <row r="454" ht="14.5">
      <c r="B454" t="s">
        <v>695</v>
      </c>
    </row>
    <row r="455" ht="14.5">
      <c r="B455" t="s">
        <v>695</v>
      </c>
    </row>
    <row r="456" ht="14.5">
      <c r="B456" t="s">
        <v>695</v>
      </c>
    </row>
    <row r="457" ht="14.5">
      <c r="B457" t="s">
        <v>695</v>
      </c>
    </row>
    <row r="458" ht="14.5">
      <c r="B458" t="s">
        <v>695</v>
      </c>
    </row>
    <row r="459" ht="14.5">
      <c r="B459" t="s">
        <v>695</v>
      </c>
    </row>
    <row r="460" ht="14.5">
      <c r="B460" t="s">
        <v>695</v>
      </c>
    </row>
    <row r="461" ht="14.5">
      <c r="B461" t="s">
        <v>695</v>
      </c>
    </row>
    <row r="462" ht="14.5">
      <c r="B462" t="s">
        <v>695</v>
      </c>
    </row>
    <row r="463" ht="14.5">
      <c r="B463" t="s">
        <v>695</v>
      </c>
    </row>
    <row r="464" ht="14.5">
      <c r="B464" t="s">
        <v>695</v>
      </c>
    </row>
    <row r="465" ht="14.5">
      <c r="B465" t="s">
        <v>695</v>
      </c>
    </row>
    <row r="466" ht="14.5">
      <c r="B466" t="s">
        <v>695</v>
      </c>
    </row>
    <row r="467" ht="14.5">
      <c r="B467" t="s">
        <v>695</v>
      </c>
    </row>
    <row r="468" ht="14.5">
      <c r="B468" t="s">
        <v>695</v>
      </c>
    </row>
    <row r="469" ht="14.5">
      <c r="B469" t="s">
        <v>695</v>
      </c>
    </row>
    <row r="470" ht="14.5">
      <c r="B470" t="s">
        <v>695</v>
      </c>
    </row>
    <row r="471" ht="14.5">
      <c r="B471" t="s">
        <v>695</v>
      </c>
    </row>
    <row r="472" ht="14.5">
      <c r="B472" t="s">
        <v>695</v>
      </c>
    </row>
    <row r="473" ht="14.5">
      <c r="B473" t="s">
        <v>695</v>
      </c>
    </row>
    <row r="474" ht="14.5">
      <c r="B474" t="s">
        <v>695</v>
      </c>
    </row>
    <row r="475" ht="14.5">
      <c r="B475" t="s">
        <v>695</v>
      </c>
    </row>
    <row r="476" ht="14.5">
      <c r="B476" t="s">
        <v>695</v>
      </c>
    </row>
    <row r="477" ht="14.5">
      <c r="B477" t="s">
        <v>695</v>
      </c>
    </row>
    <row r="478" ht="14.5">
      <c r="B478" t="s">
        <v>695</v>
      </c>
    </row>
    <row r="479" ht="14.5">
      <c r="B479" t="s">
        <v>695</v>
      </c>
    </row>
    <row r="480" ht="14.5">
      <c r="B480" t="s">
        <v>695</v>
      </c>
    </row>
    <row r="481" ht="14.5">
      <c r="B481" t="s">
        <v>695</v>
      </c>
    </row>
    <row r="482" ht="14.5">
      <c r="B482" t="s">
        <v>695</v>
      </c>
    </row>
    <row r="483" ht="14.5">
      <c r="B483" t="s">
        <v>695</v>
      </c>
    </row>
    <row r="484" ht="14.5">
      <c r="B484" t="s">
        <v>695</v>
      </c>
    </row>
    <row r="485" ht="14.5">
      <c r="B485" t="s">
        <v>695</v>
      </c>
    </row>
    <row r="486" ht="14.5">
      <c r="B486" t="s">
        <v>695</v>
      </c>
    </row>
    <row r="487" ht="14.5">
      <c r="B487" t="s">
        <v>695</v>
      </c>
    </row>
    <row r="488" ht="14.5">
      <c r="B488" t="s">
        <v>695</v>
      </c>
    </row>
    <row r="489" ht="14.5">
      <c r="B489" t="s">
        <v>695</v>
      </c>
    </row>
    <row r="490" ht="14.5">
      <c r="B490" t="s">
        <v>695</v>
      </c>
    </row>
    <row r="491" ht="14.5">
      <c r="B491" t="s">
        <v>695</v>
      </c>
    </row>
    <row r="492" ht="14.5">
      <c r="B492" t="s">
        <v>695</v>
      </c>
    </row>
    <row r="493" ht="14.5">
      <c r="B493" t="s">
        <v>695</v>
      </c>
    </row>
    <row r="494" ht="14.5">
      <c r="B494" t="s">
        <v>695</v>
      </c>
    </row>
    <row r="495" ht="14.5">
      <c r="B495" t="s">
        <v>695</v>
      </c>
    </row>
    <row r="496" ht="14.5">
      <c r="B496" t="s">
        <v>695</v>
      </c>
    </row>
    <row r="497" ht="14.5">
      <c r="B497" t="s">
        <v>695</v>
      </c>
    </row>
    <row r="498" ht="14.5">
      <c r="B498" t="s">
        <v>695</v>
      </c>
    </row>
    <row r="499" ht="14.5">
      <c r="B499" t="s">
        <v>695</v>
      </c>
    </row>
    <row r="500" ht="14.5">
      <c r="B500" t="s">
        <v>695</v>
      </c>
    </row>
    <row r="501" ht="14.5">
      <c r="B501" t="s">
        <v>695</v>
      </c>
    </row>
    <row r="502" ht="14.5">
      <c r="B502" t="s">
        <v>695</v>
      </c>
    </row>
    <row r="503" ht="14.5">
      <c r="B503" t="s">
        <v>695</v>
      </c>
    </row>
    <row r="504" ht="14.5">
      <c r="B504" t="s">
        <v>695</v>
      </c>
    </row>
    <row r="505" ht="14.5">
      <c r="B505" t="s">
        <v>695</v>
      </c>
    </row>
    <row r="506" ht="14.5">
      <c r="B506" t="s">
        <v>695</v>
      </c>
    </row>
    <row r="507" ht="14.5">
      <c r="B507" t="s">
        <v>695</v>
      </c>
    </row>
    <row r="508" ht="14.5">
      <c r="B508" t="s">
        <v>695</v>
      </c>
    </row>
    <row r="509" ht="14.5">
      <c r="B509" t="s">
        <v>695</v>
      </c>
    </row>
    <row r="510" ht="14.5">
      <c r="B510" t="s">
        <v>695</v>
      </c>
    </row>
    <row r="511" ht="14.5">
      <c r="B511" t="s">
        <v>695</v>
      </c>
    </row>
    <row r="512" ht="14.5">
      <c r="B512" t="s">
        <v>695</v>
      </c>
    </row>
    <row r="513" ht="14.5">
      <c r="B513" t="s">
        <v>695</v>
      </c>
    </row>
    <row r="514" ht="14.5">
      <c r="B514" t="s">
        <v>695</v>
      </c>
    </row>
    <row r="515" ht="14.5">
      <c r="B515" t="s">
        <v>695</v>
      </c>
    </row>
    <row r="516" ht="14.5">
      <c r="B516" t="s">
        <v>695</v>
      </c>
    </row>
    <row r="517" ht="14.5">
      <c r="B517" t="s">
        <v>695</v>
      </c>
    </row>
    <row r="518" ht="14.5">
      <c r="B518" t="s">
        <v>695</v>
      </c>
    </row>
    <row r="519" ht="14.5">
      <c r="B519" t="s">
        <v>695</v>
      </c>
    </row>
    <row r="520" ht="14.5">
      <c r="B520" t="s">
        <v>695</v>
      </c>
    </row>
    <row r="521" ht="14.5">
      <c r="B521" t="s">
        <v>695</v>
      </c>
    </row>
    <row r="522" ht="14.5">
      <c r="B522" t="s">
        <v>695</v>
      </c>
    </row>
    <row r="523" ht="14.5">
      <c r="B523" t="s">
        <v>695</v>
      </c>
    </row>
    <row r="524" ht="14.5">
      <c r="B524" t="s">
        <v>695</v>
      </c>
    </row>
    <row r="525" ht="14.5">
      <c r="B525" t="s">
        <v>695</v>
      </c>
    </row>
    <row r="526" ht="14.5">
      <c r="B526" t="s">
        <v>695</v>
      </c>
    </row>
    <row r="527" ht="14.5">
      <c r="B527" t="s">
        <v>695</v>
      </c>
    </row>
    <row r="528" ht="14.5">
      <c r="B528" t="s">
        <v>695</v>
      </c>
    </row>
    <row r="529" ht="14.5">
      <c r="B529" t="s">
        <v>695</v>
      </c>
    </row>
    <row r="530" ht="14.5">
      <c r="B530" t="s">
        <v>695</v>
      </c>
    </row>
    <row r="531" ht="14.5">
      <c r="B531" t="s">
        <v>695</v>
      </c>
    </row>
    <row r="532" ht="14.5">
      <c r="B532" t="s">
        <v>695</v>
      </c>
    </row>
    <row r="533" ht="14.5">
      <c r="B533" t="s">
        <v>695</v>
      </c>
    </row>
    <row r="534" ht="14.5">
      <c r="B534" t="s">
        <v>695</v>
      </c>
    </row>
    <row r="535" ht="14.5">
      <c r="B535" t="s">
        <v>695</v>
      </c>
    </row>
    <row r="536" ht="14.5">
      <c r="B536" t="s">
        <v>695</v>
      </c>
    </row>
    <row r="537" ht="14.5">
      <c r="B537" t="s">
        <v>695</v>
      </c>
    </row>
    <row r="538" ht="14.5">
      <c r="B538" t="s">
        <v>695</v>
      </c>
    </row>
    <row r="539" ht="14.5">
      <c r="B539" t="s">
        <v>695</v>
      </c>
    </row>
    <row r="540" ht="14.5">
      <c r="B540" t="s">
        <v>695</v>
      </c>
    </row>
    <row r="541" ht="14.5">
      <c r="B541" t="s">
        <v>695</v>
      </c>
    </row>
    <row r="542" ht="14.5">
      <c r="B542" t="s">
        <v>695</v>
      </c>
    </row>
    <row r="543" ht="14.5">
      <c r="B543" t="s">
        <v>695</v>
      </c>
    </row>
    <row r="544" ht="14.5">
      <c r="B544" t="s">
        <v>695</v>
      </c>
    </row>
    <row r="545" ht="14.5">
      <c r="B545" t="s">
        <v>695</v>
      </c>
    </row>
    <row r="546" ht="14.5">
      <c r="B546" t="s">
        <v>695</v>
      </c>
    </row>
    <row r="547" ht="14.5">
      <c r="B547" t="s">
        <v>695</v>
      </c>
    </row>
    <row r="548" ht="14.5">
      <c r="B548" t="s">
        <v>695</v>
      </c>
    </row>
    <row r="549" ht="14.5">
      <c r="B549" t="s">
        <v>695</v>
      </c>
    </row>
    <row r="550" ht="14.5">
      <c r="B550" t="s">
        <v>695</v>
      </c>
    </row>
    <row r="551" ht="14.5">
      <c r="B551" t="s">
        <v>695</v>
      </c>
    </row>
    <row r="552" ht="14.5">
      <c r="B552" t="s">
        <v>695</v>
      </c>
    </row>
    <row r="553" ht="14.5">
      <c r="B553" t="s">
        <v>695</v>
      </c>
    </row>
    <row r="554" ht="14.5">
      <c r="B554" t="s">
        <v>695</v>
      </c>
    </row>
    <row r="555" ht="14.5">
      <c r="B555" t="s">
        <v>695</v>
      </c>
    </row>
    <row r="556" ht="14.5">
      <c r="B556" t="s">
        <v>695</v>
      </c>
    </row>
    <row r="557" ht="14.5">
      <c r="B557" t="s">
        <v>695</v>
      </c>
    </row>
    <row r="558" ht="14.5">
      <c r="B558" t="s">
        <v>695</v>
      </c>
    </row>
    <row r="559" ht="14.5">
      <c r="B559" t="s">
        <v>695</v>
      </c>
    </row>
    <row r="560" ht="14.5">
      <c r="B560" t="s">
        <v>695</v>
      </c>
    </row>
    <row r="561" ht="14.5">
      <c r="B561" t="s">
        <v>695</v>
      </c>
    </row>
    <row r="562" ht="14.5">
      <c r="B562" t="s">
        <v>695</v>
      </c>
    </row>
    <row r="563" ht="14.5">
      <c r="B563" t="s">
        <v>695</v>
      </c>
    </row>
    <row r="564" ht="14.5">
      <c r="B564" t="s">
        <v>695</v>
      </c>
    </row>
    <row r="565" ht="14.5">
      <c r="B565" t="s">
        <v>695</v>
      </c>
    </row>
    <row r="566" ht="14.5">
      <c r="B566" t="s">
        <v>695</v>
      </c>
    </row>
    <row r="567" ht="14.5">
      <c r="B567" t="s">
        <v>695</v>
      </c>
    </row>
    <row r="568" ht="14.5">
      <c r="B568" t="s">
        <v>695</v>
      </c>
    </row>
    <row r="569" ht="14.5">
      <c r="B569" t="s">
        <v>695</v>
      </c>
    </row>
    <row r="570" ht="14.5">
      <c r="B570" t="s">
        <v>695</v>
      </c>
    </row>
    <row r="571" ht="14.5">
      <c r="B571" t="s">
        <v>695</v>
      </c>
    </row>
    <row r="572" ht="14.5">
      <c r="B572" t="s">
        <v>695</v>
      </c>
    </row>
    <row r="573" ht="14.5">
      <c r="B573" t="s">
        <v>695</v>
      </c>
    </row>
    <row r="574" ht="14.5">
      <c r="B574" t="s">
        <v>695</v>
      </c>
    </row>
    <row r="575" ht="14.5">
      <c r="B575" t="s">
        <v>695</v>
      </c>
    </row>
    <row r="576" ht="14.5">
      <c r="B576" t="s">
        <v>695</v>
      </c>
    </row>
    <row r="577" ht="14.5">
      <c r="B577" t="s">
        <v>695</v>
      </c>
    </row>
    <row r="578" ht="14.5">
      <c r="B578" t="s">
        <v>695</v>
      </c>
    </row>
    <row r="579" ht="14.5">
      <c r="B579" t="s">
        <v>695</v>
      </c>
    </row>
    <row r="580" ht="14.5">
      <c r="B580" t="s">
        <v>695</v>
      </c>
    </row>
    <row r="581" ht="14.5">
      <c r="B581" t="s">
        <v>695</v>
      </c>
    </row>
    <row r="582" ht="14.5">
      <c r="B582" t="s">
        <v>695</v>
      </c>
    </row>
    <row r="583" ht="14.5">
      <c r="B583" t="s">
        <v>695</v>
      </c>
    </row>
    <row r="584" ht="14.5">
      <c r="B584" t="s">
        <v>695</v>
      </c>
    </row>
    <row r="585" ht="14.5">
      <c r="B585" t="s">
        <v>695</v>
      </c>
    </row>
    <row r="586" ht="14.5">
      <c r="B586" t="s">
        <v>695</v>
      </c>
    </row>
    <row r="587" ht="14.5">
      <c r="B587" t="s">
        <v>695</v>
      </c>
    </row>
    <row r="588" ht="14.5">
      <c r="B588" t="s">
        <v>695</v>
      </c>
    </row>
    <row r="589" ht="14.5">
      <c r="B589" t="s">
        <v>695</v>
      </c>
    </row>
    <row r="590" ht="14.5">
      <c r="B590" t="s">
        <v>695</v>
      </c>
    </row>
    <row r="591" ht="14.5">
      <c r="B591" t="s">
        <v>695</v>
      </c>
    </row>
    <row r="592" ht="14.5">
      <c r="B592" t="s">
        <v>695</v>
      </c>
    </row>
    <row r="593" ht="14.5">
      <c r="B593" t="s">
        <v>695</v>
      </c>
    </row>
    <row r="594" ht="14.5">
      <c r="B594" t="s">
        <v>695</v>
      </c>
    </row>
    <row r="595" ht="14.5">
      <c r="B595" t="s">
        <v>695</v>
      </c>
    </row>
    <row r="596" ht="14.5">
      <c r="B596" t="s">
        <v>695</v>
      </c>
    </row>
    <row r="597" ht="14.5">
      <c r="B597" t="s">
        <v>695</v>
      </c>
    </row>
    <row r="598" ht="14.5">
      <c r="B598" t="s">
        <v>695</v>
      </c>
    </row>
    <row r="599" ht="14.5">
      <c r="B599" t="s">
        <v>695</v>
      </c>
    </row>
    <row r="600" ht="14.5">
      <c r="B600" t="s">
        <v>695</v>
      </c>
    </row>
    <row r="601" ht="14.5">
      <c r="B601" t="s">
        <v>695</v>
      </c>
    </row>
    <row r="602" ht="14.5">
      <c r="B602" t="s">
        <v>695</v>
      </c>
    </row>
    <row r="603" ht="14.5">
      <c r="B603" t="s">
        <v>695</v>
      </c>
    </row>
    <row r="604" ht="14.5">
      <c r="B604" t="s">
        <v>695</v>
      </c>
    </row>
    <row r="605" ht="14.5">
      <c r="B605" t="s">
        <v>695</v>
      </c>
    </row>
    <row r="606" ht="14.5">
      <c r="B606" t="s">
        <v>695</v>
      </c>
    </row>
    <row r="607" ht="14.5">
      <c r="B607" t="s">
        <v>695</v>
      </c>
    </row>
    <row r="608" ht="14.5">
      <c r="B608" t="s">
        <v>695</v>
      </c>
    </row>
    <row r="609" ht="14.5">
      <c r="B609" t="s">
        <v>695</v>
      </c>
    </row>
    <row r="610" ht="14.5">
      <c r="B610" t="s">
        <v>695</v>
      </c>
    </row>
    <row r="611" ht="14.5">
      <c r="B611" t="s">
        <v>695</v>
      </c>
    </row>
    <row r="612" ht="14.5">
      <c r="B612" t="s">
        <v>695</v>
      </c>
    </row>
    <row r="613" ht="14.5">
      <c r="B613" t="s">
        <v>695</v>
      </c>
    </row>
    <row r="614" ht="14.5">
      <c r="B614" t="s">
        <v>695</v>
      </c>
    </row>
    <row r="615" ht="14.5">
      <c r="B615" t="s">
        <v>695</v>
      </c>
    </row>
    <row r="616" ht="14.5">
      <c r="B616" t="s">
        <v>695</v>
      </c>
    </row>
    <row r="617" ht="14.5">
      <c r="B617" t="s">
        <v>695</v>
      </c>
    </row>
    <row r="618" ht="14.5">
      <c r="B618" t="s">
        <v>695</v>
      </c>
    </row>
    <row r="619" ht="14.5">
      <c r="B619" t="s">
        <v>695</v>
      </c>
    </row>
    <row r="620" ht="14.5">
      <c r="B620" t="s">
        <v>695</v>
      </c>
    </row>
    <row r="621" ht="14.5">
      <c r="B621" t="s">
        <v>695</v>
      </c>
    </row>
    <row r="622" ht="14.5">
      <c r="B622" t="s">
        <v>695</v>
      </c>
    </row>
    <row r="623" ht="14.5">
      <c r="B623" t="s">
        <v>695</v>
      </c>
    </row>
    <row r="624" ht="14.5">
      <c r="B624" t="s">
        <v>695</v>
      </c>
    </row>
    <row r="625" ht="14.5">
      <c r="B625" t="s">
        <v>695</v>
      </c>
    </row>
    <row r="626" ht="14.5">
      <c r="B626" t="s">
        <v>695</v>
      </c>
    </row>
    <row r="627" ht="14.5">
      <c r="B627" t="s">
        <v>695</v>
      </c>
    </row>
    <row r="628" ht="14.5">
      <c r="B628" t="s">
        <v>695</v>
      </c>
    </row>
    <row r="629" ht="14.5">
      <c r="B629" t="s">
        <v>695</v>
      </c>
    </row>
    <row r="630" ht="14.5">
      <c r="B630" t="s">
        <v>695</v>
      </c>
    </row>
    <row r="631" ht="14.5">
      <c r="B631" t="s">
        <v>695</v>
      </c>
    </row>
    <row r="632" ht="14.5">
      <c r="B632" t="s">
        <v>695</v>
      </c>
    </row>
    <row r="633" ht="14.5">
      <c r="B633" t="s">
        <v>695</v>
      </c>
    </row>
    <row r="634" ht="14.5">
      <c r="B634" t="s">
        <v>695</v>
      </c>
    </row>
    <row r="635" ht="14.5">
      <c r="B635" t="s">
        <v>695</v>
      </c>
    </row>
    <row r="636" ht="14.5">
      <c r="B636" t="s">
        <v>695</v>
      </c>
    </row>
    <row r="637" ht="14.5">
      <c r="B637" t="s">
        <v>695</v>
      </c>
    </row>
    <row r="638" ht="14.5">
      <c r="B638" t="s">
        <v>695</v>
      </c>
    </row>
    <row r="639" ht="14.5">
      <c r="B639" t="s">
        <v>695</v>
      </c>
    </row>
    <row r="640" ht="14.5">
      <c r="B640" t="s">
        <v>695</v>
      </c>
    </row>
    <row r="641" ht="14.5">
      <c r="B641" t="s">
        <v>695</v>
      </c>
    </row>
    <row r="642" ht="14.5">
      <c r="B642" t="s">
        <v>695</v>
      </c>
    </row>
    <row r="643" ht="14.5">
      <c r="B643" t="s">
        <v>695</v>
      </c>
    </row>
    <row r="644" ht="14.5">
      <c r="B644" t="s">
        <v>695</v>
      </c>
    </row>
    <row r="645" ht="14.5">
      <c r="B645" t="s">
        <v>695</v>
      </c>
    </row>
    <row r="646" ht="14.5">
      <c r="B646" t="s">
        <v>695</v>
      </c>
    </row>
    <row r="647" ht="14.5">
      <c r="B647" t="s">
        <v>695</v>
      </c>
    </row>
    <row r="648" ht="14.5">
      <c r="B648" t="s">
        <v>695</v>
      </c>
    </row>
    <row r="649" ht="14.5">
      <c r="B649" t="s">
        <v>695</v>
      </c>
    </row>
  </sheetData>
  <hyperlinks>
    <hyperlink ref="A1" location="MENU!A1" display="MENU"/>
  </hyperlinks>
</worksheet>
</file>

<file path=xl/worksheets/sheet10.xml><?xml version="1.0" encoding="utf-8"?>
<worksheet xmlns:r="http://schemas.openxmlformats.org/officeDocument/2006/relationships" xmlns="http://schemas.openxmlformats.org/spreadsheetml/2006/main">
  <sheetPr>
    <tabColor rgb="FF92D050"/>
  </sheetPr>
  <sheetViews>
    <sheetView workbookViewId="0">
      <selection activeCell="D43" sqref="D43"/>
    </sheetView>
  </sheetViews>
  <sheetFormatPr defaultRowHeight="15"/>
  <cols>
    <col min="1" max="1" width="68.57031" style="11" customWidth="1"/>
    <col min="2" max="2" width="50.57031" style="11" customWidth="1"/>
    <col min="3" max="62" width="10.57031" bestFit="1" customWidth="1"/>
  </cols>
  <sheetData>
    <row r="1">
      <c r="A1" s="22" t="s">
        <v>107</v>
      </c>
      <c r="B1" s="22" t="s">
        <v>697</v>
      </c>
      <c r="C1" s="20">
        <f>+EOMONTH(MENU!B1,1)</f>
        <v>45961</v>
      </c>
      <c r="D1" s="20">
        <f>+EOMONTH(C1,1)</f>
        <v>45991</v>
      </c>
      <c r="E1" s="20">
        <f t="shared" ref="E1:BJ1" si="0">+EOMONTH(D1,1)</f>
        <v>46022</v>
      </c>
      <c r="F1" s="20">
        <f t="shared" si="0"/>
        <v>46053</v>
      </c>
      <c r="G1" s="20">
        <f t="shared" si="0"/>
        <v>46081</v>
      </c>
      <c r="H1" s="20">
        <f t="shared" si="0"/>
        <v>46112</v>
      </c>
      <c r="I1" s="20">
        <f t="shared" si="0"/>
        <v>46142</v>
      </c>
      <c r="J1" s="20">
        <f t="shared" si="0"/>
        <v>46173</v>
      </c>
      <c r="K1" s="20">
        <f t="shared" si="0"/>
        <v>46203</v>
      </c>
      <c r="L1" s="20">
        <f t="shared" si="0"/>
        <v>46234</v>
      </c>
      <c r="M1" s="20">
        <f t="shared" si="0"/>
        <v>46265</v>
      </c>
      <c r="N1" s="20">
        <f t="shared" si="0"/>
        <v>46295</v>
      </c>
      <c r="O1" s="20">
        <f t="shared" si="0"/>
        <v>46326</v>
      </c>
      <c r="P1" s="20">
        <f t="shared" si="0"/>
        <v>46356</v>
      </c>
      <c r="Q1" s="20">
        <f t="shared" si="0"/>
        <v>46387</v>
      </c>
      <c r="R1" s="20">
        <f t="shared" si="0"/>
        <v>46418</v>
      </c>
      <c r="S1" s="20">
        <f t="shared" si="0"/>
        <v>46446</v>
      </c>
      <c r="T1" s="20">
        <f t="shared" si="0"/>
        <v>46477</v>
      </c>
      <c r="U1" s="20">
        <f t="shared" si="0"/>
        <v>46507</v>
      </c>
      <c r="V1" s="20">
        <f t="shared" si="0"/>
        <v>46538</v>
      </c>
      <c r="W1" s="20">
        <f t="shared" si="0"/>
        <v>46568</v>
      </c>
      <c r="X1" s="20">
        <f t="shared" si="0"/>
        <v>46599</v>
      </c>
      <c r="Y1" s="20">
        <f t="shared" si="0"/>
        <v>46630</v>
      </c>
      <c r="Z1" s="20">
        <f t="shared" si="0"/>
        <v>46660</v>
      </c>
      <c r="AA1" s="20">
        <f t="shared" si="0"/>
        <v>46691</v>
      </c>
      <c r="AB1" s="20">
        <f t="shared" si="0"/>
        <v>46721</v>
      </c>
      <c r="AC1" s="20">
        <f t="shared" si="0"/>
        <v>46752</v>
      </c>
      <c r="AD1" s="20">
        <f t="shared" si="0"/>
        <v>46783</v>
      </c>
      <c r="AE1" s="20">
        <f t="shared" si="0"/>
        <v>46812</v>
      </c>
      <c r="AF1" s="20">
        <f t="shared" si="0"/>
        <v>46843</v>
      </c>
      <c r="AG1" s="20">
        <f t="shared" si="0"/>
        <v>46873</v>
      </c>
      <c r="AH1" s="20">
        <f t="shared" si="0"/>
        <v>46904</v>
      </c>
      <c r="AI1" s="20">
        <f t="shared" si="0"/>
        <v>46934</v>
      </c>
      <c r="AJ1" s="20">
        <f t="shared" si="0"/>
        <v>46965</v>
      </c>
      <c r="AK1" s="20">
        <f t="shared" si="0"/>
        <v>46996</v>
      </c>
      <c r="AL1" s="20">
        <f t="shared" si="0"/>
        <v>47026</v>
      </c>
      <c r="AM1" s="20">
        <f t="shared" si="0"/>
        <v>47057</v>
      </c>
      <c r="AN1" s="20">
        <f t="shared" si="0"/>
        <v>47087</v>
      </c>
      <c r="AO1" s="20">
        <f t="shared" si="0"/>
        <v>47118</v>
      </c>
      <c r="AP1" s="20">
        <f t="shared" si="0"/>
        <v>47149</v>
      </c>
      <c r="AQ1" s="20">
        <f t="shared" si="0"/>
        <v>47177</v>
      </c>
      <c r="AR1" s="20">
        <f t="shared" si="0"/>
        <v>47208</v>
      </c>
      <c r="AS1" s="20">
        <f t="shared" si="0"/>
        <v>47238</v>
      </c>
      <c r="AT1" s="20">
        <f t="shared" si="0"/>
        <v>47269</v>
      </c>
      <c r="AU1" s="20">
        <f t="shared" si="0"/>
        <v>47299</v>
      </c>
      <c r="AV1" s="20">
        <f t="shared" si="0"/>
        <v>47330</v>
      </c>
      <c r="AW1" s="20">
        <f t="shared" si="0"/>
        <v>47361</v>
      </c>
      <c r="AX1" s="20">
        <f t="shared" si="0"/>
        <v>47391</v>
      </c>
      <c r="AY1" s="20">
        <f t="shared" si="0"/>
        <v>47422</v>
      </c>
      <c r="AZ1" s="20">
        <f t="shared" si="0"/>
        <v>47452</v>
      </c>
      <c r="BA1" s="20">
        <f t="shared" si="0"/>
        <v>47483</v>
      </c>
      <c r="BB1" s="20">
        <f t="shared" si="0"/>
        <v>47514</v>
      </c>
      <c r="BC1" s="20">
        <f t="shared" si="0"/>
        <v>47542</v>
      </c>
      <c r="BD1" s="20">
        <f t="shared" si="0"/>
        <v>47573</v>
      </c>
      <c r="BE1" s="20">
        <f t="shared" si="0"/>
        <v>47603</v>
      </c>
      <c r="BF1" s="20">
        <f t="shared" si="0"/>
        <v>47634</v>
      </c>
      <c r="BG1" s="20">
        <f t="shared" si="0"/>
        <v>47664</v>
      </c>
      <c r="BH1" s="20">
        <f t="shared" si="0"/>
        <v>47695</v>
      </c>
      <c r="BI1" s="20">
        <f t="shared" si="0"/>
        <v>47726</v>
      </c>
      <c r="BJ1" s="20">
        <f t="shared" si="0"/>
        <v>47756</v>
      </c>
    </row>
    <row r="2">
      <c r="A2" s="11" t="s">
        <v>358</v>
      </c>
      <c r="B2" s="11" t="s">
        <v>359</v>
      </c>
      <c r="C2">
        <v>-300000</v>
      </c>
      <c r="D2">
        <v>-300000</v>
      </c>
      <c r="E2">
        <v>-300000</v>
      </c>
      <c r="F2">
        <v>-300000</v>
      </c>
      <c r="G2">
        <v>-300000</v>
      </c>
      <c r="H2">
        <v>-300000</v>
      </c>
      <c r="I2">
        <v>-300000</v>
      </c>
      <c r="J2">
        <v>-300000</v>
      </c>
      <c r="K2">
        <v>-300000</v>
      </c>
      <c r="L2">
        <v>-300000</v>
      </c>
      <c r="M2">
        <v>-300000</v>
      </c>
      <c r="N2">
        <v>-300000</v>
      </c>
      <c r="O2">
        <v>-300000</v>
      </c>
      <c r="P2">
        <v>-300000</v>
      </c>
      <c r="Q2">
        <v>-300000</v>
      </c>
      <c r="R2">
        <v>-300000</v>
      </c>
      <c r="S2">
        <v>-300000</v>
      </c>
      <c r="T2">
        <v>-300000</v>
      </c>
      <c r="U2">
        <v>-300000</v>
      </c>
      <c r="V2">
        <v>-300000</v>
      </c>
      <c r="W2">
        <v>-300000</v>
      </c>
      <c r="X2">
        <v>-300000</v>
      </c>
      <c r="Y2">
        <v>-300000</v>
      </c>
      <c r="Z2">
        <v>-300000</v>
      </c>
      <c r="AA2">
        <v>-300000</v>
      </c>
      <c r="AB2">
        <v>-300000</v>
      </c>
      <c r="AC2">
        <v>-300000</v>
      </c>
      <c r="AD2">
        <v>-300000</v>
      </c>
      <c r="AE2">
        <v>-300000</v>
      </c>
      <c r="AF2">
        <v>-300000</v>
      </c>
      <c r="AG2">
        <v>-300000</v>
      </c>
      <c r="AH2">
        <v>-300000</v>
      </c>
      <c r="AI2">
        <v>-300000</v>
      </c>
      <c r="AJ2">
        <v>-300000</v>
      </c>
      <c r="AK2">
        <v>-300000</v>
      </c>
      <c r="AL2">
        <v>-300000</v>
      </c>
      <c r="AM2">
        <v>-300000</v>
      </c>
      <c r="AN2">
        <v>-300000</v>
      </c>
    </row>
    <row r="3">
      <c r="A3" s="11" t="s">
        <v>361</v>
      </c>
      <c r="B3" s="11" t="s">
        <v>359</v>
      </c>
    </row>
    <row r="4">
      <c r="A4" s="11" t="s">
        <v>363</v>
      </c>
      <c r="B4" s="11" t="s">
        <v>359</v>
      </c>
    </row>
    <row r="5">
      <c r="A5" s="11" t="s">
        <v>365</v>
      </c>
      <c r="B5" s="11" t="s">
        <v>359</v>
      </c>
    </row>
    <row r="6">
      <c r="A6" s="11" t="s">
        <v>367</v>
      </c>
      <c r="B6" s="11" t="s">
        <v>359</v>
      </c>
    </row>
    <row r="7">
      <c r="A7" s="11" t="s">
        <v>369</v>
      </c>
      <c r="B7" s="11" t="s">
        <v>359</v>
      </c>
    </row>
    <row r="8">
      <c r="A8" s="11" t="s">
        <v>371</v>
      </c>
      <c r="B8" s="11" t="s">
        <v>359</v>
      </c>
    </row>
    <row r="9">
      <c r="A9" s="11" t="s">
        <v>373</v>
      </c>
      <c r="B9" s="11" t="s">
        <v>359</v>
      </c>
      <c r="C9">
        <v>-15000</v>
      </c>
      <c r="D9">
        <v>-15000</v>
      </c>
      <c r="E9">
        <v>-15000</v>
      </c>
      <c r="F9">
        <v>-15000</v>
      </c>
      <c r="G9">
        <v>-15000</v>
      </c>
      <c r="H9">
        <v>-15000</v>
      </c>
      <c r="I9">
        <v>-15000</v>
      </c>
      <c r="J9">
        <v>-15000</v>
      </c>
      <c r="K9">
        <v>-15000</v>
      </c>
      <c r="L9">
        <v>-15000</v>
      </c>
      <c r="M9">
        <v>-15000</v>
      </c>
      <c r="N9">
        <v>-15000</v>
      </c>
      <c r="O9">
        <v>-15000</v>
      </c>
      <c r="P9">
        <v>-15000</v>
      </c>
      <c r="Q9">
        <v>-15000</v>
      </c>
      <c r="R9">
        <v>-15000</v>
      </c>
      <c r="S9">
        <v>-15000</v>
      </c>
      <c r="T9">
        <v>-15000</v>
      </c>
      <c r="U9">
        <v>-15000</v>
      </c>
      <c r="V9">
        <v>-15000</v>
      </c>
      <c r="W9">
        <v>-15000</v>
      </c>
      <c r="X9">
        <v>-15000</v>
      </c>
      <c r="Y9">
        <v>-15000</v>
      </c>
      <c r="Z9">
        <v>-15000</v>
      </c>
      <c r="AA9">
        <v>-15000</v>
      </c>
      <c r="AB9">
        <v>-15000</v>
      </c>
      <c r="AC9">
        <v>-15000</v>
      </c>
      <c r="AD9">
        <v>-15000</v>
      </c>
      <c r="AE9">
        <v>-15000</v>
      </c>
      <c r="AF9">
        <v>-15000</v>
      </c>
      <c r="AG9">
        <v>-15000</v>
      </c>
      <c r="AH9">
        <v>-15000</v>
      </c>
      <c r="AI9">
        <v>-15000</v>
      </c>
      <c r="AJ9">
        <v>-15000</v>
      </c>
      <c r="AK9">
        <v>-15000</v>
      </c>
      <c r="AL9">
        <v>-15000</v>
      </c>
      <c r="AM9">
        <v>-15000</v>
      </c>
      <c r="AN9">
        <v>-15000</v>
      </c>
    </row>
    <row r="10">
      <c r="A10" s="11" t="s">
        <v>375</v>
      </c>
      <c r="B10" s="11" t="s">
        <v>359</v>
      </c>
    </row>
    <row r="11">
      <c r="A11" s="11" t="s">
        <v>377</v>
      </c>
      <c r="B11" s="11" t="s">
        <v>359</v>
      </c>
    </row>
    <row r="12">
      <c r="A12" s="11" t="s">
        <v>379</v>
      </c>
      <c r="B12" s="11" t="s">
        <v>359</v>
      </c>
    </row>
    <row r="13">
      <c r="A13" s="11" t="s">
        <v>381</v>
      </c>
      <c r="B13" s="11" t="s">
        <v>359</v>
      </c>
    </row>
    <row r="14">
      <c r="A14" s="11" t="s">
        <v>425</v>
      </c>
      <c r="B14" s="11" t="s">
        <v>426</v>
      </c>
    </row>
    <row r="15">
      <c r="A15" s="11" t="s">
        <v>428</v>
      </c>
      <c r="B15" s="11" t="s">
        <v>426</v>
      </c>
    </row>
    <row r="16">
      <c r="A16" s="11" t="s">
        <v>430</v>
      </c>
      <c r="B16" s="11" t="s">
        <v>431</v>
      </c>
      <c r="C16">
        <v>116667</v>
      </c>
      <c r="D16">
        <v>116663</v>
      </c>
      <c r="E16">
        <v>116667</v>
      </c>
      <c r="F16">
        <v>116667</v>
      </c>
      <c r="G16">
        <v>116667</v>
      </c>
      <c r="H16">
        <v>116667</v>
      </c>
      <c r="I16">
        <v>116667</v>
      </c>
      <c r="J16">
        <v>116667</v>
      </c>
      <c r="K16">
        <v>116667</v>
      </c>
      <c r="L16">
        <v>116667</v>
      </c>
      <c r="M16">
        <v>116667</v>
      </c>
      <c r="N16">
        <v>116667</v>
      </c>
      <c r="O16">
        <v>116667</v>
      </c>
      <c r="P16">
        <v>116663</v>
      </c>
      <c r="Q16">
        <v>116667</v>
      </c>
      <c r="R16">
        <v>116667</v>
      </c>
      <c r="S16">
        <v>116667</v>
      </c>
      <c r="T16">
        <v>116667</v>
      </c>
      <c r="U16">
        <v>116667</v>
      </c>
      <c r="V16">
        <v>116667</v>
      </c>
      <c r="W16">
        <v>116667</v>
      </c>
      <c r="X16">
        <v>116667</v>
      </c>
      <c r="Y16">
        <v>116667</v>
      </c>
      <c r="Z16">
        <v>116667</v>
      </c>
      <c r="AA16">
        <v>116667</v>
      </c>
      <c r="AB16">
        <v>116663</v>
      </c>
      <c r="AC16">
        <v>116667</v>
      </c>
      <c r="AD16">
        <v>116667</v>
      </c>
      <c r="AE16">
        <v>116667</v>
      </c>
      <c r="AF16">
        <v>116667</v>
      </c>
      <c r="AG16">
        <v>116667</v>
      </c>
      <c r="AH16">
        <v>116667</v>
      </c>
      <c r="AI16">
        <v>116667</v>
      </c>
      <c r="AJ16">
        <v>116667</v>
      </c>
      <c r="AK16">
        <v>116667</v>
      </c>
      <c r="AL16">
        <v>116667</v>
      </c>
      <c r="AM16">
        <v>116667</v>
      </c>
      <c r="AN16">
        <v>116663</v>
      </c>
    </row>
    <row r="17">
      <c r="A17" s="11" t="s">
        <v>433</v>
      </c>
      <c r="B17" s="11" t="s">
        <v>431</v>
      </c>
    </row>
    <row r="18">
      <c r="A18" s="11" t="s">
        <v>435</v>
      </c>
      <c r="B18" s="11" t="s">
        <v>431</v>
      </c>
    </row>
    <row r="19">
      <c r="A19" s="11" t="s">
        <v>437</v>
      </c>
      <c r="B19" s="11" t="s">
        <v>431</v>
      </c>
      <c r="C19">
        <v>400</v>
      </c>
      <c r="D19">
        <v>400</v>
      </c>
      <c r="E19">
        <v>400</v>
      </c>
      <c r="F19">
        <v>400</v>
      </c>
      <c r="G19">
        <v>400</v>
      </c>
      <c r="H19">
        <v>400</v>
      </c>
      <c r="I19">
        <v>400</v>
      </c>
      <c r="J19">
        <v>400</v>
      </c>
      <c r="K19">
        <v>400</v>
      </c>
      <c r="L19">
        <v>400</v>
      </c>
      <c r="M19">
        <v>400</v>
      </c>
      <c r="N19">
        <v>400</v>
      </c>
      <c r="O19">
        <v>400</v>
      </c>
      <c r="P19">
        <v>400</v>
      </c>
      <c r="Q19">
        <v>400</v>
      </c>
      <c r="R19">
        <v>400</v>
      </c>
      <c r="S19">
        <v>400</v>
      </c>
      <c r="T19">
        <v>400</v>
      </c>
      <c r="U19">
        <v>400</v>
      </c>
      <c r="V19">
        <v>400</v>
      </c>
      <c r="W19">
        <v>400</v>
      </c>
      <c r="X19">
        <v>400</v>
      </c>
      <c r="Y19">
        <v>400</v>
      </c>
      <c r="Z19">
        <v>400</v>
      </c>
      <c r="AA19">
        <v>400</v>
      </c>
      <c r="AB19">
        <v>400</v>
      </c>
      <c r="AC19">
        <v>400</v>
      </c>
      <c r="AD19">
        <v>400</v>
      </c>
      <c r="AE19">
        <v>400</v>
      </c>
      <c r="AF19">
        <v>400</v>
      </c>
      <c r="AG19">
        <v>400</v>
      </c>
      <c r="AH19">
        <v>400</v>
      </c>
      <c r="AI19">
        <v>400</v>
      </c>
      <c r="AJ19">
        <v>400</v>
      </c>
      <c r="AK19">
        <v>400</v>
      </c>
      <c r="AL19">
        <v>400</v>
      </c>
      <c r="AM19">
        <v>400</v>
      </c>
      <c r="AN19">
        <v>400</v>
      </c>
    </row>
    <row r="20">
      <c r="A20" s="11" t="s">
        <v>439</v>
      </c>
      <c r="B20" s="11" t="s">
        <v>431</v>
      </c>
      <c r="C20">
        <v>10833</v>
      </c>
      <c r="D20">
        <v>10833</v>
      </c>
      <c r="E20">
        <v>10833</v>
      </c>
      <c r="F20">
        <v>10833</v>
      </c>
      <c r="G20">
        <v>10833</v>
      </c>
      <c r="H20">
        <v>10833</v>
      </c>
      <c r="I20">
        <v>10833</v>
      </c>
      <c r="J20">
        <v>10833</v>
      </c>
      <c r="K20">
        <v>10833</v>
      </c>
      <c r="L20">
        <v>10833</v>
      </c>
      <c r="M20">
        <v>10833</v>
      </c>
      <c r="N20">
        <v>10833</v>
      </c>
      <c r="O20">
        <v>10833</v>
      </c>
      <c r="P20">
        <v>10833</v>
      </c>
      <c r="Q20">
        <v>10833</v>
      </c>
      <c r="R20">
        <v>10833</v>
      </c>
      <c r="S20">
        <v>10833</v>
      </c>
      <c r="T20">
        <v>10833</v>
      </c>
      <c r="U20">
        <v>10833</v>
      </c>
      <c r="V20">
        <v>10833</v>
      </c>
      <c r="W20">
        <v>10833</v>
      </c>
      <c r="X20">
        <v>10833</v>
      </c>
      <c r="Y20">
        <v>10833</v>
      </c>
      <c r="Z20">
        <v>10833</v>
      </c>
      <c r="AA20">
        <v>10833</v>
      </c>
      <c r="AB20">
        <v>10833</v>
      </c>
      <c r="AC20">
        <v>10833</v>
      </c>
      <c r="AD20">
        <v>10833</v>
      </c>
      <c r="AE20">
        <v>10833</v>
      </c>
      <c r="AF20">
        <v>10833</v>
      </c>
      <c r="AG20">
        <v>10833</v>
      </c>
      <c r="AH20">
        <v>10833</v>
      </c>
      <c r="AI20">
        <v>10833</v>
      </c>
      <c r="AJ20">
        <v>10833</v>
      </c>
      <c r="AK20">
        <v>10833</v>
      </c>
      <c r="AL20">
        <v>10833</v>
      </c>
      <c r="AM20">
        <v>10833</v>
      </c>
      <c r="AN20">
        <v>10833</v>
      </c>
    </row>
    <row r="21">
      <c r="A21" s="11" t="s">
        <v>441</v>
      </c>
      <c r="B21" s="11" t="s">
        <v>431</v>
      </c>
      <c r="C21">
        <v>30000</v>
      </c>
      <c r="D21">
        <v>30000</v>
      </c>
      <c r="E21">
        <v>30000</v>
      </c>
      <c r="F21">
        <v>30000</v>
      </c>
      <c r="G21">
        <v>30000</v>
      </c>
      <c r="H21">
        <v>30000</v>
      </c>
      <c r="I21">
        <v>30000</v>
      </c>
      <c r="J21">
        <v>30000</v>
      </c>
      <c r="K21">
        <v>30000</v>
      </c>
      <c r="L21">
        <v>30000</v>
      </c>
      <c r="M21">
        <v>30000</v>
      </c>
      <c r="N21">
        <v>30000</v>
      </c>
      <c r="O21">
        <v>30000</v>
      </c>
      <c r="P21">
        <v>30000</v>
      </c>
      <c r="Q21">
        <v>30000</v>
      </c>
      <c r="R21">
        <v>30000</v>
      </c>
      <c r="S21">
        <v>30000</v>
      </c>
      <c r="T21">
        <v>30000</v>
      </c>
      <c r="U21">
        <v>30000</v>
      </c>
      <c r="V21">
        <v>30000</v>
      </c>
      <c r="W21">
        <v>30000</v>
      </c>
      <c r="X21">
        <v>30000</v>
      </c>
      <c r="Y21">
        <v>30000</v>
      </c>
      <c r="Z21">
        <v>30000</v>
      </c>
      <c r="AA21">
        <v>30000</v>
      </c>
      <c r="AB21">
        <v>30000</v>
      </c>
      <c r="AC21">
        <v>30000</v>
      </c>
      <c r="AD21">
        <v>30000</v>
      </c>
      <c r="AE21">
        <v>30000</v>
      </c>
      <c r="AF21">
        <v>30000</v>
      </c>
      <c r="AG21">
        <v>30000</v>
      </c>
      <c r="AH21">
        <v>30000</v>
      </c>
      <c r="AI21">
        <v>30000</v>
      </c>
      <c r="AJ21">
        <v>30000</v>
      </c>
      <c r="AK21">
        <v>30000</v>
      </c>
      <c r="AL21">
        <v>30000</v>
      </c>
      <c r="AM21">
        <v>30000</v>
      </c>
      <c r="AN21">
        <v>30000</v>
      </c>
    </row>
    <row r="22">
      <c r="A22" s="11" t="s">
        <v>443</v>
      </c>
      <c r="B22" s="11" t="s">
        <v>444</v>
      </c>
      <c r="C22">
        <v>3000</v>
      </c>
      <c r="D22">
        <v>3000</v>
      </c>
      <c r="E22">
        <v>3000</v>
      </c>
      <c r="F22">
        <v>3000</v>
      </c>
      <c r="G22">
        <v>3000</v>
      </c>
      <c r="H22">
        <v>3000</v>
      </c>
      <c r="I22">
        <v>3000</v>
      </c>
      <c r="J22">
        <v>3000</v>
      </c>
      <c r="K22">
        <v>3000</v>
      </c>
      <c r="L22">
        <v>3000</v>
      </c>
      <c r="M22">
        <v>3000</v>
      </c>
      <c r="N22">
        <v>3000</v>
      </c>
      <c r="O22">
        <v>3000</v>
      </c>
      <c r="P22">
        <v>3000</v>
      </c>
      <c r="Q22">
        <v>3000</v>
      </c>
      <c r="R22">
        <v>3000</v>
      </c>
      <c r="S22">
        <v>3000</v>
      </c>
      <c r="T22">
        <v>3000</v>
      </c>
      <c r="U22">
        <v>3000</v>
      </c>
      <c r="V22">
        <v>3000</v>
      </c>
      <c r="W22">
        <v>3000</v>
      </c>
      <c r="X22">
        <v>3000</v>
      </c>
      <c r="Y22">
        <v>3000</v>
      </c>
      <c r="Z22">
        <v>3000</v>
      </c>
      <c r="AA22">
        <v>3000</v>
      </c>
      <c r="AB22">
        <v>3000</v>
      </c>
      <c r="AC22">
        <v>3000</v>
      </c>
      <c r="AD22">
        <v>3000</v>
      </c>
      <c r="AE22">
        <v>3000</v>
      </c>
      <c r="AF22">
        <v>3000</v>
      </c>
      <c r="AG22">
        <v>3000</v>
      </c>
      <c r="AH22">
        <v>3000</v>
      </c>
      <c r="AI22">
        <v>3000</v>
      </c>
      <c r="AJ22">
        <v>3000</v>
      </c>
      <c r="AK22">
        <v>3000</v>
      </c>
      <c r="AL22">
        <v>3000</v>
      </c>
      <c r="AM22">
        <v>3000</v>
      </c>
      <c r="AN22">
        <v>3000</v>
      </c>
    </row>
    <row r="23">
      <c r="A23" s="11" t="s">
        <v>446</v>
      </c>
      <c r="B23" s="11" t="s">
        <v>444</v>
      </c>
    </row>
    <row r="24">
      <c r="A24" s="11" t="s">
        <v>448</v>
      </c>
      <c r="B24" s="11" t="s">
        <v>444</v>
      </c>
    </row>
    <row r="25">
      <c r="A25" s="11" t="s">
        <v>450</v>
      </c>
      <c r="B25" s="11" t="s">
        <v>431</v>
      </c>
    </row>
    <row r="26">
      <c r="A26" s="11" t="s">
        <v>452</v>
      </c>
      <c r="B26" s="11" t="s">
        <v>444</v>
      </c>
      <c r="C26">
        <v>5000</v>
      </c>
      <c r="D26">
        <v>5000</v>
      </c>
      <c r="E26">
        <v>5000</v>
      </c>
      <c r="F26">
        <v>5000</v>
      </c>
      <c r="G26">
        <v>5000</v>
      </c>
      <c r="H26">
        <v>5000</v>
      </c>
      <c r="I26">
        <v>5000</v>
      </c>
      <c r="J26">
        <v>5000</v>
      </c>
      <c r="K26">
        <v>5000</v>
      </c>
      <c r="L26">
        <v>5000</v>
      </c>
      <c r="M26">
        <v>5000</v>
      </c>
      <c r="N26">
        <v>5000</v>
      </c>
      <c r="O26">
        <v>5000</v>
      </c>
      <c r="P26">
        <v>5000</v>
      </c>
      <c r="Q26">
        <v>5000</v>
      </c>
      <c r="R26">
        <v>5000</v>
      </c>
      <c r="S26">
        <v>5000</v>
      </c>
      <c r="T26">
        <v>5000</v>
      </c>
      <c r="U26">
        <v>5000</v>
      </c>
      <c r="V26">
        <v>5000</v>
      </c>
      <c r="W26">
        <v>5000</v>
      </c>
      <c r="X26">
        <v>5000</v>
      </c>
      <c r="Y26">
        <v>5000</v>
      </c>
      <c r="Z26">
        <v>5000</v>
      </c>
      <c r="AA26">
        <v>5000</v>
      </c>
      <c r="AB26">
        <v>5000</v>
      </c>
      <c r="AC26">
        <v>5000</v>
      </c>
      <c r="AD26">
        <v>5000</v>
      </c>
      <c r="AE26">
        <v>5000</v>
      </c>
      <c r="AF26">
        <v>5000</v>
      </c>
      <c r="AG26">
        <v>5000</v>
      </c>
      <c r="AH26">
        <v>5000</v>
      </c>
      <c r="AI26">
        <v>5000</v>
      </c>
      <c r="AJ26">
        <v>5000</v>
      </c>
      <c r="AK26">
        <v>5000</v>
      </c>
      <c r="AL26">
        <v>5000</v>
      </c>
      <c r="AM26">
        <v>5000</v>
      </c>
      <c r="AN26">
        <v>5000</v>
      </c>
    </row>
    <row r="27">
      <c r="A27" s="11" t="s">
        <v>454</v>
      </c>
      <c r="B27" s="11" t="s">
        <v>444</v>
      </c>
    </row>
    <row r="28">
      <c r="A28" s="11" t="s">
        <v>456</v>
      </c>
      <c r="B28" s="11" t="s">
        <v>444</v>
      </c>
      <c r="C28">
        <v>800</v>
      </c>
      <c r="D28">
        <v>800</v>
      </c>
      <c r="E28">
        <v>800</v>
      </c>
      <c r="F28">
        <v>800</v>
      </c>
      <c r="G28">
        <v>800</v>
      </c>
      <c r="H28">
        <v>800</v>
      </c>
      <c r="I28">
        <v>800</v>
      </c>
      <c r="J28">
        <v>800</v>
      </c>
      <c r="K28">
        <v>800</v>
      </c>
      <c r="L28">
        <v>800</v>
      </c>
      <c r="M28">
        <v>800</v>
      </c>
      <c r="N28">
        <v>800</v>
      </c>
      <c r="O28">
        <v>800</v>
      </c>
      <c r="P28">
        <v>800</v>
      </c>
      <c r="Q28">
        <v>800</v>
      </c>
      <c r="R28">
        <v>800</v>
      </c>
      <c r="S28">
        <v>800</v>
      </c>
      <c r="T28">
        <v>800</v>
      </c>
      <c r="U28">
        <v>800</v>
      </c>
      <c r="V28">
        <v>800</v>
      </c>
      <c r="W28">
        <v>800</v>
      </c>
      <c r="X28">
        <v>800</v>
      </c>
      <c r="Y28">
        <v>800</v>
      </c>
      <c r="Z28">
        <v>800</v>
      </c>
      <c r="AA28">
        <v>800</v>
      </c>
      <c r="AB28">
        <v>800</v>
      </c>
      <c r="AC28">
        <v>800</v>
      </c>
      <c r="AD28">
        <v>800</v>
      </c>
      <c r="AE28">
        <v>800</v>
      </c>
      <c r="AF28">
        <v>800</v>
      </c>
      <c r="AG28">
        <v>800</v>
      </c>
      <c r="AH28">
        <v>800</v>
      </c>
      <c r="AI28">
        <v>800</v>
      </c>
      <c r="AJ28">
        <v>800</v>
      </c>
      <c r="AK28">
        <v>800</v>
      </c>
      <c r="AL28">
        <v>800</v>
      </c>
      <c r="AM28">
        <v>800</v>
      </c>
      <c r="AN28">
        <v>800</v>
      </c>
    </row>
    <row r="29">
      <c r="A29" s="11" t="s">
        <v>458</v>
      </c>
      <c r="B29" s="11" t="s">
        <v>444</v>
      </c>
    </row>
    <row r="30">
      <c r="A30" s="11" t="s">
        <v>460</v>
      </c>
      <c r="B30" s="11" t="s">
        <v>444</v>
      </c>
    </row>
    <row r="31">
      <c r="A31" s="11" t="s">
        <v>462</v>
      </c>
      <c r="B31" s="11" t="s">
        <v>444</v>
      </c>
    </row>
    <row r="32">
      <c r="A32" s="11" t="s">
        <v>464</v>
      </c>
      <c r="B32" s="11" t="s">
        <v>444</v>
      </c>
      <c r="C32">
        <v>833</v>
      </c>
      <c r="D32">
        <v>833</v>
      </c>
      <c r="E32">
        <v>833</v>
      </c>
      <c r="F32">
        <v>833</v>
      </c>
      <c r="G32">
        <v>833</v>
      </c>
      <c r="H32">
        <v>833</v>
      </c>
      <c r="I32">
        <v>833</v>
      </c>
      <c r="J32">
        <v>833</v>
      </c>
      <c r="K32">
        <v>833</v>
      </c>
      <c r="L32">
        <v>833</v>
      </c>
      <c r="M32">
        <v>833</v>
      </c>
      <c r="N32">
        <v>833</v>
      </c>
      <c r="O32">
        <v>833</v>
      </c>
      <c r="P32">
        <v>833</v>
      </c>
      <c r="Q32">
        <v>833</v>
      </c>
      <c r="R32">
        <v>833</v>
      </c>
      <c r="S32">
        <v>833</v>
      </c>
      <c r="T32">
        <v>833</v>
      </c>
      <c r="U32">
        <v>833</v>
      </c>
      <c r="V32">
        <v>833</v>
      </c>
      <c r="W32">
        <v>833</v>
      </c>
      <c r="X32">
        <v>833</v>
      </c>
      <c r="Y32">
        <v>833</v>
      </c>
      <c r="Z32">
        <v>833</v>
      </c>
      <c r="AA32">
        <v>833</v>
      </c>
      <c r="AB32">
        <v>833</v>
      </c>
      <c r="AC32">
        <v>833</v>
      </c>
      <c r="AD32">
        <v>833</v>
      </c>
      <c r="AE32">
        <v>833</v>
      </c>
      <c r="AF32">
        <v>833</v>
      </c>
      <c r="AG32">
        <v>833</v>
      </c>
      <c r="AH32">
        <v>833</v>
      </c>
      <c r="AI32">
        <v>833</v>
      </c>
      <c r="AJ32">
        <v>833</v>
      </c>
      <c r="AK32">
        <v>833</v>
      </c>
      <c r="AL32">
        <v>833</v>
      </c>
      <c r="AM32">
        <v>833</v>
      </c>
      <c r="AN32">
        <v>833</v>
      </c>
    </row>
    <row r="33">
      <c r="A33" s="11" t="s">
        <v>466</v>
      </c>
      <c r="B33" s="11" t="s">
        <v>444</v>
      </c>
      <c r="C33">
        <v>750</v>
      </c>
      <c r="D33">
        <v>750</v>
      </c>
      <c r="E33">
        <v>750</v>
      </c>
      <c r="F33">
        <v>750</v>
      </c>
      <c r="G33">
        <v>750</v>
      </c>
      <c r="H33">
        <v>750</v>
      </c>
      <c r="I33">
        <v>750</v>
      </c>
      <c r="J33">
        <v>750</v>
      </c>
      <c r="K33">
        <v>750</v>
      </c>
      <c r="L33">
        <v>750</v>
      </c>
      <c r="M33">
        <v>750</v>
      </c>
      <c r="N33">
        <v>750</v>
      </c>
      <c r="O33">
        <v>750</v>
      </c>
      <c r="P33">
        <v>750</v>
      </c>
      <c r="Q33">
        <v>750</v>
      </c>
      <c r="R33">
        <v>750</v>
      </c>
      <c r="S33">
        <v>750</v>
      </c>
      <c r="T33">
        <v>750</v>
      </c>
      <c r="U33">
        <v>750</v>
      </c>
      <c r="V33">
        <v>750</v>
      </c>
      <c r="W33">
        <v>750</v>
      </c>
      <c r="X33">
        <v>750</v>
      </c>
      <c r="Y33">
        <v>750</v>
      </c>
      <c r="Z33">
        <v>750</v>
      </c>
      <c r="AA33">
        <v>750</v>
      </c>
      <c r="AB33">
        <v>750</v>
      </c>
      <c r="AC33">
        <v>750</v>
      </c>
      <c r="AD33">
        <v>750</v>
      </c>
      <c r="AE33">
        <v>750</v>
      </c>
      <c r="AF33">
        <v>750</v>
      </c>
      <c r="AG33">
        <v>750</v>
      </c>
      <c r="AH33">
        <v>750</v>
      </c>
      <c r="AI33">
        <v>750</v>
      </c>
      <c r="AJ33">
        <v>750</v>
      </c>
      <c r="AK33">
        <v>750</v>
      </c>
      <c r="AL33">
        <v>750</v>
      </c>
      <c r="AM33">
        <v>750</v>
      </c>
      <c r="AN33">
        <v>750</v>
      </c>
    </row>
    <row r="34">
      <c r="A34" s="11" t="s">
        <v>468</v>
      </c>
      <c r="B34" s="11" t="s">
        <v>444</v>
      </c>
    </row>
    <row r="35">
      <c r="A35" s="11" t="s">
        <v>470</v>
      </c>
      <c r="B35" s="11" t="s">
        <v>444</v>
      </c>
    </row>
    <row r="36">
      <c r="A36" s="11" t="s">
        <v>472</v>
      </c>
      <c r="B36" s="11" t="s">
        <v>444</v>
      </c>
      <c r="C36">
        <v>1000</v>
      </c>
      <c r="D36">
        <v>1000</v>
      </c>
      <c r="E36">
        <v>1000</v>
      </c>
      <c r="F36">
        <v>1000</v>
      </c>
      <c r="G36">
        <v>1000</v>
      </c>
      <c r="H36">
        <v>1000</v>
      </c>
      <c r="I36">
        <v>1000</v>
      </c>
      <c r="J36">
        <v>1000</v>
      </c>
      <c r="K36">
        <v>1000</v>
      </c>
      <c r="L36">
        <v>1000</v>
      </c>
      <c r="M36">
        <v>1000</v>
      </c>
      <c r="N36">
        <v>1000</v>
      </c>
      <c r="O36">
        <v>1000</v>
      </c>
      <c r="P36">
        <v>1000</v>
      </c>
      <c r="Q36">
        <v>1000</v>
      </c>
      <c r="R36">
        <v>1000</v>
      </c>
      <c r="S36">
        <v>1000</v>
      </c>
      <c r="T36">
        <v>1000</v>
      </c>
      <c r="U36">
        <v>1000</v>
      </c>
      <c r="V36">
        <v>1000</v>
      </c>
      <c r="W36">
        <v>1000</v>
      </c>
      <c r="X36">
        <v>1000</v>
      </c>
      <c r="Y36">
        <v>1000</v>
      </c>
      <c r="Z36">
        <v>1000</v>
      </c>
      <c r="AA36">
        <v>1000</v>
      </c>
      <c r="AB36">
        <v>1000</v>
      </c>
      <c r="AC36">
        <v>1000</v>
      </c>
      <c r="AD36">
        <v>1000</v>
      </c>
      <c r="AE36">
        <v>1000</v>
      </c>
      <c r="AF36">
        <v>1000</v>
      </c>
      <c r="AG36">
        <v>1000</v>
      </c>
      <c r="AH36">
        <v>1000</v>
      </c>
      <c r="AI36">
        <v>1000</v>
      </c>
      <c r="AJ36">
        <v>1000</v>
      </c>
      <c r="AK36">
        <v>1000</v>
      </c>
      <c r="AL36">
        <v>1000</v>
      </c>
      <c r="AM36">
        <v>1000</v>
      </c>
      <c r="AN36">
        <v>1000</v>
      </c>
    </row>
    <row r="37">
      <c r="A37" s="11" t="s">
        <v>474</v>
      </c>
      <c r="B37" s="11" t="s">
        <v>444</v>
      </c>
    </row>
    <row r="38">
      <c r="A38" s="11" t="s">
        <v>476</v>
      </c>
      <c r="B38" s="11" t="s">
        <v>444</v>
      </c>
    </row>
    <row r="39">
      <c r="A39" s="11" t="s">
        <v>478</v>
      </c>
      <c r="B39" s="11" t="s">
        <v>444</v>
      </c>
      <c r="D39">
        <v>10000</v>
      </c>
      <c r="J39">
        <v>10000</v>
      </c>
      <c r="P39">
        <v>10000</v>
      </c>
      <c r="V39">
        <v>10000</v>
      </c>
      <c r="AB39">
        <v>10000</v>
      </c>
      <c r="AH39">
        <v>10000</v>
      </c>
      <c r="AN39">
        <v>10000</v>
      </c>
    </row>
    <row r="40">
      <c r="A40" s="11" t="s">
        <v>480</v>
      </c>
      <c r="B40" s="11" t="s">
        <v>444</v>
      </c>
    </row>
    <row r="41">
      <c r="A41" s="11" t="s">
        <v>482</v>
      </c>
      <c r="B41" s="11" t="s">
        <v>444</v>
      </c>
      <c r="C41">
        <v>800</v>
      </c>
      <c r="D41">
        <v>800</v>
      </c>
      <c r="E41">
        <v>800</v>
      </c>
      <c r="F41">
        <v>800</v>
      </c>
      <c r="G41">
        <v>800</v>
      </c>
      <c r="H41">
        <v>800</v>
      </c>
      <c r="I41">
        <v>800</v>
      </c>
      <c r="J41">
        <v>800</v>
      </c>
      <c r="K41">
        <v>800</v>
      </c>
      <c r="L41">
        <v>800</v>
      </c>
      <c r="M41">
        <v>800</v>
      </c>
      <c r="N41">
        <v>800</v>
      </c>
      <c r="O41">
        <v>800</v>
      </c>
      <c r="P41">
        <v>800</v>
      </c>
      <c r="Q41">
        <v>800</v>
      </c>
      <c r="R41">
        <v>800</v>
      </c>
      <c r="S41">
        <v>800</v>
      </c>
      <c r="T41">
        <v>800</v>
      </c>
      <c r="U41">
        <v>800</v>
      </c>
      <c r="V41">
        <v>800</v>
      </c>
      <c r="W41">
        <v>800</v>
      </c>
      <c r="X41">
        <v>800</v>
      </c>
      <c r="Y41">
        <v>800</v>
      </c>
      <c r="Z41">
        <v>800</v>
      </c>
      <c r="AA41">
        <v>800</v>
      </c>
      <c r="AB41">
        <v>800</v>
      </c>
      <c r="AC41">
        <v>800</v>
      </c>
      <c r="AD41">
        <v>800</v>
      </c>
      <c r="AE41">
        <v>800</v>
      </c>
      <c r="AF41">
        <v>800</v>
      </c>
      <c r="AG41">
        <v>800</v>
      </c>
      <c r="AH41">
        <v>800</v>
      </c>
      <c r="AI41">
        <v>800</v>
      </c>
      <c r="AJ41">
        <v>800</v>
      </c>
      <c r="AK41">
        <v>800</v>
      </c>
      <c r="AL41">
        <v>800</v>
      </c>
      <c r="AM41">
        <v>800</v>
      </c>
      <c r="AN41">
        <v>800</v>
      </c>
    </row>
    <row r="42">
      <c r="A42" s="11" t="s">
        <v>484</v>
      </c>
      <c r="B42" s="11" t="s">
        <v>444</v>
      </c>
      <c r="C42">
        <v>5400</v>
      </c>
      <c r="D42">
        <v>5400</v>
      </c>
      <c r="E42">
        <v>5400</v>
      </c>
      <c r="F42">
        <v>5400</v>
      </c>
      <c r="G42">
        <v>5400</v>
      </c>
      <c r="H42">
        <v>5400</v>
      </c>
      <c r="I42">
        <v>5400</v>
      </c>
      <c r="J42">
        <v>5400</v>
      </c>
      <c r="K42">
        <v>5400</v>
      </c>
      <c r="L42">
        <v>5400</v>
      </c>
      <c r="M42">
        <v>5400</v>
      </c>
      <c r="N42">
        <v>5400</v>
      </c>
      <c r="O42">
        <v>5400</v>
      </c>
      <c r="P42">
        <v>5400</v>
      </c>
      <c r="Q42">
        <v>5400</v>
      </c>
      <c r="R42">
        <v>5400</v>
      </c>
      <c r="S42">
        <v>5400</v>
      </c>
      <c r="T42">
        <v>5400</v>
      </c>
      <c r="U42">
        <v>5400</v>
      </c>
      <c r="V42">
        <v>5400</v>
      </c>
      <c r="W42">
        <v>5400</v>
      </c>
      <c r="X42">
        <v>5400</v>
      </c>
      <c r="Y42">
        <v>5400</v>
      </c>
      <c r="Z42">
        <v>5400</v>
      </c>
      <c r="AA42">
        <v>5400</v>
      </c>
      <c r="AB42">
        <v>5400</v>
      </c>
      <c r="AC42">
        <v>5400</v>
      </c>
      <c r="AD42">
        <v>5400</v>
      </c>
      <c r="AE42">
        <v>5400</v>
      </c>
      <c r="AF42">
        <v>5400</v>
      </c>
      <c r="AG42">
        <v>5400</v>
      </c>
      <c r="AH42">
        <v>5400</v>
      </c>
      <c r="AI42">
        <v>5400</v>
      </c>
      <c r="AJ42">
        <v>5400</v>
      </c>
      <c r="AK42">
        <v>5400</v>
      </c>
      <c r="AL42">
        <v>5400</v>
      </c>
      <c r="AM42">
        <v>5400</v>
      </c>
      <c r="AN42">
        <v>5400</v>
      </c>
    </row>
    <row r="43">
      <c r="A43" s="11" t="s">
        <v>486</v>
      </c>
      <c r="B43" s="11" t="s">
        <v>444</v>
      </c>
      <c r="C43">
        <v>1000</v>
      </c>
      <c r="D43">
        <v>1000</v>
      </c>
      <c r="E43">
        <v>1000</v>
      </c>
      <c r="F43">
        <v>1000</v>
      </c>
      <c r="G43">
        <v>1000</v>
      </c>
      <c r="H43">
        <v>1000</v>
      </c>
      <c r="I43">
        <v>1000</v>
      </c>
      <c r="J43">
        <v>1000</v>
      </c>
      <c r="K43">
        <v>1000</v>
      </c>
      <c r="L43">
        <v>1000</v>
      </c>
      <c r="M43">
        <v>1000</v>
      </c>
      <c r="N43">
        <v>1000</v>
      </c>
      <c r="O43">
        <v>1000</v>
      </c>
      <c r="P43">
        <v>1000</v>
      </c>
      <c r="Q43">
        <v>1000</v>
      </c>
      <c r="R43">
        <v>1000</v>
      </c>
      <c r="S43">
        <v>1000</v>
      </c>
      <c r="T43">
        <v>1000</v>
      </c>
      <c r="U43">
        <v>1000</v>
      </c>
      <c r="V43">
        <v>1000</v>
      </c>
      <c r="W43">
        <v>1000</v>
      </c>
      <c r="X43">
        <v>1000</v>
      </c>
      <c r="Y43">
        <v>1000</v>
      </c>
      <c r="Z43">
        <v>1000</v>
      </c>
      <c r="AA43">
        <v>1000</v>
      </c>
      <c r="AB43">
        <v>1000</v>
      </c>
      <c r="AC43">
        <v>1000</v>
      </c>
      <c r="AD43">
        <v>1000</v>
      </c>
      <c r="AE43">
        <v>1000</v>
      </c>
      <c r="AF43">
        <v>1000</v>
      </c>
      <c r="AG43">
        <v>1000</v>
      </c>
      <c r="AH43">
        <v>1000</v>
      </c>
      <c r="AI43">
        <v>1000</v>
      </c>
      <c r="AJ43">
        <v>1000</v>
      </c>
      <c r="AK43">
        <v>1000</v>
      </c>
      <c r="AL43">
        <v>1000</v>
      </c>
      <c r="AM43">
        <v>1000</v>
      </c>
      <c r="AN43">
        <v>1000</v>
      </c>
    </row>
    <row r="44">
      <c r="A44" s="11" t="s">
        <v>488</v>
      </c>
      <c r="B44" s="11" t="s">
        <v>444</v>
      </c>
    </row>
    <row r="45">
      <c r="A45" s="11" t="s">
        <v>490</v>
      </c>
      <c r="B45" s="11" t="s">
        <v>444</v>
      </c>
    </row>
    <row r="46">
      <c r="A46" s="11" t="s">
        <v>492</v>
      </c>
      <c r="B46" s="11" t="s">
        <v>444</v>
      </c>
    </row>
    <row r="47">
      <c r="A47" s="11" t="s">
        <v>494</v>
      </c>
      <c r="B47" s="11" t="s">
        <v>444</v>
      </c>
    </row>
    <row r="48">
      <c r="A48" s="11" t="s">
        <v>496</v>
      </c>
      <c r="B48" s="11" t="s">
        <v>444</v>
      </c>
    </row>
    <row r="49">
      <c r="A49" s="11" t="s">
        <v>498</v>
      </c>
      <c r="B49" s="11" t="s">
        <v>444</v>
      </c>
      <c r="C49">
        <v>25000</v>
      </c>
      <c r="D49">
        <v>25000</v>
      </c>
      <c r="E49">
        <v>25000</v>
      </c>
      <c r="F49">
        <v>25000</v>
      </c>
      <c r="G49">
        <v>25000</v>
      </c>
      <c r="H49">
        <v>25000</v>
      </c>
      <c r="I49">
        <v>25000</v>
      </c>
      <c r="J49">
        <v>25000</v>
      </c>
      <c r="K49">
        <v>25000</v>
      </c>
      <c r="L49">
        <v>25000</v>
      </c>
      <c r="M49">
        <v>25000</v>
      </c>
      <c r="N49">
        <v>25000</v>
      </c>
      <c r="O49">
        <v>25000</v>
      </c>
      <c r="P49">
        <v>25000</v>
      </c>
      <c r="Q49">
        <v>25000</v>
      </c>
      <c r="R49">
        <v>25000</v>
      </c>
      <c r="S49">
        <v>25000</v>
      </c>
      <c r="T49">
        <v>25000</v>
      </c>
      <c r="U49">
        <v>25000</v>
      </c>
      <c r="V49">
        <v>25000</v>
      </c>
      <c r="W49">
        <v>25000</v>
      </c>
      <c r="X49">
        <v>25000</v>
      </c>
      <c r="Y49">
        <v>25000</v>
      </c>
      <c r="Z49">
        <v>25000</v>
      </c>
      <c r="AA49">
        <v>25000</v>
      </c>
      <c r="AB49">
        <v>25000</v>
      </c>
      <c r="AC49">
        <v>25000</v>
      </c>
      <c r="AD49">
        <v>25000</v>
      </c>
      <c r="AE49">
        <v>25000</v>
      </c>
      <c r="AF49">
        <v>25000</v>
      </c>
      <c r="AG49">
        <v>25000</v>
      </c>
      <c r="AH49">
        <v>25000</v>
      </c>
      <c r="AI49">
        <v>25000</v>
      </c>
      <c r="AJ49">
        <v>25000</v>
      </c>
      <c r="AK49">
        <v>25000</v>
      </c>
      <c r="AL49">
        <v>25000</v>
      </c>
      <c r="AM49">
        <v>25000</v>
      </c>
      <c r="AN49">
        <v>25000</v>
      </c>
    </row>
    <row r="50">
      <c r="A50" s="11" t="s">
        <v>500</v>
      </c>
      <c r="B50" s="11" t="s">
        <v>444</v>
      </c>
    </row>
    <row r="51">
      <c r="A51" s="11" t="s">
        <v>502</v>
      </c>
      <c r="B51" s="11" t="s">
        <v>444</v>
      </c>
    </row>
    <row r="52">
      <c r="A52" s="11" t="s">
        <v>504</v>
      </c>
      <c r="B52" s="11" t="s">
        <v>444</v>
      </c>
    </row>
    <row r="53">
      <c r="A53" s="11" t="s">
        <v>506</v>
      </c>
      <c r="B53" s="11" t="s">
        <v>444</v>
      </c>
      <c r="C53">
        <v>917</v>
      </c>
      <c r="D53">
        <v>917</v>
      </c>
      <c r="E53">
        <v>917</v>
      </c>
      <c r="F53">
        <v>917</v>
      </c>
      <c r="G53">
        <v>917</v>
      </c>
      <c r="H53">
        <v>917</v>
      </c>
      <c r="I53">
        <v>917</v>
      </c>
      <c r="J53">
        <v>917</v>
      </c>
      <c r="K53">
        <v>917</v>
      </c>
      <c r="L53">
        <v>917</v>
      </c>
      <c r="M53">
        <v>917</v>
      </c>
      <c r="N53">
        <v>917</v>
      </c>
      <c r="O53">
        <v>917</v>
      </c>
      <c r="P53">
        <v>917</v>
      </c>
      <c r="Q53">
        <v>917</v>
      </c>
      <c r="R53">
        <v>917</v>
      </c>
      <c r="S53">
        <v>917</v>
      </c>
      <c r="T53">
        <v>917</v>
      </c>
      <c r="U53">
        <v>917</v>
      </c>
      <c r="V53">
        <v>917</v>
      </c>
      <c r="W53">
        <v>917</v>
      </c>
      <c r="X53">
        <v>917</v>
      </c>
      <c r="Y53">
        <v>917</v>
      </c>
      <c r="Z53">
        <v>917</v>
      </c>
      <c r="AA53">
        <v>917</v>
      </c>
      <c r="AB53">
        <v>917</v>
      </c>
      <c r="AC53">
        <v>917</v>
      </c>
      <c r="AD53">
        <v>917</v>
      </c>
      <c r="AE53">
        <v>917</v>
      </c>
      <c r="AF53">
        <v>917</v>
      </c>
      <c r="AG53">
        <v>917</v>
      </c>
      <c r="AH53">
        <v>917</v>
      </c>
      <c r="AI53">
        <v>917</v>
      </c>
      <c r="AJ53">
        <v>917</v>
      </c>
      <c r="AK53">
        <v>917</v>
      </c>
      <c r="AL53">
        <v>917</v>
      </c>
      <c r="AM53">
        <v>917</v>
      </c>
      <c r="AN53">
        <v>917</v>
      </c>
    </row>
    <row r="54">
      <c r="A54" s="11" t="s">
        <v>508</v>
      </c>
      <c r="B54" s="11" t="s">
        <v>444</v>
      </c>
    </row>
    <row r="55">
      <c r="A55" s="11" t="s">
        <v>510</v>
      </c>
      <c r="B55" s="11" t="s">
        <v>444</v>
      </c>
      <c r="C55">
        <v>708</v>
      </c>
      <c r="D55">
        <v>708</v>
      </c>
      <c r="E55">
        <v>708</v>
      </c>
      <c r="F55">
        <v>708</v>
      </c>
      <c r="G55">
        <v>708</v>
      </c>
      <c r="H55">
        <v>708</v>
      </c>
      <c r="I55">
        <v>708</v>
      </c>
      <c r="J55">
        <v>708</v>
      </c>
      <c r="K55">
        <v>708</v>
      </c>
      <c r="L55">
        <v>708</v>
      </c>
      <c r="M55">
        <v>708</v>
      </c>
      <c r="N55">
        <v>708</v>
      </c>
      <c r="O55">
        <v>708</v>
      </c>
      <c r="P55">
        <v>708</v>
      </c>
      <c r="Q55">
        <v>708</v>
      </c>
      <c r="R55">
        <v>708</v>
      </c>
      <c r="S55">
        <v>708</v>
      </c>
      <c r="T55">
        <v>708</v>
      </c>
      <c r="U55">
        <v>708</v>
      </c>
      <c r="V55">
        <v>708</v>
      </c>
      <c r="W55">
        <v>708</v>
      </c>
      <c r="X55">
        <v>708</v>
      </c>
      <c r="Y55">
        <v>708</v>
      </c>
      <c r="Z55">
        <v>708</v>
      </c>
      <c r="AA55">
        <v>708</v>
      </c>
      <c r="AB55">
        <v>708</v>
      </c>
      <c r="AC55">
        <v>708</v>
      </c>
      <c r="AD55">
        <v>708</v>
      </c>
      <c r="AE55">
        <v>708</v>
      </c>
      <c r="AF55">
        <v>708</v>
      </c>
      <c r="AG55">
        <v>708</v>
      </c>
      <c r="AH55">
        <v>708</v>
      </c>
      <c r="AI55">
        <v>708</v>
      </c>
      <c r="AJ55">
        <v>708</v>
      </c>
      <c r="AK55">
        <v>708</v>
      </c>
      <c r="AL55">
        <v>708</v>
      </c>
      <c r="AM55">
        <v>708</v>
      </c>
      <c r="AN55">
        <v>708</v>
      </c>
    </row>
    <row r="56">
      <c r="A56" s="11" t="s">
        <v>512</v>
      </c>
      <c r="B56" s="11" t="s">
        <v>444</v>
      </c>
      <c r="C56">
        <v>1167</v>
      </c>
      <c r="D56">
        <v>1167</v>
      </c>
      <c r="E56">
        <v>1167</v>
      </c>
      <c r="F56">
        <v>1167</v>
      </c>
      <c r="G56">
        <v>1167</v>
      </c>
      <c r="H56">
        <v>1167</v>
      </c>
      <c r="I56">
        <v>1167</v>
      </c>
      <c r="J56">
        <v>1167</v>
      </c>
      <c r="K56">
        <v>1167</v>
      </c>
      <c r="L56">
        <v>1167</v>
      </c>
      <c r="M56">
        <v>1167</v>
      </c>
      <c r="N56">
        <v>1167</v>
      </c>
      <c r="O56">
        <v>1167</v>
      </c>
      <c r="P56">
        <v>1167</v>
      </c>
      <c r="Q56">
        <v>1167</v>
      </c>
      <c r="R56">
        <v>1167</v>
      </c>
      <c r="S56">
        <v>1167</v>
      </c>
      <c r="T56">
        <v>1167</v>
      </c>
      <c r="U56">
        <v>1167</v>
      </c>
      <c r="V56">
        <v>1167</v>
      </c>
      <c r="W56">
        <v>1167</v>
      </c>
      <c r="X56">
        <v>1167</v>
      </c>
      <c r="Y56">
        <v>1167</v>
      </c>
      <c r="Z56">
        <v>1167</v>
      </c>
      <c r="AA56">
        <v>1167</v>
      </c>
      <c r="AB56">
        <v>1167</v>
      </c>
      <c r="AC56">
        <v>1167</v>
      </c>
      <c r="AD56">
        <v>1167</v>
      </c>
      <c r="AE56">
        <v>1167</v>
      </c>
      <c r="AF56">
        <v>1167</v>
      </c>
      <c r="AG56">
        <v>1167</v>
      </c>
      <c r="AH56">
        <v>1167</v>
      </c>
      <c r="AI56">
        <v>1167</v>
      </c>
      <c r="AJ56">
        <v>1167</v>
      </c>
      <c r="AK56">
        <v>1167</v>
      </c>
      <c r="AL56">
        <v>1167</v>
      </c>
      <c r="AM56">
        <v>1167</v>
      </c>
      <c r="AN56">
        <v>1167</v>
      </c>
    </row>
    <row r="57">
      <c r="A57" s="11" t="s">
        <v>514</v>
      </c>
      <c r="B57" s="11" t="s">
        <v>444</v>
      </c>
      <c r="C57">
        <v>750</v>
      </c>
      <c r="D57">
        <v>750</v>
      </c>
      <c r="E57">
        <v>750</v>
      </c>
      <c r="F57">
        <v>750</v>
      </c>
      <c r="G57">
        <v>750</v>
      </c>
      <c r="H57">
        <v>750</v>
      </c>
      <c r="I57">
        <v>750</v>
      </c>
      <c r="J57">
        <v>750</v>
      </c>
      <c r="K57">
        <v>750</v>
      </c>
      <c r="L57">
        <v>750</v>
      </c>
      <c r="M57">
        <v>750</v>
      </c>
      <c r="N57">
        <v>750</v>
      </c>
      <c r="O57">
        <v>750</v>
      </c>
      <c r="P57">
        <v>750</v>
      </c>
      <c r="Q57">
        <v>750</v>
      </c>
      <c r="R57">
        <v>750</v>
      </c>
      <c r="S57">
        <v>750</v>
      </c>
      <c r="T57">
        <v>750</v>
      </c>
      <c r="U57">
        <v>750</v>
      </c>
      <c r="V57">
        <v>750</v>
      </c>
      <c r="W57">
        <v>750</v>
      </c>
      <c r="X57">
        <v>750</v>
      </c>
      <c r="Y57">
        <v>750</v>
      </c>
      <c r="Z57">
        <v>750</v>
      </c>
      <c r="AA57">
        <v>750</v>
      </c>
      <c r="AB57">
        <v>750</v>
      </c>
      <c r="AC57">
        <v>750</v>
      </c>
      <c r="AD57">
        <v>750</v>
      </c>
      <c r="AE57">
        <v>750</v>
      </c>
      <c r="AF57">
        <v>750</v>
      </c>
      <c r="AG57">
        <v>750</v>
      </c>
      <c r="AH57">
        <v>750</v>
      </c>
      <c r="AI57">
        <v>750</v>
      </c>
      <c r="AJ57">
        <v>750</v>
      </c>
      <c r="AK57">
        <v>750</v>
      </c>
      <c r="AL57">
        <v>750</v>
      </c>
      <c r="AM57">
        <v>750</v>
      </c>
      <c r="AN57">
        <v>750</v>
      </c>
    </row>
    <row r="58">
      <c r="A58" s="11" t="s">
        <v>516</v>
      </c>
      <c r="B58" s="11" t="s">
        <v>444</v>
      </c>
      <c r="D58">
        <v>4000</v>
      </c>
      <c r="G58">
        <v>4000</v>
      </c>
      <c r="J58">
        <v>4000</v>
      </c>
      <c r="M58">
        <v>4000</v>
      </c>
      <c r="P58">
        <v>4000</v>
      </c>
      <c r="S58">
        <v>4000</v>
      </c>
      <c r="V58">
        <v>4000</v>
      </c>
      <c r="Y58">
        <v>4000</v>
      </c>
      <c r="AB58">
        <v>4000</v>
      </c>
      <c r="AE58">
        <v>4000</v>
      </c>
      <c r="AH58">
        <v>4000</v>
      </c>
      <c r="AK58">
        <v>4000</v>
      </c>
      <c r="AN58">
        <v>4000</v>
      </c>
    </row>
    <row r="59">
      <c r="A59" s="11" t="s">
        <v>518</v>
      </c>
      <c r="B59" s="11" t="s">
        <v>444</v>
      </c>
    </row>
    <row r="60">
      <c r="A60" s="11" t="s">
        <v>520</v>
      </c>
      <c r="B60" s="11" t="s">
        <v>444</v>
      </c>
    </row>
    <row r="61">
      <c r="A61" s="11" t="s">
        <v>522</v>
      </c>
      <c r="B61" s="11" t="s">
        <v>444</v>
      </c>
    </row>
    <row r="62">
      <c r="A62" s="11" t="s">
        <v>524</v>
      </c>
      <c r="B62" s="11" t="s">
        <v>431</v>
      </c>
      <c r="C62">
        <v>500</v>
      </c>
      <c r="D62">
        <v>500</v>
      </c>
      <c r="E62">
        <v>500</v>
      </c>
      <c r="F62">
        <v>500</v>
      </c>
      <c r="G62">
        <v>500</v>
      </c>
      <c r="H62">
        <v>500</v>
      </c>
      <c r="I62">
        <v>500</v>
      </c>
      <c r="J62">
        <v>500</v>
      </c>
      <c r="K62">
        <v>500</v>
      </c>
      <c r="L62">
        <v>500</v>
      </c>
      <c r="M62">
        <v>500</v>
      </c>
      <c r="N62">
        <v>500</v>
      </c>
      <c r="O62">
        <v>500</v>
      </c>
      <c r="P62">
        <v>500</v>
      </c>
      <c r="Q62">
        <v>500</v>
      </c>
      <c r="R62">
        <v>500</v>
      </c>
      <c r="S62">
        <v>500</v>
      </c>
      <c r="T62">
        <v>500</v>
      </c>
      <c r="U62">
        <v>500</v>
      </c>
      <c r="V62">
        <v>500</v>
      </c>
      <c r="W62">
        <v>500</v>
      </c>
      <c r="X62">
        <v>500</v>
      </c>
      <c r="Y62">
        <v>500</v>
      </c>
      <c r="Z62">
        <v>500</v>
      </c>
      <c r="AA62">
        <v>500</v>
      </c>
      <c r="AB62">
        <v>500</v>
      </c>
      <c r="AC62">
        <v>500</v>
      </c>
      <c r="AD62">
        <v>500</v>
      </c>
      <c r="AE62">
        <v>500</v>
      </c>
      <c r="AF62">
        <v>500</v>
      </c>
      <c r="AG62">
        <v>500</v>
      </c>
      <c r="AH62">
        <v>500</v>
      </c>
      <c r="AI62">
        <v>500</v>
      </c>
      <c r="AJ62">
        <v>500</v>
      </c>
      <c r="AK62">
        <v>500</v>
      </c>
      <c r="AL62">
        <v>500</v>
      </c>
      <c r="AM62">
        <v>500</v>
      </c>
      <c r="AN62">
        <v>500</v>
      </c>
    </row>
    <row r="63">
      <c r="A63" s="11" t="s">
        <v>526</v>
      </c>
      <c r="B63" s="11" t="s">
        <v>359</v>
      </c>
      <c r="C63">
        <v>-700</v>
      </c>
      <c r="D63">
        <v>-700</v>
      </c>
      <c r="E63">
        <v>-700</v>
      </c>
      <c r="F63">
        <v>-700</v>
      </c>
      <c r="G63">
        <v>-700</v>
      </c>
      <c r="H63">
        <v>-700</v>
      </c>
      <c r="I63">
        <v>-700</v>
      </c>
      <c r="J63">
        <v>-700</v>
      </c>
      <c r="K63">
        <v>-700</v>
      </c>
      <c r="L63">
        <v>-700</v>
      </c>
      <c r="M63">
        <v>-700</v>
      </c>
      <c r="N63">
        <v>-700</v>
      </c>
      <c r="O63">
        <v>-700</v>
      </c>
      <c r="P63">
        <v>-700</v>
      </c>
      <c r="Q63">
        <v>-700</v>
      </c>
      <c r="R63">
        <v>-700</v>
      </c>
      <c r="S63">
        <v>-700</v>
      </c>
      <c r="T63">
        <v>-700</v>
      </c>
      <c r="U63">
        <v>-700</v>
      </c>
      <c r="V63">
        <v>-700</v>
      </c>
      <c r="W63">
        <v>-700</v>
      </c>
      <c r="X63">
        <v>-700</v>
      </c>
      <c r="Y63">
        <v>-700</v>
      </c>
      <c r="Z63">
        <v>-700</v>
      </c>
      <c r="AA63">
        <v>-700</v>
      </c>
      <c r="AB63">
        <v>-700</v>
      </c>
      <c r="AC63">
        <v>-700</v>
      </c>
      <c r="AD63">
        <v>-700</v>
      </c>
      <c r="AE63">
        <v>-700</v>
      </c>
      <c r="AF63">
        <v>-700</v>
      </c>
      <c r="AG63">
        <v>-700</v>
      </c>
      <c r="AH63">
        <v>-700</v>
      </c>
      <c r="AI63">
        <v>-700</v>
      </c>
      <c r="AJ63">
        <v>-700</v>
      </c>
      <c r="AK63">
        <v>-700</v>
      </c>
      <c r="AL63">
        <v>-700</v>
      </c>
      <c r="AM63">
        <v>-700</v>
      </c>
      <c r="AN63">
        <v>-700</v>
      </c>
    </row>
    <row r="64">
      <c r="A64" s="11" t="s">
        <v>528</v>
      </c>
      <c r="B64" s="11" t="s">
        <v>444</v>
      </c>
      <c r="D64">
        <v>2500</v>
      </c>
      <c r="G64">
        <v>2500</v>
      </c>
      <c r="J64">
        <v>2500</v>
      </c>
      <c r="M64">
        <v>2500</v>
      </c>
      <c r="P64">
        <v>2500</v>
      </c>
      <c r="S64">
        <v>2500</v>
      </c>
      <c r="V64">
        <v>2500</v>
      </c>
      <c r="Y64">
        <v>2500</v>
      </c>
      <c r="AB64">
        <v>2500</v>
      </c>
      <c r="AE64">
        <v>2500</v>
      </c>
      <c r="AH64">
        <v>2500</v>
      </c>
      <c r="AK64">
        <v>2500</v>
      </c>
      <c r="AN64">
        <v>2500</v>
      </c>
    </row>
    <row r="65">
      <c r="A65" s="11" t="s">
        <v>530</v>
      </c>
      <c r="B65" s="11" t="s">
        <v>444</v>
      </c>
      <c r="C65">
        <v>1250</v>
      </c>
      <c r="D65">
        <v>1250</v>
      </c>
      <c r="E65">
        <v>1250</v>
      </c>
      <c r="F65">
        <v>1250</v>
      </c>
      <c r="G65">
        <v>1250</v>
      </c>
      <c r="H65">
        <v>1250</v>
      </c>
      <c r="I65">
        <v>1250</v>
      </c>
      <c r="J65">
        <v>1250</v>
      </c>
      <c r="K65">
        <v>1250</v>
      </c>
      <c r="L65">
        <v>1250</v>
      </c>
      <c r="M65">
        <v>1250</v>
      </c>
      <c r="N65">
        <v>1250</v>
      </c>
      <c r="O65">
        <v>1250</v>
      </c>
      <c r="P65">
        <v>1250</v>
      </c>
      <c r="Q65">
        <v>1250</v>
      </c>
      <c r="R65">
        <v>1250</v>
      </c>
      <c r="S65">
        <v>1250</v>
      </c>
      <c r="T65">
        <v>1250</v>
      </c>
      <c r="U65">
        <v>1250</v>
      </c>
      <c r="V65">
        <v>1250</v>
      </c>
      <c r="W65">
        <v>1250</v>
      </c>
      <c r="X65">
        <v>1250</v>
      </c>
      <c r="Y65">
        <v>1250</v>
      </c>
      <c r="Z65">
        <v>1250</v>
      </c>
      <c r="AA65">
        <v>1250</v>
      </c>
      <c r="AB65">
        <v>1250</v>
      </c>
      <c r="AC65">
        <v>1250</v>
      </c>
      <c r="AD65">
        <v>1250</v>
      </c>
      <c r="AE65">
        <v>1250</v>
      </c>
      <c r="AF65">
        <v>1250</v>
      </c>
      <c r="AG65">
        <v>1250</v>
      </c>
      <c r="AH65">
        <v>1250</v>
      </c>
      <c r="AI65">
        <v>1250</v>
      </c>
      <c r="AJ65">
        <v>1250</v>
      </c>
      <c r="AK65">
        <v>1250</v>
      </c>
      <c r="AL65">
        <v>1250</v>
      </c>
      <c r="AM65">
        <v>1250</v>
      </c>
      <c r="AN65">
        <v>1250</v>
      </c>
    </row>
    <row r="66">
      <c r="A66" s="11" t="s">
        <v>532</v>
      </c>
      <c r="B66" s="11" t="s">
        <v>359</v>
      </c>
    </row>
    <row r="67">
      <c r="A67" s="11" t="s">
        <v>534</v>
      </c>
      <c r="B67" s="11" t="s">
        <v>444</v>
      </c>
      <c r="C67">
        <v>500</v>
      </c>
      <c r="D67">
        <v>500</v>
      </c>
      <c r="E67">
        <v>500</v>
      </c>
      <c r="F67">
        <v>500</v>
      </c>
      <c r="G67">
        <v>500</v>
      </c>
      <c r="H67">
        <v>500</v>
      </c>
      <c r="I67">
        <v>500</v>
      </c>
      <c r="J67">
        <v>500</v>
      </c>
      <c r="K67">
        <v>500</v>
      </c>
      <c r="L67">
        <v>500</v>
      </c>
      <c r="M67">
        <v>500</v>
      </c>
      <c r="N67">
        <v>500</v>
      </c>
      <c r="O67">
        <v>500</v>
      </c>
      <c r="P67">
        <v>500</v>
      </c>
      <c r="Q67">
        <v>500</v>
      </c>
      <c r="R67">
        <v>500</v>
      </c>
      <c r="S67">
        <v>500</v>
      </c>
      <c r="T67">
        <v>500</v>
      </c>
      <c r="U67">
        <v>500</v>
      </c>
      <c r="V67">
        <v>500</v>
      </c>
      <c r="W67">
        <v>500</v>
      </c>
      <c r="X67">
        <v>500</v>
      </c>
      <c r="Y67">
        <v>500</v>
      </c>
      <c r="Z67">
        <v>500</v>
      </c>
      <c r="AA67">
        <v>500</v>
      </c>
      <c r="AB67">
        <v>500</v>
      </c>
      <c r="AC67">
        <v>500</v>
      </c>
      <c r="AD67">
        <v>500</v>
      </c>
      <c r="AE67">
        <v>500</v>
      </c>
      <c r="AF67">
        <v>500</v>
      </c>
      <c r="AG67">
        <v>500</v>
      </c>
      <c r="AH67">
        <v>500</v>
      </c>
      <c r="AI67">
        <v>500</v>
      </c>
      <c r="AJ67">
        <v>500</v>
      </c>
      <c r="AK67">
        <v>500</v>
      </c>
      <c r="AL67">
        <v>500</v>
      </c>
      <c r="AM67">
        <v>500</v>
      </c>
      <c r="AN67">
        <v>500</v>
      </c>
    </row>
    <row r="68">
      <c r="A68" s="11" t="s">
        <v>536</v>
      </c>
      <c r="B68" s="11" t="s">
        <v>444</v>
      </c>
    </row>
    <row r="69">
      <c r="A69" s="11" t="s">
        <v>538</v>
      </c>
      <c r="B69" s="11" t="s">
        <v>444</v>
      </c>
      <c r="C69">
        <v>500</v>
      </c>
      <c r="D69">
        <v>500</v>
      </c>
      <c r="E69">
        <v>500</v>
      </c>
      <c r="F69">
        <v>500</v>
      </c>
      <c r="G69">
        <v>500</v>
      </c>
      <c r="H69">
        <v>500</v>
      </c>
      <c r="I69">
        <v>500</v>
      </c>
      <c r="J69">
        <v>500</v>
      </c>
      <c r="K69">
        <v>500</v>
      </c>
      <c r="L69">
        <v>500</v>
      </c>
      <c r="M69">
        <v>500</v>
      </c>
      <c r="N69">
        <v>500</v>
      </c>
      <c r="O69">
        <v>500</v>
      </c>
      <c r="P69">
        <v>500</v>
      </c>
      <c r="Q69">
        <v>500</v>
      </c>
      <c r="R69">
        <v>500</v>
      </c>
      <c r="S69">
        <v>500</v>
      </c>
      <c r="T69">
        <v>500</v>
      </c>
      <c r="U69">
        <v>500</v>
      </c>
      <c r="V69">
        <v>500</v>
      </c>
      <c r="W69">
        <v>500</v>
      </c>
      <c r="X69">
        <v>500</v>
      </c>
      <c r="Y69">
        <v>500</v>
      </c>
      <c r="Z69">
        <v>500</v>
      </c>
      <c r="AA69">
        <v>500</v>
      </c>
      <c r="AB69">
        <v>500</v>
      </c>
      <c r="AC69">
        <v>500</v>
      </c>
      <c r="AD69">
        <v>500</v>
      </c>
      <c r="AE69">
        <v>500</v>
      </c>
      <c r="AF69">
        <v>500</v>
      </c>
      <c r="AG69">
        <v>500</v>
      </c>
      <c r="AH69">
        <v>500</v>
      </c>
      <c r="AI69">
        <v>500</v>
      </c>
      <c r="AJ69">
        <v>500</v>
      </c>
      <c r="AK69">
        <v>500</v>
      </c>
      <c r="AL69">
        <v>500</v>
      </c>
      <c r="AM69">
        <v>500</v>
      </c>
      <c r="AN69">
        <v>500</v>
      </c>
    </row>
    <row r="70">
      <c r="A70" s="11" t="s">
        <v>540</v>
      </c>
      <c r="B70" s="11" t="s">
        <v>444</v>
      </c>
      <c r="C70">
        <v>1167</v>
      </c>
      <c r="D70">
        <v>1167</v>
      </c>
      <c r="E70">
        <v>1167</v>
      </c>
      <c r="F70">
        <v>1167</v>
      </c>
      <c r="G70">
        <v>1167</v>
      </c>
      <c r="H70">
        <v>1167</v>
      </c>
      <c r="I70">
        <v>1167</v>
      </c>
      <c r="J70">
        <v>1167</v>
      </c>
      <c r="K70">
        <v>1167</v>
      </c>
      <c r="L70">
        <v>1167</v>
      </c>
      <c r="M70">
        <v>1167</v>
      </c>
      <c r="N70">
        <v>1167</v>
      </c>
      <c r="O70">
        <v>1167</v>
      </c>
      <c r="P70">
        <v>1167</v>
      </c>
      <c r="Q70">
        <v>1167</v>
      </c>
      <c r="R70">
        <v>1167</v>
      </c>
      <c r="S70">
        <v>1167</v>
      </c>
      <c r="T70">
        <v>1167</v>
      </c>
      <c r="U70">
        <v>1167</v>
      </c>
      <c r="V70">
        <v>1167</v>
      </c>
      <c r="W70">
        <v>1167</v>
      </c>
      <c r="X70">
        <v>1167</v>
      </c>
      <c r="Y70">
        <v>1167</v>
      </c>
      <c r="Z70">
        <v>1167</v>
      </c>
      <c r="AA70">
        <v>1167</v>
      </c>
      <c r="AB70">
        <v>1167</v>
      </c>
      <c r="AC70">
        <v>1167</v>
      </c>
      <c r="AD70">
        <v>1167</v>
      </c>
      <c r="AE70">
        <v>1167</v>
      </c>
      <c r="AF70">
        <v>1167</v>
      </c>
      <c r="AG70">
        <v>1167</v>
      </c>
      <c r="AH70">
        <v>1167</v>
      </c>
      <c r="AI70">
        <v>1167</v>
      </c>
      <c r="AJ70">
        <v>1167</v>
      </c>
      <c r="AK70">
        <v>1167</v>
      </c>
      <c r="AL70">
        <v>1167</v>
      </c>
      <c r="AM70">
        <v>1167</v>
      </c>
      <c r="AN70">
        <v>1167</v>
      </c>
    </row>
    <row r="71">
      <c r="A71" s="11" t="s">
        <v>542</v>
      </c>
      <c r="B71" s="11" t="s">
        <v>359</v>
      </c>
    </row>
    <row r="72">
      <c r="A72" s="11" t="s">
        <v>544</v>
      </c>
      <c r="B72" s="11" t="s">
        <v>545</v>
      </c>
    </row>
    <row r="73">
      <c r="A73" s="11" t="s">
        <v>547</v>
      </c>
      <c r="B73" s="11" t="s">
        <v>545</v>
      </c>
    </row>
    <row r="74">
      <c r="A74" s="11" t="s">
        <v>549</v>
      </c>
      <c r="B74" s="11" t="s">
        <v>545</v>
      </c>
    </row>
    <row r="75">
      <c r="A75" s="11" t="s">
        <v>551</v>
      </c>
      <c r="B75" s="11" t="s">
        <v>545</v>
      </c>
    </row>
    <row r="76">
      <c r="A76" s="11" t="s">
        <v>553</v>
      </c>
      <c r="B76" s="11" t="s">
        <v>545</v>
      </c>
    </row>
    <row r="77">
      <c r="A77" s="11" t="s">
        <v>555</v>
      </c>
      <c r="B77" s="11" t="s">
        <v>545</v>
      </c>
    </row>
    <row r="78">
      <c r="A78" s="11" t="s">
        <v>557</v>
      </c>
      <c r="B78" s="11" t="s">
        <v>545</v>
      </c>
    </row>
    <row r="79">
      <c r="A79" s="11" t="s">
        <v>559</v>
      </c>
      <c r="B79" s="11" t="s">
        <v>545</v>
      </c>
      <c r="C79">
        <v>500</v>
      </c>
      <c r="D79">
        <v>500</v>
      </c>
      <c r="E79">
        <v>500</v>
      </c>
      <c r="F79">
        <v>500</v>
      </c>
      <c r="G79">
        <v>500</v>
      </c>
      <c r="H79">
        <v>500</v>
      </c>
      <c r="I79">
        <v>500</v>
      </c>
      <c r="J79">
        <v>500</v>
      </c>
      <c r="K79">
        <v>500</v>
      </c>
      <c r="L79">
        <v>500</v>
      </c>
      <c r="M79">
        <v>500</v>
      </c>
      <c r="N79">
        <v>500</v>
      </c>
      <c r="O79">
        <v>500</v>
      </c>
      <c r="P79">
        <v>500</v>
      </c>
      <c r="Q79">
        <v>500</v>
      </c>
      <c r="R79">
        <v>500</v>
      </c>
      <c r="S79">
        <v>500</v>
      </c>
      <c r="T79">
        <v>500</v>
      </c>
      <c r="U79">
        <v>500</v>
      </c>
      <c r="V79">
        <v>500</v>
      </c>
      <c r="W79">
        <v>500</v>
      </c>
      <c r="X79">
        <v>500</v>
      </c>
      <c r="Y79">
        <v>500</v>
      </c>
      <c r="Z79">
        <v>500</v>
      </c>
      <c r="AA79">
        <v>500</v>
      </c>
      <c r="AB79">
        <v>500</v>
      </c>
      <c r="AC79">
        <v>500</v>
      </c>
      <c r="AD79">
        <v>500</v>
      </c>
      <c r="AE79">
        <v>500</v>
      </c>
      <c r="AF79">
        <v>500</v>
      </c>
      <c r="AG79">
        <v>500</v>
      </c>
      <c r="AH79">
        <v>500</v>
      </c>
      <c r="AI79">
        <v>500</v>
      </c>
      <c r="AJ79">
        <v>500</v>
      </c>
      <c r="AK79">
        <v>500</v>
      </c>
      <c r="AL79">
        <v>500</v>
      </c>
      <c r="AM79">
        <v>500</v>
      </c>
      <c r="AN79">
        <v>500</v>
      </c>
    </row>
    <row r="80">
      <c r="A80" s="11" t="s">
        <v>561</v>
      </c>
      <c r="B80" s="11" t="s">
        <v>561</v>
      </c>
      <c r="C80">
        <v>2333</v>
      </c>
      <c r="D80">
        <v>2333</v>
      </c>
      <c r="E80">
        <v>2333</v>
      </c>
      <c r="F80">
        <v>2333</v>
      </c>
      <c r="G80">
        <v>2333</v>
      </c>
      <c r="H80">
        <v>2333</v>
      </c>
      <c r="I80">
        <v>2333</v>
      </c>
      <c r="J80">
        <v>2333</v>
      </c>
      <c r="K80">
        <v>2333</v>
      </c>
      <c r="L80">
        <v>2333</v>
      </c>
      <c r="M80">
        <v>2333</v>
      </c>
      <c r="N80">
        <v>2333</v>
      </c>
      <c r="O80">
        <v>2333</v>
      </c>
      <c r="P80">
        <v>2333</v>
      </c>
      <c r="Q80">
        <v>2333</v>
      </c>
      <c r="R80">
        <v>2333</v>
      </c>
      <c r="S80">
        <v>2333</v>
      </c>
      <c r="T80">
        <v>2333</v>
      </c>
      <c r="U80">
        <v>2333</v>
      </c>
      <c r="V80">
        <v>2333</v>
      </c>
      <c r="W80">
        <v>2333</v>
      </c>
      <c r="X80">
        <v>2333</v>
      </c>
      <c r="Y80">
        <v>2333</v>
      </c>
      <c r="Z80">
        <v>2333</v>
      </c>
      <c r="AA80">
        <v>2333</v>
      </c>
      <c r="AB80">
        <v>2333</v>
      </c>
      <c r="AC80">
        <v>2333</v>
      </c>
      <c r="AD80">
        <v>2333</v>
      </c>
      <c r="AE80">
        <v>2333</v>
      </c>
      <c r="AF80">
        <v>2333</v>
      </c>
      <c r="AG80">
        <v>2333</v>
      </c>
      <c r="AH80">
        <v>2333</v>
      </c>
      <c r="AI80">
        <v>2333</v>
      </c>
      <c r="AJ80">
        <v>2333</v>
      </c>
      <c r="AK80">
        <v>2333</v>
      </c>
      <c r="AL80">
        <v>2333</v>
      </c>
      <c r="AM80">
        <v>2333</v>
      </c>
      <c r="AN80">
        <v>2333</v>
      </c>
    </row>
    <row r="81">
      <c r="A81" s="11" t="s">
        <v>563</v>
      </c>
      <c r="B81" s="11" t="s">
        <v>561</v>
      </c>
    </row>
    <row r="82">
      <c r="A82" s="11" t="s">
        <v>565</v>
      </c>
      <c r="B82" s="11" t="s">
        <v>545</v>
      </c>
    </row>
    <row r="83">
      <c r="A83" s="11" t="s">
        <v>567</v>
      </c>
      <c r="B83" s="11" t="s">
        <v>545</v>
      </c>
    </row>
    <row r="84">
      <c r="A84" s="11" t="s">
        <v>569</v>
      </c>
      <c r="B84" s="11" t="s">
        <v>570</v>
      </c>
      <c r="C84">
        <v>18000</v>
      </c>
      <c r="D84">
        <v>36000</v>
      </c>
      <c r="E84">
        <v>18000</v>
      </c>
      <c r="F84">
        <v>18000</v>
      </c>
      <c r="G84">
        <v>18000</v>
      </c>
      <c r="H84">
        <v>18000</v>
      </c>
      <c r="I84">
        <v>18000</v>
      </c>
      <c r="J84">
        <v>18000</v>
      </c>
      <c r="K84">
        <v>18000</v>
      </c>
      <c r="L84">
        <v>18000</v>
      </c>
      <c r="M84">
        <v>18000</v>
      </c>
      <c r="N84">
        <v>18000</v>
      </c>
      <c r="O84">
        <v>18000</v>
      </c>
      <c r="P84">
        <v>36000</v>
      </c>
      <c r="Q84">
        <v>18000</v>
      </c>
      <c r="R84">
        <v>18000</v>
      </c>
      <c r="S84">
        <v>18000</v>
      </c>
      <c r="T84">
        <v>18000</v>
      </c>
      <c r="U84">
        <v>18000</v>
      </c>
      <c r="V84">
        <v>18000</v>
      </c>
      <c r="W84">
        <v>18000</v>
      </c>
      <c r="X84">
        <v>18000</v>
      </c>
      <c r="Y84">
        <v>18000</v>
      </c>
      <c r="Z84">
        <v>18000</v>
      </c>
      <c r="AA84">
        <v>18000</v>
      </c>
      <c r="AB84">
        <v>36000</v>
      </c>
      <c r="AC84">
        <v>18000</v>
      </c>
      <c r="AD84">
        <v>18000</v>
      </c>
      <c r="AE84">
        <v>18000</v>
      </c>
      <c r="AF84">
        <v>18000</v>
      </c>
      <c r="AG84">
        <v>18000</v>
      </c>
      <c r="AH84">
        <v>18000</v>
      </c>
      <c r="AI84">
        <v>18000</v>
      </c>
      <c r="AJ84">
        <v>18000</v>
      </c>
      <c r="AK84">
        <v>18000</v>
      </c>
      <c r="AL84">
        <v>18000</v>
      </c>
      <c r="AM84">
        <v>18000</v>
      </c>
      <c r="AN84">
        <v>36000</v>
      </c>
    </row>
    <row r="85">
      <c r="A85" s="11" t="s">
        <v>572</v>
      </c>
      <c r="B85" s="11" t="s">
        <v>570</v>
      </c>
    </row>
    <row r="86">
      <c r="A86" s="11" t="s">
        <v>574</v>
      </c>
      <c r="B86" s="11" t="s">
        <v>570</v>
      </c>
      <c r="C86">
        <v>5000</v>
      </c>
      <c r="D86">
        <v>10000</v>
      </c>
      <c r="E86">
        <v>5000</v>
      </c>
      <c r="F86">
        <v>5000</v>
      </c>
      <c r="G86">
        <v>5000</v>
      </c>
      <c r="H86">
        <v>5000</v>
      </c>
      <c r="I86">
        <v>5000</v>
      </c>
      <c r="J86">
        <v>5000</v>
      </c>
      <c r="K86">
        <v>5000</v>
      </c>
      <c r="L86">
        <v>5000</v>
      </c>
      <c r="M86">
        <v>5000</v>
      </c>
      <c r="N86">
        <v>5000</v>
      </c>
      <c r="O86">
        <v>5000</v>
      </c>
      <c r="P86">
        <v>10000</v>
      </c>
      <c r="Q86">
        <v>5000</v>
      </c>
      <c r="R86">
        <v>5000</v>
      </c>
      <c r="S86">
        <v>5000</v>
      </c>
      <c r="T86">
        <v>5000</v>
      </c>
      <c r="U86">
        <v>5000</v>
      </c>
      <c r="V86">
        <v>5000</v>
      </c>
      <c r="W86">
        <v>5000</v>
      </c>
      <c r="X86">
        <v>5000</v>
      </c>
      <c r="Y86">
        <v>5000</v>
      </c>
      <c r="Z86">
        <v>5000</v>
      </c>
      <c r="AA86">
        <v>5000</v>
      </c>
      <c r="AB86">
        <v>10000</v>
      </c>
      <c r="AC86">
        <v>5000</v>
      </c>
      <c r="AD86">
        <v>5000</v>
      </c>
      <c r="AE86">
        <v>5000</v>
      </c>
      <c r="AF86">
        <v>5000</v>
      </c>
      <c r="AG86">
        <v>5000</v>
      </c>
      <c r="AH86">
        <v>5000</v>
      </c>
      <c r="AI86">
        <v>5000</v>
      </c>
      <c r="AJ86">
        <v>5000</v>
      </c>
      <c r="AK86">
        <v>5000</v>
      </c>
      <c r="AL86">
        <v>5000</v>
      </c>
      <c r="AM86">
        <v>5000</v>
      </c>
      <c r="AN86">
        <v>10000</v>
      </c>
    </row>
    <row r="87">
      <c r="A87" s="11" t="s">
        <v>576</v>
      </c>
      <c r="B87" s="11" t="s">
        <v>570</v>
      </c>
      <c r="D87">
        <v>4000</v>
      </c>
      <c r="F87">
        <v>16000</v>
      </c>
      <c r="P87">
        <v>4000</v>
      </c>
      <c r="R87">
        <v>16000</v>
      </c>
      <c r="AB87">
        <v>4000</v>
      </c>
      <c r="AD87">
        <v>16000</v>
      </c>
      <c r="AN87">
        <v>4000</v>
      </c>
    </row>
    <row r="88">
      <c r="A88" s="11" t="s">
        <v>578</v>
      </c>
      <c r="B88" s="11" t="s">
        <v>570</v>
      </c>
    </row>
    <row r="89">
      <c r="A89" s="11" t="s">
        <v>580</v>
      </c>
      <c r="B89" s="11" t="s">
        <v>570</v>
      </c>
      <c r="D89">
        <v>35000</v>
      </c>
      <c r="P89">
        <v>35000</v>
      </c>
      <c r="AB89">
        <v>35000</v>
      </c>
      <c r="AN89">
        <v>35000</v>
      </c>
    </row>
    <row r="90">
      <c r="A90" s="11" t="s">
        <v>582</v>
      </c>
      <c r="B90" s="11" t="s">
        <v>570</v>
      </c>
    </row>
    <row r="91">
      <c r="A91" s="11" t="s">
        <v>584</v>
      </c>
      <c r="B91" s="11" t="s">
        <v>570</v>
      </c>
    </row>
    <row r="92">
      <c r="A92" s="11" t="s">
        <v>586</v>
      </c>
      <c r="B92" s="11" t="s">
        <v>570</v>
      </c>
      <c r="C92">
        <v>333</v>
      </c>
      <c r="D92">
        <v>333</v>
      </c>
      <c r="E92">
        <v>333</v>
      </c>
      <c r="F92">
        <v>333</v>
      </c>
      <c r="G92">
        <v>333</v>
      </c>
      <c r="H92">
        <v>333</v>
      </c>
      <c r="I92">
        <v>333</v>
      </c>
      <c r="J92">
        <v>333</v>
      </c>
      <c r="K92">
        <v>333</v>
      </c>
      <c r="L92">
        <v>333</v>
      </c>
      <c r="M92">
        <v>333</v>
      </c>
      <c r="N92">
        <v>333</v>
      </c>
      <c r="O92">
        <v>333</v>
      </c>
      <c r="P92">
        <v>333</v>
      </c>
      <c r="Q92">
        <v>333</v>
      </c>
      <c r="R92">
        <v>333</v>
      </c>
      <c r="S92">
        <v>333</v>
      </c>
      <c r="T92">
        <v>333</v>
      </c>
      <c r="U92">
        <v>333</v>
      </c>
      <c r="V92">
        <v>333</v>
      </c>
      <c r="W92">
        <v>333</v>
      </c>
      <c r="X92">
        <v>333</v>
      </c>
      <c r="Y92">
        <v>333</v>
      </c>
      <c r="Z92">
        <v>333</v>
      </c>
      <c r="AA92">
        <v>333</v>
      </c>
      <c r="AB92">
        <v>333</v>
      </c>
      <c r="AC92">
        <v>333</v>
      </c>
      <c r="AD92">
        <v>333</v>
      </c>
      <c r="AE92">
        <v>333</v>
      </c>
      <c r="AF92">
        <v>333</v>
      </c>
      <c r="AG92">
        <v>333</v>
      </c>
      <c r="AH92">
        <v>333</v>
      </c>
      <c r="AI92">
        <v>333</v>
      </c>
      <c r="AJ92">
        <v>333</v>
      </c>
      <c r="AK92">
        <v>333</v>
      </c>
      <c r="AL92">
        <v>333</v>
      </c>
      <c r="AM92">
        <v>333</v>
      </c>
      <c r="AN92">
        <v>333</v>
      </c>
    </row>
    <row r="93">
      <c r="A93" s="11" t="s">
        <v>630</v>
      </c>
      <c r="B93" s="11" t="s">
        <v>631</v>
      </c>
    </row>
    <row r="94">
      <c r="A94" s="11" t="s">
        <v>633</v>
      </c>
      <c r="B94" s="11" t="s">
        <v>631</v>
      </c>
    </row>
    <row r="95">
      <c r="A95" s="11" t="s">
        <v>635</v>
      </c>
      <c r="B95" s="11" t="s">
        <v>561</v>
      </c>
      <c r="D95">
        <v>18000</v>
      </c>
      <c r="J95">
        <v>18000</v>
      </c>
      <c r="P95">
        <v>18000</v>
      </c>
      <c r="V95">
        <v>18000</v>
      </c>
      <c r="AB95">
        <v>18000</v>
      </c>
      <c r="AH95">
        <v>18000</v>
      </c>
      <c r="AN95">
        <v>18000</v>
      </c>
    </row>
    <row r="96">
      <c r="A96" s="11" t="s">
        <v>637</v>
      </c>
      <c r="B96" s="11" t="s">
        <v>561</v>
      </c>
    </row>
    <row r="97">
      <c r="A97" s="11" t="s">
        <v>639</v>
      </c>
      <c r="B97" s="11" t="s">
        <v>639</v>
      </c>
    </row>
    <row r="98">
      <c r="A98" s="11" t="s">
        <v>641</v>
      </c>
      <c r="B98" s="11" t="s">
        <v>639</v>
      </c>
    </row>
    <row r="99">
      <c r="A99" s="11" t="s">
        <v>643</v>
      </c>
      <c r="B99" s="11" t="s">
        <v>639</v>
      </c>
    </row>
    <row r="100">
      <c r="A100" s="11" t="s">
        <v>645</v>
      </c>
      <c r="B100" s="11" t="s">
        <v>359</v>
      </c>
    </row>
    <row r="101">
      <c r="A101" s="11" t="s">
        <v>647</v>
      </c>
      <c r="B101" s="11" t="s">
        <v>639</v>
      </c>
    </row>
    <row r="102">
      <c r="A102" s="11" t="s">
        <v>649</v>
      </c>
      <c r="B102" s="11" t="s">
        <v>359</v>
      </c>
    </row>
    <row r="103">
      <c r="A103" s="11" t="s">
        <v>651</v>
      </c>
      <c r="B103" s="11" t="s">
        <v>651</v>
      </c>
    </row>
    <row r="104">
      <c r="A104" s="11" t="s">
        <v>653</v>
      </c>
      <c r="B104" s="11" t="s">
        <v>651</v>
      </c>
    </row>
    <row r="105">
      <c r="A105" s="11" t="s">
        <v>655</v>
      </c>
      <c r="B105" s="11" t="s">
        <v>651</v>
      </c>
    </row>
    <row r="106" ht="14.5">
      <c r="A106" s="11" t="s">
        <v>657</v>
      </c>
      <c r="B106" s="11" t="s">
        <v>561</v>
      </c>
    </row>
    <row r="107" ht="14.5">
      <c r="A107" s="11" t="s">
        <v>659</v>
      </c>
      <c r="B107" s="11" t="s">
        <v>561</v>
      </c>
    </row>
    <row r="108" ht="14.5">
      <c r="A108" s="11" t="s">
        <v>661</v>
      </c>
      <c r="B108" s="11" t="s">
        <v>651</v>
      </c>
    </row>
    <row r="109" ht="14.5">
      <c r="A109" s="11" t="s">
        <v>663</v>
      </c>
      <c r="B109" s="11" t="s">
        <v>651</v>
      </c>
    </row>
    <row r="110" ht="14.5">
      <c r="A110" s="11" t="s">
        <v>665</v>
      </c>
      <c r="B110" s="11" t="s">
        <v>651</v>
      </c>
    </row>
    <row r="111" ht="14.5">
      <c r="A111" s="11" t="s">
        <v>667</v>
      </c>
      <c r="B111" s="11" t="s">
        <v>668</v>
      </c>
    </row>
    <row r="112" ht="14.5">
      <c r="A112" s="11" t="s">
        <v>670</v>
      </c>
      <c r="B112" s="11" t="s">
        <v>668</v>
      </c>
      <c r="D112">
        <v>-2500</v>
      </c>
      <c r="G112">
        <v>-2500</v>
      </c>
      <c r="J112">
        <v>-2500</v>
      </c>
      <c r="M112">
        <v>-2500</v>
      </c>
      <c r="P112">
        <v>-2500</v>
      </c>
      <c r="S112">
        <v>-2500</v>
      </c>
      <c r="V112">
        <v>-2500</v>
      </c>
      <c r="Y112">
        <v>-2500</v>
      </c>
      <c r="AB112">
        <v>-2500</v>
      </c>
      <c r="AE112">
        <v>-2500</v>
      </c>
      <c r="AH112">
        <v>-2500</v>
      </c>
      <c r="AK112">
        <v>-2500</v>
      </c>
      <c r="AN112">
        <v>-2500</v>
      </c>
    </row>
    <row r="113" ht="14.5">
      <c r="A113" s="11" t="s">
        <v>672</v>
      </c>
      <c r="B113" s="11" t="s">
        <v>668</v>
      </c>
    </row>
    <row r="114" ht="14.5">
      <c r="A114" s="11" t="s">
        <v>674</v>
      </c>
      <c r="B114" s="11" t="s">
        <v>668</v>
      </c>
    </row>
    <row r="115" ht="14.5">
      <c r="A115" s="11" t="s">
        <v>681</v>
      </c>
      <c r="B115" s="11" t="s">
        <v>677</v>
      </c>
    </row>
    <row r="116" ht="14.5">
      <c r="A116" s="11" t="s">
        <v>683</v>
      </c>
      <c r="B116" s="11" t="s">
        <v>651</v>
      </c>
    </row>
    <row r="117" ht="14.5">
      <c r="A117" s="11" t="s">
        <v>685</v>
      </c>
      <c r="B117" s="11" t="s">
        <v>677</v>
      </c>
    </row>
    <row r="118" ht="14.5">
      <c r="A118" s="11" t="s">
        <v>687</v>
      </c>
      <c r="B118" s="11" t="s">
        <v>688</v>
      </c>
    </row>
    <row r="119" ht="14.5">
      <c r="A119" s="11" t="s">
        <v>698</v>
      </c>
      <c r="B119" s="11" t="s">
        <v>158</v>
      </c>
    </row>
    <row r="120" ht="14.5">
      <c r="A120" s="11" t="s">
        <v>699</v>
      </c>
      <c r="B120" s="11" t="s">
        <v>158</v>
      </c>
    </row>
    <row r="121" ht="14.5">
      <c r="A121" s="11" t="s">
        <v>700</v>
      </c>
      <c r="B121" s="11" t="s">
        <v>384</v>
      </c>
    </row>
    <row r="122" ht="14.5">
      <c r="A122" s="11" t="s">
        <v>701</v>
      </c>
      <c r="B122" s="11" t="s">
        <v>111</v>
      </c>
    </row>
    <row r="123" ht="14.5">
      <c r="A123" s="11" t="s">
        <v>702</v>
      </c>
      <c r="B123" s="11" t="s">
        <v>401</v>
      </c>
    </row>
    <row r="124" ht="14.5">
      <c r="A124" s="11" t="s">
        <v>703</v>
      </c>
      <c r="B124" s="11" t="s">
        <v>401</v>
      </c>
    </row>
    <row r="125" ht="14.5">
      <c r="A125" s="11" t="s">
        <v>704</v>
      </c>
      <c r="B125" s="11" t="s">
        <v>158</v>
      </c>
    </row>
    <row r="126" ht="14.5">
      <c r="A126" s="11" t="s">
        <v>705</v>
      </c>
      <c r="B126" s="11" t="s">
        <v>158</v>
      </c>
    </row>
    <row r="127" ht="14.5">
      <c r="A127" s="11" t="s">
        <v>706</v>
      </c>
      <c r="B127" s="11" t="s">
        <v>158</v>
      </c>
    </row>
    <row r="128" ht="14.5">
      <c r="A128" s="11" t="s">
        <v>707</v>
      </c>
      <c r="B128" s="11" t="s">
        <v>384</v>
      </c>
    </row>
  </sheetData>
  <legacyDrawing r:id="rId1"/>
</worksheet>
</file>

<file path=xl/worksheets/sheet11.xml><?xml version="1.0" encoding="utf-8"?>
<worksheet xmlns:r="http://schemas.openxmlformats.org/officeDocument/2006/relationships" xmlns="http://schemas.openxmlformats.org/spreadsheetml/2006/main">
  <sheetPr>
    <tabColor rgb="FF92D050"/>
  </sheetPr>
  <sheetViews>
    <sheetView workbookViewId="0">
      <selection activeCell="D43" sqref="D43"/>
    </sheetView>
  </sheetViews>
  <sheetFormatPr defaultRowHeight="15"/>
  <cols>
    <col min="1" max="1" width="14.42578" customWidth="1"/>
    <col min="2" max="2" width="11.42578" bestFit="1" customWidth="1"/>
    <col min="3" max="3" width="14" bestFit="1" customWidth="1"/>
    <col min="4" max="13" width="13.57031" bestFit="1" customWidth="1"/>
    <col min="14" max="14" width="13.42578" bestFit="1" customWidth="1"/>
  </cols>
  <sheetData>
    <row r="2" ht="14.5">
      <c r="A2" s="23" t="s">
        <v>106</v>
      </c>
      <c r="B2" s="23" t="s">
        <v>107</v>
      </c>
      <c r="C2" s="24">
        <v>1</v>
      </c>
      <c r="D2" s="24">
        <v>2</v>
      </c>
      <c r="E2" s="24">
        <v>3</v>
      </c>
      <c r="F2" s="24">
        <v>4</v>
      </c>
      <c r="G2" s="24">
        <v>5</v>
      </c>
      <c r="H2" s="24">
        <v>6</v>
      </c>
      <c r="I2" s="24">
        <v>7</v>
      </c>
      <c r="J2" s="24">
        <v>8</v>
      </c>
      <c r="K2" s="24">
        <v>9</v>
      </c>
      <c r="L2" s="24">
        <v>10</v>
      </c>
      <c r="M2" s="24">
        <v>11</v>
      </c>
      <c r="N2" s="24">
        <v>12</v>
      </c>
    </row>
    <row r="3" ht="14.5">
      <c r="A3" s="25"/>
      <c r="B3" s="26"/>
      <c r="C3" s="25" t="s">
        <v>708</v>
      </c>
      <c r="D3" s="25" t="s">
        <v>709</v>
      </c>
      <c r="E3" s="25" t="s">
        <v>710</v>
      </c>
      <c r="F3" s="25" t="s">
        <v>711</v>
      </c>
      <c r="G3" s="25" t="s">
        <v>712</v>
      </c>
      <c r="H3" s="25" t="s">
        <v>713</v>
      </c>
      <c r="I3" s="25" t="s">
        <v>714</v>
      </c>
      <c r="J3" s="25" t="s">
        <v>715</v>
      </c>
      <c r="K3" s="25" t="s">
        <v>716</v>
      </c>
      <c r="L3" s="25" t="s">
        <v>717</v>
      </c>
      <c r="M3" s="25" t="s">
        <v>718</v>
      </c>
      <c r="N3" s="25" t="s">
        <v>719</v>
      </c>
    </row>
  </sheetData>
</worksheet>
</file>

<file path=xl/worksheets/sheet12.xml><?xml version="1.0" encoding="utf-8"?>
<worksheet xmlns:r="http://schemas.openxmlformats.org/officeDocument/2006/relationships" xmlns="http://schemas.openxmlformats.org/spreadsheetml/2006/main">
  <sheetPr>
    <tabColor rgb="FF92D050"/>
  </sheetPr>
  <sheetViews>
    <sheetView workbookViewId="0" topLeftCell="D1">
      <selection activeCell="T3" sqref="T3"/>
    </sheetView>
  </sheetViews>
  <sheetFormatPr defaultColWidth="9.140625" defaultRowHeight="15"/>
  <cols>
    <col min="1" max="1" width="9.140625" style="27"/>
    <col min="2" max="2" width="27.42578" style="2" customWidth="1"/>
    <col min="3" max="3" width="60.42578" style="2" customWidth="1"/>
    <col min="4" max="4" width="32.14063" style="2" bestFit="1" customWidth="1"/>
    <col min="5" max="6" width="14.57031" style="2" bestFit="1" customWidth="1"/>
    <col min="7" max="7" width="15.57031" style="2" bestFit="1" customWidth="1"/>
    <col min="8" max="8" width="14.57031" style="2" bestFit="1" customWidth="1"/>
    <col min="9" max="19" width="14.57031" style="2" customWidth="1"/>
    <col min="20" max="20" width="14.57031" style="2" bestFit="1" customWidth="1"/>
    <col min="21" max="21" width="13.14063" style="2" bestFit="1" customWidth="1"/>
    <col min="22" max="24" width="12" style="2" bestFit="1" customWidth="1"/>
    <col min="25" max="16384" width="9.140625" style="2"/>
  </cols>
  <sheetData>
    <row r="1" ht="24.75" customHeight="1">
      <c r="A1" s="9" t="s">
        <v>38</v>
      </c>
    </row>
    <row r="2" ht="15.75" customHeight="1">
      <c r="A2" s="9"/>
      <c r="I2" s="28">
        <v>12</v>
      </c>
      <c r="J2" s="28">
        <v>11</v>
      </c>
      <c r="K2" s="28">
        <v>10</v>
      </c>
      <c r="L2" s="28">
        <v>9</v>
      </c>
      <c r="M2" s="28">
        <v>8</v>
      </c>
      <c r="N2" s="28">
        <v>7</v>
      </c>
      <c r="O2" s="28">
        <v>6</v>
      </c>
      <c r="P2" s="28">
        <v>5</v>
      </c>
      <c r="Q2" s="28">
        <v>4</v>
      </c>
      <c r="R2" s="28">
        <v>3</v>
      </c>
      <c r="S2" s="28">
        <v>2</v>
      </c>
      <c r="T2" s="28">
        <v>1</v>
      </c>
    </row>
    <row r="3" ht="14.5">
      <c r="B3" s="19" t="s">
        <v>106</v>
      </c>
      <c r="C3" s="19" t="s">
        <v>107</v>
      </c>
      <c r="D3" s="19" t="s">
        <v>108</v>
      </c>
      <c r="E3" s="29">
        <f>+F3-1</f>
        <v>2021</v>
      </c>
      <c r="F3" s="29">
        <f>+G3-1</f>
        <v>2022</v>
      </c>
      <c r="G3" s="29">
        <f>+H3-1</f>
        <v>2023</v>
      </c>
      <c r="H3" s="29">
        <f>+YEAR(MENU!B1)-1</f>
        <v>2024</v>
      </c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30">
        <f>+MENU!B1</f>
        <v>45917</v>
      </c>
    </row>
    <row r="4" ht="14.5">
      <c r="B4" s="31" t="str">
        <f>+SW_SP_CONTI!B3</f>
        <v>10100</v>
      </c>
      <c r="C4" s="31" t="str">
        <f>+SW_SP_CONTI!C3</f>
        <v>PARTECIPAZIONI IN IMPRESE CONTROLLATE</v>
      </c>
      <c r="D4" s="31" t="str">
        <f>+SW_SP_CONTI!D3</f>
        <v>IMMOBILIZZAZIONI FINANZIARIE</v>
      </c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>
        <v>0</v>
      </c>
    </row>
    <row r="5" ht="14.5">
      <c r="B5" s="31" t="str">
        <f>+SW_SP_CONTI!B4</f>
        <v>10200</v>
      </c>
      <c r="C5" s="31" t="str">
        <f>+SW_SP_CONTI!C4</f>
        <v>PARTECIPAZIONI IN IMPRESE COLLEGATE</v>
      </c>
      <c r="D5" s="31" t="str">
        <f>+SW_SP_CONTI!D4</f>
        <v>IMMOBILIZZAZIONI FINANZIARIE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>
        <v>0</v>
      </c>
    </row>
    <row r="6" ht="14.5">
      <c r="B6" s="31" t="str">
        <f>+SW_SP_CONTI!B5</f>
        <v>10300</v>
      </c>
      <c r="C6" s="31" t="str">
        <f>+SW_SP_CONTI!C5</f>
        <v>PARTECIPAZIONI IN IMPRESE CONTROLLANTI</v>
      </c>
      <c r="D6" s="31" t="str">
        <f>+SW_SP_CONTI!D5</f>
        <v>IMMOBILIZZAZIONI FINANZIARIE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>
        <v>0</v>
      </c>
    </row>
    <row r="7" ht="14.5">
      <c r="B7" s="31" t="str">
        <f>+SW_SP_CONTI!B6</f>
        <v>10400</v>
      </c>
      <c r="C7" s="31" t="str">
        <f>+SW_SP_CONTI!C6</f>
        <v>ALTRE PARTECIPAZIONI</v>
      </c>
      <c r="D7" s="31" t="str">
        <f>+SW_SP_CONTI!D6</f>
        <v>IMMOBILIZZAZIONI FINANZIARIE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>
        <v>0</v>
      </c>
    </row>
    <row r="8" ht="14.5">
      <c r="B8" s="31" t="str">
        <f>+SW_SP_CONTI!B7</f>
        <v>10500</v>
      </c>
      <c r="C8" s="31" t="str">
        <f>+SW_SP_CONTI!C7</f>
        <v>IMMOBILIZZAZIONI IN CREDITI FINANZIARI</v>
      </c>
      <c r="D8" s="31" t="str">
        <f>+SW_SP_CONTI!D7</f>
        <v>IMMOBILIZZAZIONI FINANZIARIE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>
        <v>0</v>
      </c>
    </row>
    <row r="9" ht="14.5">
      <c r="B9" s="31" t="str">
        <f>+SW_SP_CONTI!B8</f>
        <v>10600</v>
      </c>
      <c r="C9" s="31" t="str">
        <f>+SW_SP_CONTI!C8</f>
        <v>ALTRI TITOLI</v>
      </c>
      <c r="D9" s="31" t="str">
        <f>+SW_SP_CONTI!D8</f>
        <v>IMMOBILIZZAZIONI FINANZIARIE</v>
      </c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>
        <v>0</v>
      </c>
    </row>
    <row r="10" ht="14.5">
      <c r="B10" s="31" t="str">
        <f>+SW_SP_CONTI!B9</f>
        <v>10700</v>
      </c>
      <c r="C10" s="31" t="str">
        <f>+SW_SP_CONTI!C9</f>
        <v>AZIONI PROPRIE</v>
      </c>
      <c r="D10" s="31" t="str">
        <f>+SW_SP_CONTI!D9</f>
        <v>IMMOBILIZZAZIONI FINANZIARIE</v>
      </c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>
        <v>0</v>
      </c>
    </row>
    <row r="11" ht="14.5">
      <c r="B11" s="31" t="str">
        <f>+SW_SP_CONTI!B10</f>
        <v>10800</v>
      </c>
      <c r="C11" s="31" t="str">
        <f>+SW_SP_CONTI!C10</f>
        <v>STRUMENTI FINANZIARI DER.ATTIVI</v>
      </c>
      <c r="D11" s="31" t="str">
        <f>+SW_SP_CONTI!D10</f>
        <v>IMMOBILIZZAZIONI FINANZIARIE</v>
      </c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>
        <v>0</v>
      </c>
    </row>
    <row r="12" ht="14.5">
      <c r="B12" s="31" t="str">
        <f>+SW_SP_CONTI!B11</f>
        <v>10900</v>
      </c>
      <c r="C12" s="31" t="str">
        <f>+SW_SP_CONTI!C11</f>
        <v>ALTRE IMMOB.ZIONI IMMATERIALI</v>
      </c>
      <c r="D12" s="31" t="str">
        <f>+SW_SP_CONTI!D11</f>
        <v>IMMOBILIZZAZIONI IMMATERIALI</v>
      </c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>
        <v>6205.71</v>
      </c>
    </row>
    <row r="13" ht="14.5">
      <c r="B13" s="31" t="str">
        <f>+SW_SP_CONTI!B12</f>
        <v>11000</v>
      </c>
      <c r="C13" s="31" t="str">
        <f>+SW_SP_CONTI!C12</f>
        <v>AVVIAMENTO</v>
      </c>
      <c r="D13" s="31" t="str">
        <f>+SW_SP_CONTI!D12</f>
        <v>IMMOBILIZZAZIONI IMMATERIALI</v>
      </c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>
        <v>0</v>
      </c>
    </row>
    <row r="14" ht="14.5">
      <c r="B14" s="31" t="str">
        <f>+SW_SP_CONTI!B13</f>
        <v>11100</v>
      </c>
      <c r="C14" s="31" t="str">
        <f>+SW_SP_CONTI!C13</f>
        <v>CONCESSIONI, LICENZE, MARCHI</v>
      </c>
      <c r="D14" s="31" t="str">
        <f>+SW_SP_CONTI!D13</f>
        <v>IMMOBILIZZAZIONI IMMATERIALI</v>
      </c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>
        <v>0</v>
      </c>
    </row>
    <row r="15" ht="14.5">
      <c r="B15" s="31" t="str">
        <f>+SW_SP_CONTI!B14</f>
        <v>11200</v>
      </c>
      <c r="C15" s="31" t="str">
        <f>+SW_SP_CONTI!C14</f>
        <v>COSTI RIC.,SVIL.,PUBBL. DA AMM.</v>
      </c>
      <c r="D15" s="31" t="str">
        <f>+SW_SP_CONTI!D14</f>
        <v>IMMOBILIZZAZIONI IMMATERIALI</v>
      </c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>
        <v>0</v>
      </c>
    </row>
    <row r="16" ht="14.5">
      <c r="B16" s="31" t="str">
        <f>+SW_SP_CONTI!B15</f>
        <v>11300</v>
      </c>
      <c r="C16" s="31" t="str">
        <f>+SW_SP_CONTI!C15</f>
        <v>DIRITTI DI BREV.E UTIL.OPERE ING</v>
      </c>
      <c r="D16" s="31" t="str">
        <f>+SW_SP_CONTI!D15</f>
        <v>IMMOBILIZZAZIONI IMMATERIALI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>
        <v>0</v>
      </c>
    </row>
    <row r="17" ht="14.5">
      <c r="B17" s="31" t="str">
        <f>+SW_SP_CONTI!B16</f>
        <v>11400</v>
      </c>
      <c r="C17" s="31" t="str">
        <f>+SW_SP_CONTI!C16</f>
        <v>IMM.IMM. IN CORSO E ACCONTI</v>
      </c>
      <c r="D17" s="31" t="str">
        <f>+SW_SP_CONTI!D16</f>
        <v>IMMOBILIZZAZIONI IMMATERIALI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>
        <v>0</v>
      </c>
    </row>
    <row r="18" ht="14.5">
      <c r="B18" s="31" t="str">
        <f>+SW_SP_CONTI!B17</f>
        <v>11500</v>
      </c>
      <c r="C18" s="31" t="str">
        <f>+SW_SP_CONTI!C17</f>
        <v>ALTRI BENI IMMATERIALI</v>
      </c>
      <c r="D18" s="31" t="str">
        <f>+SW_SP_CONTI!D17</f>
        <v>IMMOBILIZZAZIONI IMMATERIALI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>
        <v>6508.8800000000001</v>
      </c>
    </row>
    <row r="19" ht="14.5">
      <c r="B19" s="31" t="str">
        <f>+SW_SP_CONTI!B18</f>
        <v>11600</v>
      </c>
      <c r="C19" s="31" t="str">
        <f>+SW_SP_CONTI!C18</f>
        <v>ATTREZZATURE IND.LI E COMM.LI</v>
      </c>
      <c r="D19" s="31" t="str">
        <f>+SW_SP_CONTI!D18</f>
        <v>IMMOBILIZZAZIONI MATERIALI</v>
      </c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>
        <v>29086.389999999999</v>
      </c>
    </row>
    <row r="20" ht="14.5">
      <c r="B20" s="31" t="str">
        <f>+SW_SP_CONTI!B19</f>
        <v>11700</v>
      </c>
      <c r="C20" s="31" t="str">
        <f>+SW_SP_CONTI!C19</f>
        <v>AUTOMEZZI (ALTRI BENI)</v>
      </c>
      <c r="D20" s="31" t="str">
        <f>+SW_SP_CONTI!D19</f>
        <v>IMMOBILIZZAZIONI MATERIALI</v>
      </c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>
        <v>3000</v>
      </c>
    </row>
    <row r="21" ht="14.5">
      <c r="B21" s="31" t="str">
        <f>+SW_SP_CONTI!B20</f>
        <v>11800</v>
      </c>
      <c r="C21" s="31" t="str">
        <f>+SW_SP_CONTI!C20</f>
        <v>COSTI DI IMPIANTO E AMPLIAMENTO</v>
      </c>
      <c r="D21" s="31" t="str">
        <f>+SW_SP_CONTI!D20</f>
        <v>IMMOBILIZZAZIONI IMMATERIALI</v>
      </c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>
        <v>5650</v>
      </c>
    </row>
    <row r="22" ht="14.5">
      <c r="B22" s="31" t="str">
        <f>+SW_SP_CONTI!B21</f>
        <v>11900</v>
      </c>
      <c r="C22" s="31" t="str">
        <f>+SW_SP_CONTI!C21</f>
        <v>IMMOBIL. IN CORSO E ACCONTI</v>
      </c>
      <c r="D22" s="31" t="str">
        <f>+SW_SP_CONTI!D21</f>
        <v>IMMOBILIZZAZIONI MATERIALI</v>
      </c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>
        <v>0</v>
      </c>
    </row>
    <row r="23" ht="14.5">
      <c r="B23" s="31" t="str">
        <f>+SW_SP_CONTI!B22</f>
        <v>12000</v>
      </c>
      <c r="C23" s="31" t="str">
        <f>+SW_SP_CONTI!C22</f>
        <v>IMPIANTI E MACCHINARIO</v>
      </c>
      <c r="D23" s="31" t="str">
        <f>+SW_SP_CONTI!D22</f>
        <v>IMMOBILIZZAZIONI MATERIALI</v>
      </c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>
        <v>113518</v>
      </c>
    </row>
    <row r="24" ht="14.5">
      <c r="B24" s="31" t="str">
        <f>+SW_SP_CONTI!B23</f>
        <v>12100</v>
      </c>
      <c r="C24" s="31" t="str">
        <f>+SW_SP_CONTI!C23</f>
        <v>MOBILI E MACC.D'UFF.(ALTRI BENI)</v>
      </c>
      <c r="D24" s="31" t="str">
        <f>+SW_SP_CONTI!D23</f>
        <v>IMMOBILIZZAZIONI MATERIALI</v>
      </c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>
        <v>48352.93</v>
      </c>
    </row>
    <row r="25" ht="14.5">
      <c r="B25" s="31" t="str">
        <f>+SW_SP_CONTI!B24</f>
        <v>12200</v>
      </c>
      <c r="C25" s="31" t="str">
        <f>+SW_SP_CONTI!C24</f>
        <v>TERRENI E FABBRICATI</v>
      </c>
      <c r="D25" s="31" t="str">
        <f>+SW_SP_CONTI!D24</f>
        <v>IMMOBILIZZAZIONI MATERIALI</v>
      </c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>
        <v>1037748.15</v>
      </c>
    </row>
    <row r="26" ht="14.5">
      <c r="B26" s="31" t="str">
        <f>+SW_SP_CONTI!B25</f>
        <v>20100</v>
      </c>
      <c r="C26" s="31" t="str">
        <f>+SW_SP_CONTI!C25</f>
        <v>ACCONTI RIMANENZE</v>
      </c>
      <c r="D26" s="31" t="str">
        <f>+SW_SP_CONTI!D25</f>
        <v>RIMANENZE</v>
      </c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>
        <v>0</v>
      </c>
    </row>
    <row r="27" ht="14.5">
      <c r="B27" s="31" t="str">
        <f>+SW_SP_CONTI!B26</f>
        <v>20200</v>
      </c>
      <c r="C27" s="31" t="str">
        <f>+SW_SP_CONTI!C26</f>
        <v>BENI IN LEASING</v>
      </c>
      <c r="D27" s="31" t="str">
        <f>+SW_SP_CONTI!D26</f>
        <v>IMMOBILIZZAZIONI LEASING</v>
      </c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>
        <v>0</v>
      </c>
    </row>
    <row r="28" ht="14.5">
      <c r="B28" s="31" t="str">
        <f>+SW_SP_CONTI!B27</f>
        <v>20300</v>
      </c>
      <c r="C28" s="31" t="str">
        <f>+SW_SP_CONTI!C27</f>
        <v>LAVORI IN CORSO SU ORDINAZIONE</v>
      </c>
      <c r="D28" s="31" t="str">
        <f>+SW_SP_CONTI!D27</f>
        <v>RIMANENZE</v>
      </c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>
        <v>0</v>
      </c>
    </row>
    <row r="29" ht="14.5">
      <c r="B29" s="31" t="str">
        <f>+SW_SP_CONTI!B28</f>
        <v>20400</v>
      </c>
      <c r="C29" s="31" t="str">
        <f>+SW_SP_CONTI!C28</f>
        <v>MATERIE PRIME, SUSS.E DI CONSUMO</v>
      </c>
      <c r="D29" s="31" t="str">
        <f>+SW_SP_CONTI!D28</f>
        <v>RIMANENZE</v>
      </c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>
        <v>0</v>
      </c>
    </row>
    <row r="30" ht="14.5">
      <c r="B30" s="31" t="str">
        <f>+SW_SP_CONTI!B29</f>
        <v>20500</v>
      </c>
      <c r="C30" s="31" t="str">
        <f>+SW_SP_CONTI!C29</f>
        <v>PROD.IN CORSO DI LAV. E SEMILAV.</v>
      </c>
      <c r="D30" s="31" t="str">
        <f>+SW_SP_CONTI!D29</f>
        <v>RIMANENZE</v>
      </c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>
        <v>0</v>
      </c>
    </row>
    <row r="31" ht="14.5">
      <c r="B31" s="31" t="str">
        <f>+SW_SP_CONTI!B30</f>
        <v>20600</v>
      </c>
      <c r="C31" s="31" t="str">
        <f>+SW_SP_CONTI!C30</f>
        <v>PRODOTTI FINITI E MERCI</v>
      </c>
      <c r="D31" s="31" t="str">
        <f>+SW_SP_CONTI!D30</f>
        <v>RIMANENZE</v>
      </c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>
        <v>0</v>
      </c>
    </row>
    <row r="32" ht="14.5">
      <c r="B32" s="31" t="str">
        <f>+SW_SP_CONTI!B31</f>
        <v>30100</v>
      </c>
      <c r="C32" s="31" t="str">
        <f>+SW_SP_CONTI!C31</f>
        <v>ALTRI CREDITI TRIBUTARI</v>
      </c>
      <c r="D32" s="31" t="str">
        <f>+SW_SP_CONTI!D31</f>
        <v>CREDITI</v>
      </c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>
        <v>0</v>
      </c>
    </row>
    <row r="33" ht="14.5">
      <c r="B33" s="31" t="str">
        <f>+SW_SP_CONTI!B32</f>
        <v>30200</v>
      </c>
      <c r="C33" s="31" t="str">
        <f>+SW_SP_CONTI!C32</f>
        <v>ALTRI CREDITI TRIBUTARI oltre i 12 mesi</v>
      </c>
      <c r="D33" s="31" t="str">
        <f>+SW_SP_CONTI!D32</f>
        <v>CREDITI</v>
      </c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>
        <v>-13045.85</v>
      </c>
    </row>
    <row r="34" ht="14.5">
      <c r="B34" s="31" t="str">
        <f>+SW_SP_CONTI!B33</f>
        <v>30300</v>
      </c>
      <c r="C34" s="31" t="str">
        <f>+SW_SP_CONTI!C33</f>
        <v>Attività Finanziaria ALTRE PARTECIPAZIONI</v>
      </c>
      <c r="D34" s="31" t="str">
        <f>+SW_SP_CONTI!D33</f>
        <v>CREDITI</v>
      </c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>
        <v>0</v>
      </c>
    </row>
    <row r="35" ht="14.5">
      <c r="B35" s="31" t="str">
        <f>+SW_SP_CONTI!B34</f>
        <v>30400</v>
      </c>
      <c r="C35" s="31" t="str">
        <f>+SW_SP_CONTI!C34</f>
        <v>Attività finanziaria STRUMENTI FINANZIARI</v>
      </c>
      <c r="D35" s="31" t="str">
        <f>+SW_SP_CONTI!D34</f>
        <v>CREDITI</v>
      </c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>
        <v>0</v>
      </c>
    </row>
    <row r="36" ht="14.5">
      <c r="B36" s="31" t="str">
        <f>+SW_SP_CONTI!B35</f>
        <v>30500</v>
      </c>
      <c r="C36" s="31" t="str">
        <f>+SW_SP_CONTI!C35</f>
        <v>Attività FinanziariALTRI TITOLI</v>
      </c>
      <c r="D36" s="31" t="str">
        <f>+SW_SP_CONTI!D35</f>
        <v>CREDITI</v>
      </c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>
        <v>1008.8200000000001</v>
      </c>
    </row>
    <row r="37" ht="14.5">
      <c r="B37" s="31" t="str">
        <f>+SW_SP_CONTI!B36</f>
        <v>30600</v>
      </c>
      <c r="C37" s="31" t="str">
        <f>+SW_SP_CONTI!C36</f>
        <v>Attvità Finanziarie IN IMPRESE CONTR.</v>
      </c>
      <c r="D37" s="31" t="str">
        <f>+SW_SP_CONTI!D36</f>
        <v>CREDITI</v>
      </c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>
        <v>0</v>
      </c>
    </row>
    <row r="38" ht="14.5">
      <c r="B38" s="31" t="str">
        <f>+SW_SP_CONTI!B37</f>
        <v>30700</v>
      </c>
      <c r="C38" s="31" t="str">
        <f>+SW_SP_CONTI!C37</f>
        <v>CREDITI PER IMPOSTE ANTICIPATE</v>
      </c>
      <c r="D38" s="31" t="str">
        <f>+SW_SP_CONTI!D37</f>
        <v>CREDITI</v>
      </c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>
        <v>0</v>
      </c>
    </row>
    <row r="39" ht="14.5">
      <c r="B39" s="31" t="str">
        <f>+SW_SP_CONTI!B38</f>
        <v>30800</v>
      </c>
      <c r="C39" s="31" t="str">
        <f>+SW_SP_CONTI!C38</f>
        <v>CREDITI V/CLIENTI inferiori ai 12 mesi</v>
      </c>
      <c r="D39" s="31" t="str">
        <f>+SW_SP_CONTI!D38</f>
        <v>CREDITI</v>
      </c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>
        <v>-67500</v>
      </c>
    </row>
    <row r="40" ht="14.5">
      <c r="B40" s="31" t="str">
        <f>+SW_SP_CONTI!B39</f>
        <v>30900</v>
      </c>
      <c r="C40" s="31" t="str">
        <f>+SW_SP_CONTI!C39</f>
        <v>CREDITI V/CLIENTI superiori ai 12 mesi</v>
      </c>
      <c r="D40" s="31" t="str">
        <f>+SW_SP_CONTI!D39</f>
        <v>CREDITI</v>
      </c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>
        <v>10000</v>
      </c>
    </row>
    <row r="41" ht="14.5">
      <c r="B41" s="31" t="str">
        <f>+SW_SP_CONTI!B40</f>
        <v>31000</v>
      </c>
      <c r="C41" s="31" t="str">
        <f>+SW_SP_CONTI!C40</f>
        <v>CREDITI V/DIPENDENTI</v>
      </c>
      <c r="D41" s="31" t="str">
        <f>+SW_SP_CONTI!D40</f>
        <v>CREDITI</v>
      </c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>
        <v>0</v>
      </c>
    </row>
    <row r="42" ht="14.5">
      <c r="B42" s="31" t="str">
        <f>+SW_SP_CONTI!B41</f>
        <v>31100</v>
      </c>
      <c r="C42" s="31" t="str">
        <f>+SW_SP_CONTI!C41</f>
        <v>CREDITI V/FORNITORI (ACCONTI)</v>
      </c>
      <c r="D42" s="31" t="str">
        <f>+SW_SP_CONTI!D41</f>
        <v>CREDITI</v>
      </c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>
        <v>1300</v>
      </c>
    </row>
    <row r="43" ht="14.5">
      <c r="B43" s="31" t="str">
        <f>+SW_SP_CONTI!B42</f>
        <v>31200</v>
      </c>
      <c r="C43" s="31" t="str">
        <f>+SW_SP_CONTI!C42</f>
        <v>CREDITI V/IMPRESE Contr.te-Coll.te-Contr.ti inferiori ai 12 mesi</v>
      </c>
      <c r="D43" s="31" t="str">
        <f>+SW_SP_CONTI!D42</f>
        <v>CREDITI</v>
      </c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>
        <v>0</v>
      </c>
    </row>
    <row r="44" ht="14.5">
      <c r="B44" s="31" t="str">
        <f>+SW_SP_CONTI!B43</f>
        <v>31300</v>
      </c>
      <c r="C44" s="31" t="str">
        <f>+SW_SP_CONTI!C43</f>
        <v>CREDITI V/IMPRESE Contr.te-Coll.te-Contr.ti superiori ai 12 mesi</v>
      </c>
      <c r="D44" s="31" t="str">
        <f>+SW_SP_CONTI!D43</f>
        <v>CREDITI</v>
      </c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>
        <v>0</v>
      </c>
    </row>
    <row r="45" ht="14.5">
      <c r="B45" s="31" t="str">
        <f>+SW_SP_CONTI!B44</f>
        <v>31400</v>
      </c>
      <c r="C45" s="31" t="str">
        <f>+SW_SP_CONTI!C44</f>
        <v>CREDITI V/Istituti Previdenziali inferiori ai 12 mesi</v>
      </c>
      <c r="D45" s="31" t="str">
        <f>+SW_SP_CONTI!D44</f>
        <v>CREDITI</v>
      </c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>
        <v>0</v>
      </c>
    </row>
    <row r="46" ht="14.5">
      <c r="B46" s="31" t="str">
        <f>+SW_SP_CONTI!B45</f>
        <v>31500</v>
      </c>
      <c r="C46" s="31" t="str">
        <f>+SW_SP_CONTI!C45</f>
        <v>CREDITI V/Istituti Previdenziali superiori ai 12 mesi</v>
      </c>
      <c r="D46" s="31" t="str">
        <f>+SW_SP_CONTI!D45</f>
        <v>CREDITI</v>
      </c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>
        <v>0</v>
      </c>
    </row>
    <row r="47" ht="14.5">
      <c r="B47" s="31" t="str">
        <f>+SW_SP_CONTI!B46</f>
        <v>31600</v>
      </c>
      <c r="C47" s="31" t="str">
        <f>+SW_SP_CONTI!C46</f>
        <v>CREDITI V/SOCI</v>
      </c>
      <c r="D47" s="31" t="str">
        <f>+SW_SP_CONTI!D46</f>
        <v>CREDITI</v>
      </c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>
        <v>0</v>
      </c>
    </row>
    <row r="48" ht="14.5">
      <c r="B48" s="31" t="str">
        <f>+SW_SP_CONTI!B47</f>
        <v>31700</v>
      </c>
      <c r="C48" s="31" t="str">
        <f>+SW_SP_CONTI!C47</f>
        <v>CREDITI V/SOCI P/VERS.ANC.DOVUTI</v>
      </c>
      <c r="D48" s="31" t="str">
        <f>+SW_SP_CONTI!D47</f>
        <v>CREDITI</v>
      </c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>
        <v>0</v>
      </c>
    </row>
    <row r="49" ht="14.5">
      <c r="B49" s="31" t="str">
        <f>+SW_SP_CONTI!B48</f>
        <v>31800</v>
      </c>
      <c r="C49" s="31" t="str">
        <f>+SW_SP_CONTI!C48</f>
        <v>CREDITI DIVERSI</v>
      </c>
      <c r="D49" s="31" t="str">
        <f>+SW_SP_CONTI!D48</f>
        <v>CREDITI</v>
      </c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>
        <v>0</v>
      </c>
    </row>
    <row r="50" ht="14.5">
      <c r="B50" s="31" t="str">
        <f>+SW_SP_CONTI!B49</f>
        <v>31900</v>
      </c>
      <c r="C50" s="31" t="str">
        <f>+SW_SP_CONTI!C49</f>
        <v xml:space="preserve">CREDITO D'IMPOSTA </v>
      </c>
      <c r="D50" s="31" t="str">
        <f>+SW_SP_CONTI!D49</f>
        <v>CREDITI</v>
      </c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>
        <v>0</v>
      </c>
    </row>
    <row r="51" ht="14.5">
      <c r="B51" s="31" t="str">
        <f>+SW_SP_CONTI!B50</f>
        <v>32000</v>
      </c>
      <c r="C51" s="31" t="str">
        <f>+SW_SP_CONTI!C50</f>
        <v xml:space="preserve">Credito Ires e Irap </v>
      </c>
      <c r="D51" s="31" t="str">
        <f>+SW_SP_CONTI!D50</f>
        <v>CREDITI</v>
      </c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>
        <v>0</v>
      </c>
    </row>
    <row r="52" ht="14.5">
      <c r="B52" s="31" t="str">
        <f>+SW_SP_CONTI!B51</f>
        <v>32100</v>
      </c>
      <c r="C52" s="31" t="str">
        <f>+SW_SP_CONTI!C51</f>
        <v>Credito Iva</v>
      </c>
      <c r="D52" s="31" t="str">
        <f>+SW_SP_CONTI!D51</f>
        <v>CREDITI</v>
      </c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>
        <v>0</v>
      </c>
    </row>
    <row r="53" ht="14.5">
      <c r="B53" s="31" t="str">
        <f>+SW_SP_CONTI!B52</f>
        <v>32200</v>
      </c>
      <c r="C53" s="31" t="str">
        <f>+SW_SP_CONTI!C52</f>
        <v>Fatture da Emettere</v>
      </c>
      <c r="D53" s="31" t="str">
        <f>+SW_SP_CONTI!D52</f>
        <v>CREDITI</v>
      </c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>
        <v>0</v>
      </c>
    </row>
    <row r="54" ht="14.5">
      <c r="B54" s="31" t="str">
        <f>+SW_SP_CONTI!B53</f>
        <v>32300</v>
      </c>
      <c r="C54" s="31" t="str">
        <f>+SW_SP_CONTI!C53</f>
        <v>PARTECIPAZIONI V/IMPRESE Contr.te-Coll.te-Contr.ti inferiori ai 12 mesi</v>
      </c>
      <c r="D54" s="31" t="str">
        <f>+SW_SP_CONTI!D53</f>
        <v>CREDITI</v>
      </c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>
        <v>0</v>
      </c>
    </row>
    <row r="55" ht="14.5">
      <c r="B55" s="31" t="str">
        <f>+SW_SP_CONTI!B54</f>
        <v>32400</v>
      </c>
      <c r="C55" s="31" t="str">
        <f>+SW_SP_CONTI!C54</f>
        <v>RATEI ATTIVI</v>
      </c>
      <c r="D55" s="31" t="str">
        <f>+SW_SP_CONTI!D54</f>
        <v>RATEI E RISCONTI</v>
      </c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>
        <v>0</v>
      </c>
    </row>
    <row r="56" ht="14.5">
      <c r="B56" s="31" t="str">
        <f>+SW_SP_CONTI!B55</f>
        <v>32500</v>
      </c>
      <c r="C56" s="31" t="str">
        <f>+SW_SP_CONTI!C55</f>
        <v>RISCONTI ATTIVI</v>
      </c>
      <c r="D56" s="31" t="str">
        <f>+SW_SP_CONTI!D55</f>
        <v>RATEI E RISCONTI</v>
      </c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>
        <v>0</v>
      </c>
    </row>
    <row r="57" ht="14.5">
      <c r="B57" s="31" t="str">
        <f>+SW_SP_CONTI!B56</f>
        <v>32600</v>
      </c>
      <c r="C57" s="31" t="str">
        <f>+SW_SP_CONTI!C56</f>
        <v>ASSEGNI</v>
      </c>
      <c r="D57" s="31" t="str">
        <f>+SW_SP_CONTI!D56</f>
        <v>LIQUIDITA E ESIGIBILITA' IMMEDIATE</v>
      </c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>
        <v>0</v>
      </c>
    </row>
    <row r="58" ht="14.5">
      <c r="B58" s="31" t="str">
        <f>+SW_SP_CONTI!B57</f>
        <v>32700</v>
      </c>
      <c r="C58" s="31" t="str">
        <f>+SW_SP_CONTI!C57</f>
        <v>DENARO E VALORI IN CASSA</v>
      </c>
      <c r="D58" s="31" t="str">
        <f>+SW_SP_CONTI!D57</f>
        <v>LIQUIDITA E ESIGIBILITA' IMMEDIATE</v>
      </c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>
        <v>54.189999999999998</v>
      </c>
    </row>
    <row r="59" ht="14.5">
      <c r="B59" s="31" t="str">
        <f>+SW_SP_CONTI!B58</f>
        <v>32800</v>
      </c>
      <c r="C59" s="31" t="str">
        <f>+SW_SP_CONTI!C58</f>
        <v>DEPOSITI BANCARI E POSTALI attivi</v>
      </c>
      <c r="D59" s="31" t="str">
        <f>+SW_SP_CONTI!D58</f>
        <v>LIQUIDITA E ESIGIBILITA' IMMEDIATE</v>
      </c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>
        <v>314209.03999999998</v>
      </c>
    </row>
    <row r="60" ht="14.5">
      <c r="B60" s="31" t="str">
        <f>+SW_SP_CONTI!B59</f>
        <v>40000</v>
      </c>
      <c r="C60" s="31" t="str">
        <f>+SW_SP_CONTI!C59</f>
        <v>ALTRI FONDI PER RISCHI ED ONERI</v>
      </c>
      <c r="D60" s="31" t="str">
        <f>+SW_SP_CONTI!D59</f>
        <v>FONDI</v>
      </c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>
        <v>0</v>
      </c>
    </row>
    <row r="61" ht="14.5">
      <c r="B61" s="31" t="str">
        <f>+SW_SP_CONTI!B60</f>
        <v>40100</v>
      </c>
      <c r="C61" s="31" t="str">
        <f>+SW_SP_CONTI!C60</f>
        <v>F.DI P/TRAT.QUIESC.E OBBL.SIMILI</v>
      </c>
      <c r="D61" s="31" t="str">
        <f>+SW_SP_CONTI!D60</f>
        <v>FONDI</v>
      </c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>
        <v>0</v>
      </c>
    </row>
    <row r="62" ht="14.5">
      <c r="B62" s="31" t="str">
        <f>+SW_SP_CONTI!B61</f>
        <v>40200</v>
      </c>
      <c r="C62" s="31" t="str">
        <f>+SW_SP_CONTI!C61</f>
        <v>F.DI RISCHI SU CREDITI V. CLIENT</v>
      </c>
      <c r="D62" s="31" t="str">
        <f>+SW_SP_CONTI!D61</f>
        <v>FONDI</v>
      </c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>
        <v>0</v>
      </c>
    </row>
    <row r="63" ht="14.5">
      <c r="B63" s="31" t="str">
        <f>+SW_SP_CONTI!B62</f>
        <v>40300</v>
      </c>
      <c r="C63" s="31" t="str">
        <f>+SW_SP_CONTI!C62</f>
        <v>F.DO SVALUT. IMMOB. IMMATERIALI</v>
      </c>
      <c r="D63" s="31" t="str">
        <f>+SW_SP_CONTI!D62</f>
        <v>FONDI</v>
      </c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>
        <v>0</v>
      </c>
    </row>
    <row r="64" ht="14.5">
      <c r="B64" s="31" t="str">
        <f>+SW_SP_CONTI!B63</f>
        <v>40400</v>
      </c>
      <c r="C64" s="31" t="str">
        <f>+SW_SP_CONTI!C63</f>
        <v>F.DO SVALUT. IMMOB. MATERIALI</v>
      </c>
      <c r="D64" s="31" t="str">
        <f>+SW_SP_CONTI!D63</f>
        <v>FONDI</v>
      </c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>
        <v>0</v>
      </c>
    </row>
    <row r="65" ht="14.5">
      <c r="B65" s="31" t="str">
        <f>+SW_SP_CONTI!B64</f>
        <v>40500</v>
      </c>
      <c r="C65" s="31" t="str">
        <f>+SW_SP_CONTI!C64</f>
        <v>F.DO SVALUTAZIONE MAGAZZINO</v>
      </c>
      <c r="D65" s="31" t="str">
        <f>+SW_SP_CONTI!D64</f>
        <v>FONDI</v>
      </c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>
        <v>0</v>
      </c>
    </row>
    <row r="66" ht="14.5">
      <c r="B66" s="31" t="str">
        <f>+SW_SP_CONTI!B65</f>
        <v>40600</v>
      </c>
      <c r="C66" s="31" t="str">
        <f>+SW_SP_CONTI!C65</f>
        <v>F/SVAL. IMM. FINANZIARIE</v>
      </c>
      <c r="D66" s="31" t="str">
        <f>+SW_SP_CONTI!D65</f>
        <v>FONDI</v>
      </c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>
        <v>0</v>
      </c>
    </row>
    <row r="67" ht="14.5">
      <c r="B67" s="31" t="str">
        <f>+SW_SP_CONTI!B66</f>
        <v>40700</v>
      </c>
      <c r="C67" s="31" t="str">
        <f>+SW_SP_CONTI!C66</f>
        <v>FONDO PER IMPOSTE</v>
      </c>
      <c r="D67" s="31" t="str">
        <f>+SW_SP_CONTI!D66</f>
        <v>FONDI</v>
      </c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>
        <v>0</v>
      </c>
    </row>
    <row r="68" ht="14.5">
      <c r="B68" s="31" t="str">
        <f>+SW_SP_CONTI!B67</f>
        <v>40800</v>
      </c>
      <c r="C68" s="31" t="str">
        <f>+SW_SP_CONTI!C67</f>
        <v>TFR LAVORO SUBORDINATO</v>
      </c>
      <c r="D68" s="31" t="str">
        <f>+SW_SP_CONTI!D67</f>
        <v>FONDI</v>
      </c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>
        <v>-5174.8599999999997</v>
      </c>
    </row>
    <row r="69" ht="14.5">
      <c r="B69" s="31" t="str">
        <f>+SW_SP_CONTI!B68</f>
        <v>50100</v>
      </c>
      <c r="C69" s="31" t="str">
        <f>+SW_SP_CONTI!C68</f>
        <v>F/AMM ALTRE IMMOB. IMMATERIALI</v>
      </c>
      <c r="D69" s="31" t="str">
        <f>+SW_SP_CONTI!D68</f>
        <v>F.DO AMM.TO IMM.NI IMMATERIALI</v>
      </c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>
        <v>0</v>
      </c>
    </row>
    <row r="70" ht="14.5">
      <c r="B70" s="31" t="str">
        <f>+SW_SP_CONTI!B69</f>
        <v>50200</v>
      </c>
      <c r="C70" s="31" t="str">
        <f>+SW_SP_CONTI!C69</f>
        <v>F/AMM ATTREZ. IND.LI E COMM.LI</v>
      </c>
      <c r="D70" s="31" t="str">
        <f>+SW_SP_CONTI!D69</f>
        <v>F.DO AMM.TO IMM.NI MATERIALI</v>
      </c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>
        <v>0</v>
      </c>
    </row>
    <row r="71" ht="14.5">
      <c r="B71" s="31" t="str">
        <f>+SW_SP_CONTI!B70</f>
        <v>50300</v>
      </c>
      <c r="C71" s="31" t="str">
        <f>+SW_SP_CONTI!C70</f>
        <v>F/AMM AVVIAMENTO</v>
      </c>
      <c r="D71" s="31" t="str">
        <f>+SW_SP_CONTI!D70</f>
        <v>F.DO AMM.TO IMM.NI IMMATERIALI</v>
      </c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>
        <v>0</v>
      </c>
    </row>
    <row r="72" ht="14.5">
      <c r="B72" s="31" t="str">
        <f>+SW_SP_CONTI!B71</f>
        <v>50400</v>
      </c>
      <c r="C72" s="31" t="str">
        <f>+SW_SP_CONTI!C71</f>
        <v>F/AMM CONCESS. LICENZE MARCHI</v>
      </c>
      <c r="D72" s="31" t="str">
        <f>+SW_SP_CONTI!D71</f>
        <v>F.DO AMM.TO IMM.NI IMMATERIALI</v>
      </c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>
        <v>0</v>
      </c>
    </row>
    <row r="73" ht="14.5">
      <c r="B73" s="31" t="str">
        <f>+SW_SP_CONTI!B72</f>
        <v>50500</v>
      </c>
      <c r="C73" s="31" t="str">
        <f>+SW_SP_CONTI!C72</f>
        <v>F/AMM COSTI DI IMPIANTO E AMPL.</v>
      </c>
      <c r="D73" s="31" t="str">
        <f>+SW_SP_CONTI!D72</f>
        <v>F.DO AMM.TO IMM.NI IMMATERIALI</v>
      </c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>
        <v>0</v>
      </c>
    </row>
    <row r="74" ht="14.5">
      <c r="B74" s="31" t="str">
        <f>+SW_SP_CONTI!B73</f>
        <v>50600</v>
      </c>
      <c r="C74" s="31" t="str">
        <f>+SW_SP_CONTI!C73</f>
        <v>F/AMM COSTI DI RIC,SVIL,PUBB.AMM</v>
      </c>
      <c r="D74" s="31" t="str">
        <f>+SW_SP_CONTI!D73</f>
        <v>F.DO AMM.TO IMM.NI IMMATERIALI</v>
      </c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>
        <v>0</v>
      </c>
    </row>
    <row r="75" ht="14.5">
      <c r="B75" s="31" t="str">
        <f>+SW_SP_CONTI!B74</f>
        <v>50700</v>
      </c>
      <c r="C75" s="31" t="str">
        <f>+SW_SP_CONTI!C74</f>
        <v>F/AMM DIRITTI DI BREV. E UT. OP.</v>
      </c>
      <c r="D75" s="31" t="str">
        <f>+SW_SP_CONTI!D74</f>
        <v>F.DO AMM.TO IMM.NI IMMATERIALI</v>
      </c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>
        <v>0</v>
      </c>
    </row>
    <row r="76" ht="14.5">
      <c r="B76" s="31" t="str">
        <f>+SW_SP_CONTI!B75</f>
        <v>50800</v>
      </c>
      <c r="C76" s="31" t="str">
        <f>+SW_SP_CONTI!C75</f>
        <v>F/AMM FABBRICATI</v>
      </c>
      <c r="D76" s="31" t="str">
        <f>+SW_SP_CONTI!D75</f>
        <v>F.DO AMM.TO IMM.NI MATERIALI</v>
      </c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>
        <v>-86492.809999999998</v>
      </c>
    </row>
    <row r="77" ht="14.5">
      <c r="B77" s="31" t="str">
        <f>+SW_SP_CONTI!B76</f>
        <v>50900</v>
      </c>
      <c r="C77" s="31" t="str">
        <f>+SW_SP_CONTI!C76</f>
        <v>F/AMM IMPIANTI E MACCHINARIO</v>
      </c>
      <c r="D77" s="31" t="str">
        <f>+SW_SP_CONTI!D76</f>
        <v>F.DO AMM.TO IMM.NI MATERIALI</v>
      </c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>
        <v>-39358.32</v>
      </c>
    </row>
    <row r="78" ht="14.5">
      <c r="B78" s="31" t="str">
        <f>+SW_SP_CONTI!B77</f>
        <v>51000</v>
      </c>
      <c r="C78" s="31" t="str">
        <f>+SW_SP_CONTI!C77</f>
        <v>F/AMM. ALTRI BENI MATERIALI</v>
      </c>
      <c r="D78" s="31" t="str">
        <f>+SW_SP_CONTI!D77</f>
        <v>F.DO AMM.TO IMM.NI MATERIALI</v>
      </c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>
        <v>-31318.560000000001</v>
      </c>
    </row>
    <row r="79" ht="14.5">
      <c r="B79" s="31" t="str">
        <f>+SW_SP_CONTI!B78</f>
        <v>51100</v>
      </c>
      <c r="C79" s="31" t="str">
        <f>+SW_SP_CONTI!C78</f>
        <v>F/AMM. AUTOMEZZI (ALTRI BENI)</v>
      </c>
      <c r="D79" s="31" t="str">
        <f>+SW_SP_CONTI!D78</f>
        <v>F.DO AMM.TO IMM.NI MATERIALI</v>
      </c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>
        <v>0</v>
      </c>
    </row>
    <row r="80" ht="14.5">
      <c r="B80" s="31" t="str">
        <f>+SW_SP_CONTI!B79</f>
        <v>51200</v>
      </c>
      <c r="C80" s="31" t="str">
        <f>+SW_SP_CONTI!C79</f>
        <v>F/AMM. MOBILI E MACCH. D'UFFICIO</v>
      </c>
      <c r="D80" s="31" t="str">
        <f>+SW_SP_CONTI!D79</f>
        <v>F.DO AMM.TO IMM.NI MATERIALI</v>
      </c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>
        <v>-19100.380000000001</v>
      </c>
    </row>
    <row r="81" ht="14.5">
      <c r="B81" s="31" t="str">
        <f>+SW_SP_CONTI!B80</f>
        <v>60000</v>
      </c>
      <c r="C81" s="31" t="str">
        <f>+SW_SP_CONTI!C80</f>
        <v>ALTRE RISERVE</v>
      </c>
      <c r="D81" s="31" t="str">
        <f>+SW_SP_CONTI!D80</f>
        <v>RISERVE</v>
      </c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>
        <v>-125382</v>
      </c>
    </row>
    <row r="82" ht="14.5">
      <c r="B82" s="31" t="str">
        <f>+SW_SP_CONTI!B81</f>
        <v>60100</v>
      </c>
      <c r="C82" s="31" t="str">
        <f>+SW_SP_CONTI!C81</f>
        <v>CAPITALE</v>
      </c>
      <c r="D82" s="31" t="str">
        <f>+SW_SP_CONTI!D81</f>
        <v>CAPITALE</v>
      </c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>
        <v>-10000</v>
      </c>
    </row>
    <row r="83" ht="14.5">
      <c r="B83" s="31" t="str">
        <f>+SW_SP_CONTI!B82</f>
        <v>60200</v>
      </c>
      <c r="C83" s="31" t="str">
        <f>+SW_SP_CONTI!C82</f>
        <v>RISERVA DA SOPRAPREZ. AZ./QUOTE</v>
      </c>
      <c r="D83" s="31" t="str">
        <f>+SW_SP_CONTI!D82</f>
        <v>RISERVE</v>
      </c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>
        <v>0</v>
      </c>
    </row>
    <row r="84" ht="14.5">
      <c r="B84" s="31" t="str">
        <f>+SW_SP_CONTI!B83</f>
        <v>60300</v>
      </c>
      <c r="C84" s="31" t="str">
        <f>+SW_SP_CONTI!C83</f>
        <v>RISERVA LEGALE</v>
      </c>
      <c r="D84" s="31" t="str">
        <f>+SW_SP_CONTI!D83</f>
        <v>RISERVE</v>
      </c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>
        <v>-2000</v>
      </c>
    </row>
    <row r="85" ht="14.5">
      <c r="B85" s="31" t="str">
        <f>+SW_SP_CONTI!B84</f>
        <v>60400</v>
      </c>
      <c r="C85" s="31" t="str">
        <f>+SW_SP_CONTI!C84</f>
        <v>RISERVE DI RIVALUTAZIONE</v>
      </c>
      <c r="D85" s="31" t="str">
        <f>+SW_SP_CONTI!D84</f>
        <v>RISERVE</v>
      </c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>
        <v>0</v>
      </c>
    </row>
    <row r="86" ht="14.5">
      <c r="B86" s="31" t="str">
        <f>+SW_SP_CONTI!B85</f>
        <v>60500</v>
      </c>
      <c r="C86" s="31" t="str">
        <f>+SW_SP_CONTI!C85</f>
        <v>Riserve di Utili non distribuiti</v>
      </c>
      <c r="D86" s="31" t="str">
        <f>+SW_SP_CONTI!D85</f>
        <v>RISERVE</v>
      </c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>
        <v>0</v>
      </c>
    </row>
    <row r="87" ht="14.5">
      <c r="B87" s="31" t="str">
        <f>+SW_SP_CONTI!B86</f>
        <v>60600</v>
      </c>
      <c r="C87" s="31" t="str">
        <f>+SW_SP_CONTI!C86</f>
        <v>RISERVE STATUTARIE</v>
      </c>
      <c r="D87" s="31" t="str">
        <f>+SW_SP_CONTI!D86</f>
        <v>RISERVE</v>
      </c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>
        <v>0</v>
      </c>
    </row>
    <row r="88" ht="14.5">
      <c r="B88" s="31" t="str">
        <f>+SW_SP_CONTI!B87</f>
        <v>60700</v>
      </c>
      <c r="C88" s="31" t="str">
        <f>+SW_SP_CONTI!C87</f>
        <v>UTILE (PERDITA) DELL'ESERCIZIO</v>
      </c>
      <c r="D88" s="31" t="str">
        <f>+SW_SP_CONTI!D87</f>
        <v>UTILE PERDITA ESERCIZIO</v>
      </c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>
        <v>-981.12</v>
      </c>
    </row>
    <row r="89" ht="14.5">
      <c r="B89" s="31" t="str">
        <f>+SW_SP_CONTI!B88</f>
        <v>60800</v>
      </c>
      <c r="C89" s="31" t="str">
        <f>+SW_SP_CONTI!C88</f>
        <v>UTILI (PERDITE) PORTATI A NUOVO</v>
      </c>
      <c r="D89" s="31" t="str">
        <f>+SW_SP_CONTI!D88</f>
        <v>UTILE PERDITA A NUOVO</v>
      </c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>
        <v>0</v>
      </c>
    </row>
    <row r="90" ht="14.5">
      <c r="B90" s="31" t="str">
        <f>+SW_SP_CONTI!B89</f>
        <v>60900</v>
      </c>
      <c r="C90" s="31" t="str">
        <f>+SW_SP_CONTI!C89</f>
        <v>Crediti Versamenti Aumento Capitale</v>
      </c>
      <c r="D90" s="31" t="str">
        <f>+SW_SP_CONTI!D89</f>
        <v>CREDITI X AUMENTO CAPITALE</v>
      </c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>
        <v>0</v>
      </c>
    </row>
    <row r="91" ht="14.5">
      <c r="B91" s="31" t="str">
        <f>+SW_SP_CONTI!B90</f>
        <v>70000</v>
      </c>
      <c r="C91" s="31" t="str">
        <f>+SW_SP_CONTI!C90</f>
        <v>DEBITI V/BANCHE c/c passivi</v>
      </c>
      <c r="D91" s="31" t="str">
        <f>+SW_SP_CONTI!D90</f>
        <v>DEBITI</v>
      </c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>
        <v>-367.95999999999998</v>
      </c>
    </row>
    <row r="92" ht="14.5">
      <c r="B92" s="31" t="str">
        <f>+SW_SP_CONTI!B91</f>
        <v>70100</v>
      </c>
      <c r="C92" s="31" t="str">
        <f>+SW_SP_CONTI!C91</f>
        <v>ACCONTI DA CLIENTI E CAPARRE</v>
      </c>
      <c r="D92" s="31" t="str">
        <f>+SW_SP_CONTI!D91</f>
        <v>DEBITI</v>
      </c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>
        <v>0</v>
      </c>
    </row>
    <row r="93" ht="14.5">
      <c r="B93" s="31" t="str">
        <f>+SW_SP_CONTI!B92</f>
        <v>70200</v>
      </c>
      <c r="C93" s="31" t="str">
        <f>+SW_SP_CONTI!C92</f>
        <v>ALTRI DEBITI TRIBUTARI (OLTRE ESERCIZIO)</v>
      </c>
      <c r="D93" s="31" t="str">
        <f>+SW_SP_CONTI!D92</f>
        <v>DEBITI</v>
      </c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>
        <v>-158522.42000000001</v>
      </c>
    </row>
    <row r="94" ht="14.5">
      <c r="B94" s="31" t="str">
        <f>+SW_SP_CONTI!B93</f>
        <v>70300</v>
      </c>
      <c r="C94" s="31" t="str">
        <f>+SW_SP_CONTI!C93</f>
        <v>ALTRI DEBITI V/DIPENDENTI (OLTRE ESERCIZIO)</v>
      </c>
      <c r="D94" s="31" t="str">
        <f>+SW_SP_CONTI!D93</f>
        <v>DEBITI</v>
      </c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>
        <v>0</v>
      </c>
    </row>
    <row r="95" ht="14.5">
      <c r="B95" s="31" t="str">
        <f>+SW_SP_CONTI!B94</f>
        <v>70400</v>
      </c>
      <c r="C95" s="31" t="str">
        <f>+SW_SP_CONTI!C94</f>
        <v>SINDACI E AMMINISTRATORI C/COMPENSI</v>
      </c>
      <c r="D95" s="31" t="str">
        <f>+SW_SP_CONTI!D94</f>
        <v>DEBITI</v>
      </c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>
        <v>0</v>
      </c>
    </row>
    <row r="96" ht="14.5">
      <c r="B96" s="31" t="str">
        <f>+SW_SP_CONTI!B95</f>
        <v>70500</v>
      </c>
      <c r="C96" s="31" t="str">
        <f>+SW_SP_CONTI!C95</f>
        <v>DEBITI DIVERSI E FATTURE DA RICEVERE</v>
      </c>
      <c r="D96" s="31" t="str">
        <f>+SW_SP_CONTI!D95</f>
        <v>DEBITI</v>
      </c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>
        <v>0</v>
      </c>
    </row>
    <row r="97" ht="14.5">
      <c r="B97" s="31" t="str">
        <f>+SW_SP_CONTI!B96</f>
        <v>70600</v>
      </c>
      <c r="C97" s="31" t="str">
        <f>+SW_SP_CONTI!C96</f>
        <v>DEBITI PREVIDENZIALI</v>
      </c>
      <c r="D97" s="31" t="str">
        <f>+SW_SP_CONTI!D96</f>
        <v>DEBITI</v>
      </c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>
        <v>-1930.97</v>
      </c>
    </row>
    <row r="98" ht="14.5">
      <c r="B98" s="31" t="str">
        <f>+SW_SP_CONTI!B97</f>
        <v>70700</v>
      </c>
      <c r="C98" s="31" t="str">
        <f>+SW_SP_CONTI!C97</f>
        <v>DEBITI PREVIDENZIALI RATEIZZATI</v>
      </c>
      <c r="D98" s="31" t="str">
        <f>+SW_SP_CONTI!D97</f>
        <v>DEBITI</v>
      </c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>
        <v>0</v>
      </c>
    </row>
    <row r="99" ht="14.5">
      <c r="B99" s="31" t="str">
        <f>+SW_SP_CONTI!B98</f>
        <v>70800</v>
      </c>
      <c r="C99" s="31" t="str">
        <f>+SW_SP_CONTI!C98</f>
        <v>DEBITI RAPP. DA TITOLI DI CRED.</v>
      </c>
      <c r="D99" s="31" t="str">
        <f>+SW_SP_CONTI!D98</f>
        <v>DEBITI</v>
      </c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>
        <v>0</v>
      </c>
    </row>
    <row r="100" ht="14.5">
      <c r="B100" s="31" t="str">
        <f>+SW_SP_CONTI!B99</f>
        <v>70900</v>
      </c>
      <c r="C100" s="31" t="str">
        <f>+SW_SP_CONTI!C99</f>
        <v>DEBITI TRIBUTARI RATEIZZATI</v>
      </c>
      <c r="D100" s="31" t="str">
        <f>+SW_SP_CONTI!D99</f>
        <v>DEBITI</v>
      </c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>
        <v>-2917.1999999999998</v>
      </c>
    </row>
    <row r="101" ht="14.5">
      <c r="B101" s="31" t="str">
        <f>+SW_SP_CONTI!B100</f>
        <v>71000</v>
      </c>
      <c r="C101" s="31" t="str">
        <f>+SW_SP_CONTI!C100</f>
        <v>DEBITI V/ALTRI FINANZIATORI</v>
      </c>
      <c r="D101" s="31" t="str">
        <f>+SW_SP_CONTI!D100</f>
        <v>DEBITI</v>
      </c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>
        <v>0</v>
      </c>
    </row>
    <row r="102" ht="14.5">
      <c r="B102" s="31" t="str">
        <f>+SW_SP_CONTI!B101</f>
        <v>71100</v>
      </c>
      <c r="C102" s="31" t="str">
        <f>+SW_SP_CONTI!C101</f>
        <v>DEBITI V/BANCHE Finanziamenti e Leasing</v>
      </c>
      <c r="D102" s="31" t="str">
        <f>+SW_SP_CONTI!D101</f>
        <v>DEBITI</v>
      </c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>
        <v>-996876.35999999999</v>
      </c>
    </row>
    <row r="103" ht="14.5">
      <c r="B103" s="31" t="str">
        <f>+SW_SP_CONTI!B102</f>
        <v>71200</v>
      </c>
      <c r="C103" s="31" t="str">
        <f>+SW_SP_CONTI!C102</f>
        <v>DEBITI V/DIPENDENTI</v>
      </c>
      <c r="D103" s="31" t="str">
        <f>+SW_SP_CONTI!D102</f>
        <v>DEBITI</v>
      </c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>
        <v>-3061.25</v>
      </c>
    </row>
    <row r="104" ht="14.5">
      <c r="B104" s="31" t="str">
        <f>+SW_SP_CONTI!B103</f>
        <v>71300</v>
      </c>
      <c r="C104" s="31" t="str">
        <f>+SW_SP_CONTI!C103</f>
        <v>DEBITI V/FINANZIAMENTO SOCI</v>
      </c>
      <c r="D104" s="31" t="str">
        <f>+SW_SP_CONTI!D103</f>
        <v>DEBITI</v>
      </c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>
        <v>-105000.60000000001</v>
      </c>
    </row>
    <row r="105" ht="14.5">
      <c r="B105" s="31" t="str">
        <f>+SW_SP_CONTI!B104</f>
        <v>71400</v>
      </c>
      <c r="C105" s="31" t="str">
        <f>+SW_SP_CONTI!C104</f>
        <v>DEBITI V/FORNITORI</v>
      </c>
      <c r="D105" s="31" t="str">
        <f>+SW_SP_CONTI!D104</f>
        <v>DEBITI</v>
      </c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>
        <v>0</v>
      </c>
    </row>
    <row r="106" ht="14.5">
      <c r="B106" s="31" t="str">
        <f>+SW_SP_CONTI!B105</f>
        <v>71500</v>
      </c>
      <c r="C106" s="31" t="str">
        <f>+SW_SP_CONTI!C105</f>
        <v>DEBITI V/FORNITORI BENI STRUMENTALI</v>
      </c>
      <c r="D106" s="31" t="str">
        <f>+SW_SP_CONTI!D105</f>
        <v>DEBITI</v>
      </c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>
        <v>0</v>
      </c>
    </row>
    <row r="107" ht="14.5">
      <c r="B107" s="31" t="str">
        <f>+SW_SP_CONTI!B106</f>
        <v>71600</v>
      </c>
      <c r="C107" s="31" t="str">
        <f>+SW_SP_CONTI!C106</f>
        <v>DEBITI V/GRUPPO FINANZIARI BREVE</v>
      </c>
      <c r="D107" s="31" t="str">
        <f>+SW_SP_CONTI!D106</f>
        <v>DEBITI</v>
      </c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>
        <v>0</v>
      </c>
    </row>
    <row r="108" ht="14.5">
      <c r="B108" s="31" t="str">
        <f>+SW_SP_CONTI!B107</f>
        <v>71700</v>
      </c>
      <c r="C108" s="31" t="str">
        <f>+SW_SP_CONTI!C107</f>
        <v>DEBITI V/GRUPPO FINANZIARI MEDIO LUNGO</v>
      </c>
      <c r="D108" s="31" t="str">
        <f>+SW_SP_CONTI!D107</f>
        <v>DEBITI</v>
      </c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>
        <v>0</v>
      </c>
    </row>
    <row r="109" ht="14.5">
      <c r="B109" s="31" t="str">
        <f>+SW_SP_CONTI!B108</f>
        <v>71800</v>
      </c>
      <c r="C109" s="31" t="str">
        <f>+SW_SP_CONTI!C108</f>
        <v>DEBITI V/IMPRESE GRUPPO COMM.LI BREVE</v>
      </c>
      <c r="D109" s="31" t="str">
        <f>+SW_SP_CONTI!D108</f>
        <v>DEBITI</v>
      </c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>
        <v>0</v>
      </c>
    </row>
    <row r="110" ht="14.5">
      <c r="B110" s="31" t="str">
        <f>+SW_SP_CONTI!B109</f>
        <v>71900</v>
      </c>
      <c r="C110" s="31" t="str">
        <f>+SW_SP_CONTI!C109</f>
        <v>DEBITI V/IMPRESE GRUPPO MEDIO LUNGO</v>
      </c>
      <c r="D110" s="31" t="str">
        <f>+SW_SP_CONTI!D109</f>
        <v>DEBITI</v>
      </c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>
        <v>0</v>
      </c>
    </row>
    <row r="111" ht="14.5">
      <c r="B111" s="31" t="str">
        <f>+SW_SP_CONTI!B110</f>
        <v>72000</v>
      </c>
      <c r="C111" s="31" t="str">
        <f>+SW_SP_CONTI!C110</f>
        <v>ERARIO C/IRES E IRAP BREVE</v>
      </c>
      <c r="D111" s="31" t="str">
        <f>+SW_SP_CONTI!D110</f>
        <v>DEBITI</v>
      </c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>
        <v>0</v>
      </c>
    </row>
    <row r="112" ht="14.5">
      <c r="B112" s="31" t="str">
        <f>+SW_SP_CONTI!B111</f>
        <v>72100</v>
      </c>
      <c r="C112" s="31" t="str">
        <f>+SW_SP_CONTI!C111</f>
        <v>ERARIO C/IVA</v>
      </c>
      <c r="D112" s="31" t="str">
        <f>+SW_SP_CONTI!D111</f>
        <v>DEBITI</v>
      </c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>
        <v>-119074.78</v>
      </c>
    </row>
    <row r="113" ht="14.5">
      <c r="B113" s="31" t="str">
        <f>+SW_SP_CONTI!B112</f>
        <v>72200</v>
      </c>
      <c r="C113" s="31" t="str">
        <f>+SW_SP_CONTI!C112</f>
        <v>ERARIO C/RIT. LAVORO DIPENDENTE E COLLABORATORI</v>
      </c>
      <c r="D113" s="31" t="str">
        <f>+SW_SP_CONTI!D112</f>
        <v>DEBITI</v>
      </c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>
        <v>0</v>
      </c>
    </row>
    <row r="114" ht="14.5">
      <c r="B114" s="31" t="str">
        <f>+SW_SP_CONTI!B113</f>
        <v>72300</v>
      </c>
      <c r="C114" s="31" t="str">
        <f>+SW_SP_CONTI!C113</f>
        <v>NOTE CREDITO DA EMETTERE</v>
      </c>
      <c r="D114" s="31" t="str">
        <f>+SW_SP_CONTI!D113</f>
        <v>DEBITI</v>
      </c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>
        <v>0</v>
      </c>
    </row>
    <row r="115" ht="14.5">
      <c r="B115" s="31" t="str">
        <f>+SW_SP_CONTI!B114</f>
        <v>72400</v>
      </c>
      <c r="C115" s="31" t="str">
        <f>+SW_SP_CONTI!C114</f>
        <v>OBBLIGAZIONI</v>
      </c>
      <c r="D115" s="31" t="str">
        <f>+SW_SP_CONTI!D114</f>
        <v>DEBITI</v>
      </c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>
        <v>0</v>
      </c>
    </row>
    <row r="116" ht="14.5">
      <c r="B116" s="31" t="str">
        <f>+SW_SP_CONTI!B115</f>
        <v>72500</v>
      </c>
      <c r="C116" s="31" t="str">
        <f>+SW_SP_CONTI!C115</f>
        <v>RATEI PASSIVI</v>
      </c>
      <c r="D116" s="31" t="str">
        <f>+SW_SP_CONTI!D115</f>
        <v>DEBITI</v>
      </c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>
        <v>0</v>
      </c>
    </row>
    <row r="117" ht="14.5">
      <c r="B117" s="31" t="str">
        <f>+SW_SP_CONTI!B116</f>
        <v>72600</v>
      </c>
      <c r="C117" s="31" t="str">
        <f>+SW_SP_CONTI!C116</f>
        <v>RISCONTI PASSIVI</v>
      </c>
      <c r="D117" s="31" t="str">
        <f>+SW_SP_CONTI!D116</f>
        <v>DEBITI</v>
      </c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>
        <v>0</v>
      </c>
    </row>
    <row r="118" ht="14.5">
      <c r="B118" s="31" t="str">
        <f>+SW_SP_CONTI!B117</f>
        <v>72700</v>
      </c>
      <c r="C118" s="31" t="str">
        <f>+SW_SP_CONTI!C117</f>
        <v>ALTRI DEBITI</v>
      </c>
      <c r="D118" s="31" t="str">
        <f>+SW_SP_CONTI!D117</f>
        <v>DEBITI</v>
      </c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>
        <v>-8951.2099999999991</v>
      </c>
    </row>
    <row r="119" ht="14.5">
      <c r="B119" s="31" t="str">
        <f>+SW_SP_CONTI!B118</f>
        <v>72800</v>
      </c>
      <c r="C119" s="31" t="str">
        <f>+SW_SP_CONTI!C118</f>
        <v>SOCI C/UTILI</v>
      </c>
      <c r="D119" s="31" t="str">
        <f>+SW_SP_CONTI!D118</f>
        <v>DEBITI</v>
      </c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>
        <v>0</v>
      </c>
    </row>
    <row r="120" ht="14.5">
      <c r="B120" s="31">
        <f>+SW_SP_CONTI!B119</f>
        <v>0</v>
      </c>
      <c r="C120" s="31">
        <f>+SW_SP_CONTI!C119</f>
        <v>0</v>
      </c>
      <c r="D120" s="31">
        <f>+SW_SP_CONTI!D119</f>
        <v>0</v>
      </c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</row>
    <row r="121" ht="14.5">
      <c r="B121" s="31">
        <f>+SW_SP_CONTI!B120</f>
        <v>0</v>
      </c>
      <c r="C121" s="31">
        <f>+SW_SP_CONTI!C120</f>
        <v>0</v>
      </c>
      <c r="D121" s="31">
        <f>+SW_SP_CONTI!D120</f>
        <v>0</v>
      </c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</row>
    <row r="122" ht="14.5">
      <c r="B122" s="31">
        <f>+SW_SP_CONTI!B121</f>
        <v>0</v>
      </c>
      <c r="C122" s="31">
        <f>+SW_SP_CONTI!C121</f>
        <v>0</v>
      </c>
      <c r="D122" s="31">
        <f>+SW_SP_CONTI!D121</f>
        <v>0</v>
      </c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</row>
    <row r="123" ht="14.5">
      <c r="B123" s="31">
        <f>+SW_SP_CONTI!B122</f>
        <v>0</v>
      </c>
      <c r="C123" s="31">
        <f>+SW_SP_CONTI!C122</f>
        <v>0</v>
      </c>
      <c r="D123" s="31">
        <f>+SW_SP_CONTI!D122</f>
        <v>0</v>
      </c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</row>
    <row r="124" ht="14.5">
      <c r="B124" s="31">
        <f>+SW_SP_CONTI!B123</f>
        <v>0</v>
      </c>
      <c r="C124" s="31">
        <f>+SW_SP_CONTI!C123</f>
        <v>0</v>
      </c>
      <c r="D124" s="31">
        <f>+SW_SP_CONTI!D123</f>
        <v>0</v>
      </c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</row>
    <row r="125" ht="14.5">
      <c r="B125" s="31">
        <f>+SW_SP_CONTI!B124</f>
        <v>0</v>
      </c>
      <c r="C125" s="31">
        <f>+SW_SP_CONTI!C124</f>
        <v>0</v>
      </c>
      <c r="D125" s="31">
        <f>+SW_SP_CONTI!D124</f>
        <v>0</v>
      </c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</row>
    <row r="126" ht="14.5">
      <c r="B126" s="31">
        <f>+SW_SP_CONTI!B125</f>
        <v>0</v>
      </c>
      <c r="C126" s="31">
        <f>+SW_SP_CONTI!C125</f>
        <v>0</v>
      </c>
      <c r="D126" s="31">
        <f>+SW_SP_CONTI!D125</f>
        <v>0</v>
      </c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</row>
    <row r="127" ht="14.5">
      <c r="B127" s="31">
        <f>+SW_SP_CONTI!B126</f>
        <v>0</v>
      </c>
      <c r="C127" s="31">
        <f>+SW_SP_CONTI!C126</f>
        <v>0</v>
      </c>
      <c r="D127" s="31">
        <f>+SW_SP_CONTI!D126</f>
        <v>0</v>
      </c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</row>
    <row r="128" ht="14.5">
      <c r="B128" s="31">
        <f>+SW_SP_CONTI!B127</f>
        <v>0</v>
      </c>
      <c r="C128" s="31">
        <f>+SW_SP_CONTI!C127</f>
        <v>0</v>
      </c>
      <c r="D128" s="31">
        <f>+SW_SP_CONTI!D127</f>
        <v>0</v>
      </c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</row>
    <row r="129" ht="14.5">
      <c r="B129" s="31">
        <f>+SW_SP_CONTI!B128</f>
        <v>0</v>
      </c>
      <c r="C129" s="31">
        <f>+SW_SP_CONTI!C128</f>
        <v>0</v>
      </c>
      <c r="D129" s="31">
        <f>+SW_SP_CONTI!D128</f>
        <v>0</v>
      </c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</row>
    <row r="130" ht="14.5">
      <c r="B130" s="31">
        <f>+SW_SP_CONTI!B129</f>
        <v>0</v>
      </c>
      <c r="C130" s="31">
        <f>+SW_SP_CONTI!C129</f>
        <v>0</v>
      </c>
      <c r="D130" s="31">
        <f>+SW_SP_CONTI!D129</f>
        <v>0</v>
      </c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</row>
    <row r="131" ht="14.5">
      <c r="B131" s="31">
        <f>+SW_SP_CONTI!B130</f>
        <v>0</v>
      </c>
      <c r="C131" s="31">
        <f>+SW_SP_CONTI!C130</f>
        <v>0</v>
      </c>
      <c r="D131" s="31">
        <f>+SW_SP_CONTI!D130</f>
        <v>0</v>
      </c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</row>
    <row r="132" ht="14.5">
      <c r="B132" s="31">
        <f>+SW_SP_CONTI!B131</f>
        <v>0</v>
      </c>
      <c r="C132" s="31">
        <f>+SW_SP_CONTI!C131</f>
        <v>0</v>
      </c>
      <c r="D132" s="31">
        <f>+SW_SP_CONTI!D131</f>
        <v>0</v>
      </c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</row>
    <row r="133" ht="14.5">
      <c r="B133" s="31">
        <f>+SW_SP_CONTI!B132</f>
        <v>0</v>
      </c>
      <c r="C133" s="31">
        <f>+SW_SP_CONTI!C132</f>
        <v>0</v>
      </c>
      <c r="D133" s="31">
        <f>+SW_SP_CONTI!D132</f>
        <v>0</v>
      </c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</row>
    <row r="134" ht="14.5">
      <c r="B134" s="31">
        <f>+SW_SP_CONTI!B133</f>
        <v>0</v>
      </c>
      <c r="C134" s="31">
        <f>+SW_SP_CONTI!C133</f>
        <v>0</v>
      </c>
      <c r="D134" s="31">
        <f>+SW_SP_CONTI!D133</f>
        <v>0</v>
      </c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</row>
    <row r="135" ht="14.5">
      <c r="B135" s="31">
        <f>+SW_SP_CONTI!B134</f>
        <v>0</v>
      </c>
      <c r="C135" s="31">
        <f>+SW_SP_CONTI!C134</f>
        <v>0</v>
      </c>
      <c r="D135" s="31">
        <f>+SW_SP_CONTI!D134</f>
        <v>0</v>
      </c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</row>
    <row r="136" ht="14.5">
      <c r="B136" s="31">
        <f>+SW_SP_CONTI!B135</f>
        <v>0</v>
      </c>
      <c r="C136" s="31">
        <f>+SW_SP_CONTI!C135</f>
        <v>0</v>
      </c>
      <c r="D136" s="31">
        <f>+SW_SP_CONTI!D135</f>
        <v>0</v>
      </c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</row>
    <row r="137" ht="14.5">
      <c r="B137" s="31">
        <f>+SW_SP_CONTI!B136</f>
        <v>0</v>
      </c>
      <c r="C137" s="31">
        <f>+SW_SP_CONTI!C136</f>
        <v>0</v>
      </c>
      <c r="D137" s="31">
        <f>+SW_SP_CONTI!D136</f>
        <v>0</v>
      </c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</row>
    <row r="138" ht="14.5">
      <c r="B138" s="31">
        <f>+SW_SP_CONTI!B137</f>
        <v>0</v>
      </c>
      <c r="C138" s="31">
        <f>+SW_SP_CONTI!C137</f>
        <v>0</v>
      </c>
      <c r="D138" s="31">
        <f>+SW_SP_CONTI!D137</f>
        <v>0</v>
      </c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</row>
    <row r="139" ht="14.5">
      <c r="B139" s="31">
        <f>+SW_SP_CONTI!B138</f>
        <v>0</v>
      </c>
      <c r="C139" s="31">
        <f>+SW_SP_CONTI!C138</f>
        <v>0</v>
      </c>
      <c r="D139" s="31">
        <f>+SW_SP_CONTI!D138</f>
        <v>0</v>
      </c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</row>
    <row r="140" ht="14.5">
      <c r="B140" s="31">
        <f>+SW_SP_CONTI!B139</f>
        <v>0</v>
      </c>
      <c r="C140" s="31">
        <f>+SW_SP_CONTI!C139</f>
        <v>0</v>
      </c>
      <c r="D140" s="31">
        <f>+SW_SP_CONTI!D139</f>
        <v>0</v>
      </c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</row>
    <row r="141" ht="14.5">
      <c r="B141" s="31">
        <f>+SW_SP_CONTI!B140</f>
        <v>0</v>
      </c>
      <c r="C141" s="31">
        <f>+SW_SP_CONTI!C140</f>
        <v>0</v>
      </c>
      <c r="D141" s="31">
        <f>+SW_SP_CONTI!D140</f>
        <v>0</v>
      </c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</row>
    <row r="142" ht="14.5">
      <c r="B142" s="31">
        <f>+SW_SP_CONTI!B141</f>
        <v>0</v>
      </c>
      <c r="C142" s="31">
        <f>+SW_SP_CONTI!C141</f>
        <v>0</v>
      </c>
      <c r="D142" s="31">
        <f>+SW_SP_CONTI!D141</f>
        <v>0</v>
      </c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</row>
    <row r="143" ht="14.5">
      <c r="B143" s="31">
        <f>+SW_SP_CONTI!B142</f>
        <v>0</v>
      </c>
      <c r="C143" s="31">
        <f>+SW_SP_CONTI!C142</f>
        <v>0</v>
      </c>
      <c r="D143" s="31">
        <f>+SW_SP_CONTI!D142</f>
        <v>0</v>
      </c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</row>
    <row r="144" ht="14.5">
      <c r="B144" s="31">
        <f>+SW_SP_CONTI!B143</f>
        <v>0</v>
      </c>
      <c r="C144" s="31">
        <f>+SW_SP_CONTI!C143</f>
        <v>0</v>
      </c>
      <c r="D144" s="31">
        <f>+SW_SP_CONTI!D143</f>
        <v>0</v>
      </c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</row>
    <row r="145" ht="14.5">
      <c r="B145" s="31">
        <f>+SW_SP_CONTI!B144</f>
        <v>0</v>
      </c>
      <c r="C145" s="31">
        <f>+SW_SP_CONTI!C144</f>
        <v>0</v>
      </c>
      <c r="D145" s="31">
        <f>+SW_SP_CONTI!D144</f>
        <v>0</v>
      </c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</row>
    <row r="146" ht="14.5">
      <c r="B146" s="31">
        <f>+SW_SP_CONTI!B145</f>
        <v>0</v>
      </c>
      <c r="C146" s="31">
        <f>+SW_SP_CONTI!C145</f>
        <v>0</v>
      </c>
      <c r="D146" s="31">
        <f>+SW_SP_CONTI!D145</f>
        <v>0</v>
      </c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</row>
    <row r="147" ht="14.5">
      <c r="B147" s="31">
        <f>+SW_SP_CONTI!B146</f>
        <v>0</v>
      </c>
      <c r="C147" s="31">
        <f>+SW_SP_CONTI!C146</f>
        <v>0</v>
      </c>
      <c r="D147" s="31">
        <f>+SW_SP_CONTI!D146</f>
        <v>0</v>
      </c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</row>
    <row r="148" ht="14.5">
      <c r="B148" s="31">
        <f>+SW_SP_CONTI!B147</f>
        <v>0</v>
      </c>
      <c r="C148" s="31">
        <f>+SW_SP_CONTI!C147</f>
        <v>0</v>
      </c>
      <c r="D148" s="31">
        <f>+SW_SP_CONTI!D147</f>
        <v>0</v>
      </c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</row>
    <row r="149" ht="14.5">
      <c r="B149" s="31">
        <f>+SW_SP_CONTI!B148</f>
        <v>0</v>
      </c>
      <c r="C149" s="31">
        <f>+SW_SP_CONTI!C148</f>
        <v>0</v>
      </c>
      <c r="D149" s="31">
        <f>+SW_SP_CONTI!D148</f>
        <v>0</v>
      </c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</row>
    <row r="150" ht="14.5">
      <c r="B150" s="31">
        <f>+SW_SP_CONTI!B149</f>
        <v>0</v>
      </c>
      <c r="C150" s="31">
        <f>+SW_SP_CONTI!C149</f>
        <v>0</v>
      </c>
      <c r="D150" s="31">
        <f>+SW_SP_CONTI!D149</f>
        <v>0</v>
      </c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</row>
    <row r="151" ht="14.5">
      <c r="B151" s="31">
        <f>+SW_SP_CONTI!B150</f>
        <v>0</v>
      </c>
      <c r="C151" s="31">
        <f>+SW_SP_CONTI!C150</f>
        <v>0</v>
      </c>
      <c r="D151" s="31">
        <f>+SW_SP_CONTI!D150</f>
        <v>0</v>
      </c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</row>
    <row r="152" ht="14.5">
      <c r="B152" s="31">
        <f>+SW_SP_CONTI!B151</f>
        <v>0</v>
      </c>
      <c r="C152" s="31">
        <f>+SW_SP_CONTI!C151</f>
        <v>0</v>
      </c>
      <c r="D152" s="31">
        <f>+SW_SP_CONTI!D151</f>
        <v>0</v>
      </c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</row>
    <row r="153" ht="14.5">
      <c r="B153" s="31">
        <f>+SW_SP_CONTI!B152</f>
        <v>0</v>
      </c>
      <c r="C153" s="31">
        <f>+SW_SP_CONTI!C152</f>
        <v>0</v>
      </c>
      <c r="D153" s="31">
        <f>+SW_SP_CONTI!D152</f>
        <v>0</v>
      </c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</row>
    <row r="154" ht="14.5">
      <c r="B154" s="31">
        <f>+SW_SP_CONTI!B153</f>
        <v>0</v>
      </c>
      <c r="C154" s="31">
        <f>+SW_SP_CONTI!C153</f>
        <v>0</v>
      </c>
      <c r="D154" s="31">
        <f>+SW_SP_CONTI!D153</f>
        <v>0</v>
      </c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</row>
    <row r="155" ht="14.5">
      <c r="B155" s="31">
        <f>+SW_SP_CONTI!B154</f>
        <v>0</v>
      </c>
      <c r="C155" s="31">
        <f>+SW_SP_CONTI!C154</f>
        <v>0</v>
      </c>
      <c r="D155" s="31">
        <f>+SW_SP_CONTI!D154</f>
        <v>0</v>
      </c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</row>
    <row r="156" ht="14.5">
      <c r="B156" s="31">
        <f>+SW_SP_CONTI!B155</f>
        <v>0</v>
      </c>
      <c r="C156" s="31">
        <f>+SW_SP_CONTI!C155</f>
        <v>0</v>
      </c>
      <c r="D156" s="31">
        <f>+SW_SP_CONTI!D155</f>
        <v>0</v>
      </c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</row>
    <row r="157" ht="14.5">
      <c r="B157" s="31">
        <f>+SW_SP_CONTI!B156</f>
        <v>0</v>
      </c>
      <c r="C157" s="31">
        <f>+SW_SP_CONTI!C156</f>
        <v>0</v>
      </c>
      <c r="D157" s="31">
        <f>+SW_SP_CONTI!D156</f>
        <v>0</v>
      </c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</row>
    <row r="158" ht="14.5">
      <c r="B158" s="31">
        <f>+SW_SP_CONTI!B157</f>
        <v>0</v>
      </c>
      <c r="C158" s="31">
        <f>+SW_SP_CONTI!C157</f>
        <v>0</v>
      </c>
      <c r="D158" s="31">
        <f>+SW_SP_CONTI!D157</f>
        <v>0</v>
      </c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</row>
    <row r="159" ht="14.5">
      <c r="B159" s="31">
        <f>+SW_SP_CONTI!B158</f>
        <v>0</v>
      </c>
      <c r="C159" s="31">
        <f>+SW_SP_CONTI!C158</f>
        <v>0</v>
      </c>
      <c r="D159" s="31">
        <f>+SW_SP_CONTI!D158</f>
        <v>0</v>
      </c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</row>
    <row r="160" ht="14.5">
      <c r="B160" s="31">
        <f>+SW_SP_CONTI!B159</f>
        <v>0</v>
      </c>
      <c r="C160" s="31">
        <f>+SW_SP_CONTI!C159</f>
        <v>0</v>
      </c>
      <c r="D160" s="31">
        <f>+SW_SP_CONTI!D159</f>
        <v>0</v>
      </c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</row>
    <row r="161" ht="14.5">
      <c r="B161" s="31">
        <f>+SW_SP_CONTI!B160</f>
        <v>0</v>
      </c>
      <c r="C161" s="31">
        <f>+SW_SP_CONTI!C160</f>
        <v>0</v>
      </c>
      <c r="D161" s="31">
        <f>+SW_SP_CONTI!D160</f>
        <v>0</v>
      </c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</row>
    <row r="162" ht="14.5">
      <c r="B162" s="31">
        <f>+SW_SP_CONTI!B161</f>
        <v>0</v>
      </c>
      <c r="C162" s="31">
        <f>+SW_SP_CONTI!C161</f>
        <v>0</v>
      </c>
      <c r="D162" s="31">
        <f>+SW_SP_CONTI!D161</f>
        <v>0</v>
      </c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</row>
    <row r="163" ht="14.5">
      <c r="B163" s="31">
        <f>+SW_SP_CONTI!B162</f>
        <v>0</v>
      </c>
      <c r="C163" s="31">
        <f>+SW_SP_CONTI!C162</f>
        <v>0</v>
      </c>
      <c r="D163" s="31">
        <f>+SW_SP_CONTI!D162</f>
        <v>0</v>
      </c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</row>
    <row r="164" ht="14.5">
      <c r="B164" s="31">
        <f>+SW_SP_CONTI!B163</f>
        <v>0</v>
      </c>
      <c r="C164" s="31">
        <f>+SW_SP_CONTI!C163</f>
        <v>0</v>
      </c>
      <c r="D164" s="31">
        <f>+SW_SP_CONTI!D163</f>
        <v>0</v>
      </c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</row>
    <row r="165" ht="14.5">
      <c r="B165" s="31">
        <f>+SW_SP_CONTI!B164</f>
        <v>0</v>
      </c>
      <c r="C165" s="31">
        <f>+SW_SP_CONTI!C164</f>
        <v>0</v>
      </c>
      <c r="D165" s="31">
        <f>+SW_SP_CONTI!D164</f>
        <v>0</v>
      </c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</row>
    <row r="166" ht="14.5">
      <c r="B166" s="31">
        <f>+SW_SP_CONTI!B165</f>
        <v>0</v>
      </c>
      <c r="C166" s="31">
        <f>+SW_SP_CONTI!C165</f>
        <v>0</v>
      </c>
      <c r="D166" s="31">
        <f>+SW_SP_CONTI!D165</f>
        <v>0</v>
      </c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</row>
    <row r="167" ht="14.5">
      <c r="B167" s="31">
        <f>+SW_SP_CONTI!B166</f>
        <v>0</v>
      </c>
      <c r="C167" s="31">
        <f>+SW_SP_CONTI!C166</f>
        <v>0</v>
      </c>
      <c r="D167" s="31">
        <f>+SW_SP_CONTI!D166</f>
        <v>0</v>
      </c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</row>
    <row r="168" ht="14.5">
      <c r="B168" s="31">
        <f>+SW_SP_CONTI!B167</f>
        <v>0</v>
      </c>
      <c r="C168" s="31">
        <f>+SW_SP_CONTI!C167</f>
        <v>0</v>
      </c>
      <c r="D168" s="31">
        <f>+SW_SP_CONTI!D167</f>
        <v>0</v>
      </c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</row>
    <row r="169" ht="14.5">
      <c r="B169" s="31">
        <f>+SW_SP_CONTI!B168</f>
        <v>0</v>
      </c>
      <c r="C169" s="31">
        <f>+SW_SP_CONTI!C168</f>
        <v>0</v>
      </c>
      <c r="D169" s="31">
        <f>+SW_SP_CONTI!D168</f>
        <v>0</v>
      </c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</row>
    <row r="170" ht="14.5">
      <c r="B170" s="31">
        <f>+SW_SP_CONTI!B169</f>
        <v>0</v>
      </c>
      <c r="C170" s="31">
        <f>+SW_SP_CONTI!C169</f>
        <v>0</v>
      </c>
      <c r="D170" s="31">
        <f>+SW_SP_CONTI!D169</f>
        <v>0</v>
      </c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</row>
    <row r="171" ht="14.5">
      <c r="B171" s="31">
        <f>+SW_SP_CONTI!B170</f>
        <v>0</v>
      </c>
      <c r="C171" s="31">
        <f>+SW_SP_CONTI!C170</f>
        <v>0</v>
      </c>
      <c r="D171" s="31">
        <f>+SW_SP_CONTI!D170</f>
        <v>0</v>
      </c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</row>
    <row r="172" ht="14.5">
      <c r="B172" s="31">
        <f>+SW_SP_CONTI!B171</f>
        <v>0</v>
      </c>
      <c r="C172" s="31">
        <f>+SW_SP_CONTI!C171</f>
        <v>0</v>
      </c>
      <c r="D172" s="31">
        <f>+SW_SP_CONTI!D171</f>
        <v>0</v>
      </c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</row>
    <row r="173" ht="14.5">
      <c r="B173" s="31">
        <f>+SW_SP_CONTI!B172</f>
        <v>0</v>
      </c>
      <c r="C173" s="31">
        <f>+SW_SP_CONTI!C172</f>
        <v>0</v>
      </c>
      <c r="D173" s="31">
        <f>+SW_SP_CONTI!D172</f>
        <v>0</v>
      </c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</row>
    <row r="174" ht="14.5">
      <c r="B174" s="31">
        <f>+SW_SP_CONTI!B173</f>
        <v>0</v>
      </c>
      <c r="C174" s="31">
        <f>+SW_SP_CONTI!C173</f>
        <v>0</v>
      </c>
      <c r="D174" s="31">
        <f>+SW_SP_CONTI!D173</f>
        <v>0</v>
      </c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</row>
    <row r="175" ht="14.5">
      <c r="B175" s="31">
        <f>+SW_SP_CONTI!B174</f>
        <v>0</v>
      </c>
      <c r="C175" s="31">
        <f>+SW_SP_CONTI!C174</f>
        <v>0</v>
      </c>
      <c r="D175" s="31">
        <f>+SW_SP_CONTI!D174</f>
        <v>0</v>
      </c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</row>
    <row r="176" ht="14.5">
      <c r="B176" s="31">
        <f>+SW_SP_CONTI!B175</f>
        <v>0</v>
      </c>
      <c r="C176" s="31">
        <f>+SW_SP_CONTI!C175</f>
        <v>0</v>
      </c>
      <c r="D176" s="31">
        <f>+SW_SP_CONTI!D175</f>
        <v>0</v>
      </c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</row>
    <row r="177" ht="14.5">
      <c r="B177" s="31">
        <f>+SW_SP_CONTI!B176</f>
        <v>0</v>
      </c>
      <c r="C177" s="31">
        <f>+SW_SP_CONTI!C176</f>
        <v>0</v>
      </c>
      <c r="D177" s="31">
        <f>+SW_SP_CONTI!D176</f>
        <v>0</v>
      </c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</row>
    <row r="178" ht="14.5">
      <c r="B178" s="31">
        <f>+SW_SP_CONTI!B177</f>
        <v>0</v>
      </c>
      <c r="C178" s="31">
        <f>+SW_SP_CONTI!C177</f>
        <v>0</v>
      </c>
      <c r="D178" s="31">
        <f>+SW_SP_CONTI!D177</f>
        <v>0</v>
      </c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</row>
    <row r="179" ht="14.5">
      <c r="B179" s="31">
        <f>+SW_SP_CONTI!B178</f>
        <v>0</v>
      </c>
      <c r="C179" s="31">
        <f>+SW_SP_CONTI!C178</f>
        <v>0</v>
      </c>
      <c r="D179" s="31">
        <f>+SW_SP_CONTI!D178</f>
        <v>0</v>
      </c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</row>
    <row r="180" ht="14.5">
      <c r="B180" s="31">
        <f>+SW_SP_CONTI!B179</f>
        <v>0</v>
      </c>
      <c r="C180" s="31">
        <f>+SW_SP_CONTI!C179</f>
        <v>0</v>
      </c>
      <c r="D180" s="31">
        <f>+SW_SP_CONTI!D179</f>
        <v>0</v>
      </c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</row>
    <row r="181" ht="14.5">
      <c r="B181" s="31">
        <f>+SW_SP_CONTI!B180</f>
        <v>0</v>
      </c>
      <c r="C181" s="31">
        <f>+SW_SP_CONTI!C180</f>
        <v>0</v>
      </c>
      <c r="D181" s="31">
        <f>+SW_SP_CONTI!D180</f>
        <v>0</v>
      </c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</row>
    <row r="182" ht="14.5">
      <c r="B182" s="31">
        <f>+SW_SP_CONTI!B181</f>
        <v>0</v>
      </c>
      <c r="C182" s="31">
        <f>+SW_SP_CONTI!C181</f>
        <v>0</v>
      </c>
      <c r="D182" s="31">
        <f>+SW_SP_CONTI!D181</f>
        <v>0</v>
      </c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</row>
    <row r="183" ht="14.5">
      <c r="B183" s="31">
        <f>+SW_SP_CONTI!B182</f>
        <v>0</v>
      </c>
      <c r="C183" s="31">
        <f>+SW_SP_CONTI!C182</f>
        <v>0</v>
      </c>
      <c r="D183" s="31">
        <f>+SW_SP_CONTI!D182</f>
        <v>0</v>
      </c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</row>
    <row r="184" ht="14.5">
      <c r="B184" s="31">
        <f>+SW_SP_CONTI!B183</f>
        <v>0</v>
      </c>
      <c r="C184" s="31">
        <f>+SW_SP_CONTI!C183</f>
        <v>0</v>
      </c>
      <c r="D184" s="31">
        <f>+SW_SP_CONTI!D183</f>
        <v>0</v>
      </c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</row>
    <row r="185" ht="14.5">
      <c r="B185" s="31">
        <f>+SW_SP_CONTI!B184</f>
        <v>0</v>
      </c>
      <c r="C185" s="31">
        <f>+SW_SP_CONTI!C184</f>
        <v>0</v>
      </c>
      <c r="D185" s="31">
        <f>+SW_SP_CONTI!D184</f>
        <v>0</v>
      </c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</row>
    <row r="186" ht="14.5">
      <c r="B186" s="31">
        <f>+SW_SP_CONTI!B185</f>
        <v>0</v>
      </c>
      <c r="C186" s="31">
        <f>+SW_SP_CONTI!C185</f>
        <v>0</v>
      </c>
      <c r="D186" s="31">
        <f>+SW_SP_CONTI!D185</f>
        <v>0</v>
      </c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</row>
    <row r="187" ht="14.5">
      <c r="B187" s="31">
        <f>+SW_SP_CONTI!B186</f>
        <v>0</v>
      </c>
      <c r="C187" s="31">
        <f>+SW_SP_CONTI!C186</f>
        <v>0</v>
      </c>
      <c r="D187" s="31">
        <f>+SW_SP_CONTI!D186</f>
        <v>0</v>
      </c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</row>
    <row r="188" ht="14.5">
      <c r="B188" s="31">
        <f>+SW_SP_CONTI!B187</f>
        <v>0</v>
      </c>
      <c r="C188" s="31">
        <f>+SW_SP_CONTI!C187</f>
        <v>0</v>
      </c>
      <c r="D188" s="31">
        <f>+SW_SP_CONTI!D187</f>
        <v>0</v>
      </c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</row>
    <row r="189" ht="14.5">
      <c r="B189" s="31">
        <f>+SW_SP_CONTI!B188</f>
        <v>0</v>
      </c>
      <c r="C189" s="31">
        <f>+SW_SP_CONTI!C188</f>
        <v>0</v>
      </c>
      <c r="D189" s="31">
        <f>+SW_SP_CONTI!D188</f>
        <v>0</v>
      </c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</row>
    <row r="190" ht="14.5">
      <c r="B190" s="31">
        <f>+SW_SP_CONTI!B189</f>
        <v>0</v>
      </c>
      <c r="C190" s="31">
        <f>+SW_SP_CONTI!C189</f>
        <v>0</v>
      </c>
      <c r="D190" s="31">
        <f>+SW_SP_CONTI!D189</f>
        <v>0</v>
      </c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</row>
    <row r="191" ht="14.5">
      <c r="B191" s="31">
        <f>+SW_SP_CONTI!B190</f>
        <v>0</v>
      </c>
      <c r="C191" s="31">
        <f>+SW_SP_CONTI!C190</f>
        <v>0</v>
      </c>
      <c r="D191" s="31">
        <f>+SW_SP_CONTI!D190</f>
        <v>0</v>
      </c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</row>
    <row r="192" ht="14.5">
      <c r="B192" s="31">
        <f>+SW_SP_CONTI!B191</f>
        <v>0</v>
      </c>
      <c r="C192" s="31">
        <f>+SW_SP_CONTI!C191</f>
        <v>0</v>
      </c>
      <c r="D192" s="31">
        <f>+SW_SP_CONTI!D191</f>
        <v>0</v>
      </c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</row>
    <row r="193" ht="14.5">
      <c r="B193" s="31">
        <f>+SW_SP_CONTI!B192</f>
        <v>0</v>
      </c>
      <c r="C193" s="31">
        <f>+SW_SP_CONTI!C192</f>
        <v>0</v>
      </c>
      <c r="D193" s="31">
        <f>+SW_SP_CONTI!D192</f>
        <v>0</v>
      </c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</row>
    <row r="194" ht="14.5">
      <c r="B194" s="31">
        <f>+SW_SP_CONTI!B193</f>
        <v>0</v>
      </c>
      <c r="C194" s="31">
        <f>+SW_SP_CONTI!C193</f>
        <v>0</v>
      </c>
      <c r="D194" s="31">
        <f>+SW_SP_CONTI!D193</f>
        <v>0</v>
      </c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</row>
    <row r="195" ht="14.5">
      <c r="B195" s="31">
        <f>+SW_SP_CONTI!B194</f>
        <v>0</v>
      </c>
      <c r="C195" s="31">
        <f>+SW_SP_CONTI!C194</f>
        <v>0</v>
      </c>
      <c r="D195" s="31">
        <f>+SW_SP_CONTI!D194</f>
        <v>0</v>
      </c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</row>
    <row r="196" ht="14.5">
      <c r="B196" s="31">
        <f>+SW_SP_CONTI!B195</f>
        <v>0</v>
      </c>
      <c r="C196" s="31">
        <f>+SW_SP_CONTI!C195</f>
        <v>0</v>
      </c>
      <c r="D196" s="31">
        <f>+SW_SP_CONTI!D195</f>
        <v>0</v>
      </c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</row>
    <row r="197" ht="14.5">
      <c r="B197" s="31">
        <f>+SW_SP_CONTI!B196</f>
        <v>0</v>
      </c>
      <c r="C197" s="31">
        <f>+SW_SP_CONTI!C196</f>
        <v>0</v>
      </c>
      <c r="D197" s="31">
        <f>+SW_SP_CONTI!D196</f>
        <v>0</v>
      </c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</row>
    <row r="198" ht="14.5">
      <c r="B198" s="31">
        <f>+SW_SP_CONTI!B197</f>
        <v>0</v>
      </c>
      <c r="C198" s="31">
        <f>+SW_SP_CONTI!C197</f>
        <v>0</v>
      </c>
      <c r="D198" s="31">
        <f>+SW_SP_CONTI!D197</f>
        <v>0</v>
      </c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</row>
    <row r="199" ht="14.5">
      <c r="B199" s="31">
        <f>+SW_SP_CONTI!B198</f>
        <v>0</v>
      </c>
      <c r="C199" s="31">
        <f>+SW_SP_CONTI!C198</f>
        <v>0</v>
      </c>
      <c r="D199" s="31">
        <f>+SW_SP_CONTI!D198</f>
        <v>0</v>
      </c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</row>
    <row r="200" ht="14.5">
      <c r="B200" s="31">
        <f>+SW_SP_CONTI!B199</f>
        <v>0</v>
      </c>
      <c r="C200" s="31">
        <f>+SW_SP_CONTI!C199</f>
        <v>0</v>
      </c>
      <c r="D200" s="31">
        <f>+SW_SP_CONTI!D199</f>
        <v>0</v>
      </c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</row>
    <row r="201" ht="14.5">
      <c r="B201" s="31">
        <f>+SW_SP_CONTI!B200</f>
        <v>0</v>
      </c>
      <c r="C201" s="31">
        <f>+SW_SP_CONTI!C200</f>
        <v>0</v>
      </c>
      <c r="D201" s="31">
        <f>+SW_SP_CONTI!D200</f>
        <v>0</v>
      </c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</row>
    <row r="202" ht="14.5">
      <c r="B202" s="31">
        <f>+SW_SP_CONTI!B201</f>
        <v>0</v>
      </c>
      <c r="C202" s="31">
        <f>+SW_SP_CONTI!C201</f>
        <v>0</v>
      </c>
      <c r="D202" s="31">
        <f>+SW_SP_CONTI!D201</f>
        <v>0</v>
      </c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</row>
    <row r="203" ht="14.5">
      <c r="B203" s="31">
        <f>+SW_SP_CONTI!B202</f>
        <v>0</v>
      </c>
      <c r="C203" s="31">
        <f>+SW_SP_CONTI!C202</f>
        <v>0</v>
      </c>
      <c r="D203" s="31">
        <f>+SW_SP_CONTI!D202</f>
        <v>0</v>
      </c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</row>
    <row r="204" ht="14.5">
      <c r="B204" s="31">
        <f>+SW_SP_CONTI!B203</f>
        <v>0</v>
      </c>
      <c r="C204" s="31">
        <f>+SW_SP_CONTI!C203</f>
        <v>0</v>
      </c>
      <c r="D204" s="31">
        <f>+SW_SP_CONTI!D203</f>
        <v>0</v>
      </c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</row>
    <row r="205" ht="14.5">
      <c r="B205" s="31">
        <f>+SW_SP_CONTI!B204</f>
        <v>0</v>
      </c>
      <c r="C205" s="31">
        <f>+SW_SP_CONTI!C204</f>
        <v>0</v>
      </c>
      <c r="D205" s="31">
        <f>+SW_SP_CONTI!D204</f>
        <v>0</v>
      </c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</row>
    <row r="206" ht="14.5">
      <c r="B206" s="31">
        <f>+SW_SP_CONTI!B205</f>
        <v>0</v>
      </c>
      <c r="C206" s="31">
        <f>+SW_SP_CONTI!C205</f>
        <v>0</v>
      </c>
      <c r="D206" s="31">
        <f>+SW_SP_CONTI!D205</f>
        <v>0</v>
      </c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</row>
    <row r="207" ht="14.5">
      <c r="B207" s="31">
        <f>+SW_SP_CONTI!B206</f>
        <v>0</v>
      </c>
      <c r="C207" s="31">
        <f>+SW_SP_CONTI!C206</f>
        <v>0</v>
      </c>
      <c r="D207" s="31">
        <f>+SW_SP_CONTI!D206</f>
        <v>0</v>
      </c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</row>
    <row r="208" ht="14.5">
      <c r="B208" s="31">
        <f>+SW_SP_CONTI!B207</f>
        <v>0</v>
      </c>
      <c r="C208" s="31">
        <f>+SW_SP_CONTI!C207</f>
        <v>0</v>
      </c>
      <c r="D208" s="31">
        <f>+SW_SP_CONTI!D207</f>
        <v>0</v>
      </c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</row>
    <row r="209" ht="14.5">
      <c r="B209" s="31">
        <f>+SW_SP_CONTI!B208</f>
        <v>0</v>
      </c>
      <c r="C209" s="31">
        <f>+SW_SP_CONTI!C208</f>
        <v>0</v>
      </c>
      <c r="D209" s="31">
        <f>+SW_SP_CONTI!D208</f>
        <v>0</v>
      </c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</row>
    <row r="210" ht="14.5">
      <c r="B210" s="31">
        <f>+SW_SP_CONTI!B209</f>
        <v>0</v>
      </c>
      <c r="C210" s="31">
        <f>+SW_SP_CONTI!C209</f>
        <v>0</v>
      </c>
      <c r="D210" s="31">
        <f>+SW_SP_CONTI!D209</f>
        <v>0</v>
      </c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</row>
    <row r="211" ht="14.5">
      <c r="B211" s="31">
        <f>+SW_SP_CONTI!B210</f>
        <v>0</v>
      </c>
      <c r="C211" s="31">
        <f>+SW_SP_CONTI!C210</f>
        <v>0</v>
      </c>
      <c r="D211" s="31">
        <f>+SW_SP_CONTI!D210</f>
        <v>0</v>
      </c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</row>
    <row r="212" ht="14.5">
      <c r="B212" s="31">
        <f>+SW_SP_CONTI!B211</f>
        <v>0</v>
      </c>
      <c r="C212" s="31">
        <f>+SW_SP_CONTI!C211</f>
        <v>0</v>
      </c>
      <c r="D212" s="31">
        <f>+SW_SP_CONTI!D211</f>
        <v>0</v>
      </c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</row>
    <row r="213" ht="14.5">
      <c r="B213" s="31">
        <f>+SW_SP_CONTI!B212</f>
        <v>0</v>
      </c>
      <c r="C213" s="31">
        <f>+SW_SP_CONTI!C212</f>
        <v>0</v>
      </c>
      <c r="D213" s="31">
        <f>+SW_SP_CONTI!D212</f>
        <v>0</v>
      </c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</row>
    <row r="214" ht="14.5">
      <c r="B214" s="31">
        <f>+SW_SP_CONTI!B213</f>
        <v>0</v>
      </c>
      <c r="C214" s="31">
        <f>+SW_SP_CONTI!C213</f>
        <v>0</v>
      </c>
      <c r="D214" s="31">
        <f>+SW_SP_CONTI!D213</f>
        <v>0</v>
      </c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</row>
    <row r="215" ht="14.5">
      <c r="B215" s="31">
        <f>+SW_SP_CONTI!B214</f>
        <v>0</v>
      </c>
      <c r="C215" s="31">
        <f>+SW_SP_CONTI!C214</f>
        <v>0</v>
      </c>
      <c r="D215" s="31">
        <f>+SW_SP_CONTI!D214</f>
        <v>0</v>
      </c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</row>
    <row r="216" ht="14.5">
      <c r="B216" s="31">
        <f>+SW_SP_CONTI!B215</f>
        <v>0</v>
      </c>
      <c r="C216" s="31">
        <f>+SW_SP_CONTI!C215</f>
        <v>0</v>
      </c>
      <c r="D216" s="31">
        <f>+SW_SP_CONTI!D215</f>
        <v>0</v>
      </c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</row>
    <row r="217" ht="14.5">
      <c r="B217" s="31">
        <f>+SW_SP_CONTI!B216</f>
        <v>0</v>
      </c>
      <c r="C217" s="31">
        <f>+SW_SP_CONTI!C216</f>
        <v>0</v>
      </c>
      <c r="D217" s="31">
        <f>+SW_SP_CONTI!D216</f>
        <v>0</v>
      </c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</row>
    <row r="218" ht="14.5">
      <c r="B218" s="31">
        <f>+SW_SP_CONTI!B217</f>
        <v>0</v>
      </c>
      <c r="C218" s="31">
        <f>+SW_SP_CONTI!C217</f>
        <v>0</v>
      </c>
      <c r="D218" s="31">
        <f>+SW_SP_CONTI!D217</f>
        <v>0</v>
      </c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</row>
    <row r="219" ht="14.5">
      <c r="B219" s="31">
        <f>+SW_SP_CONTI!B218</f>
        <v>0</v>
      </c>
      <c r="C219" s="31">
        <f>+SW_SP_CONTI!C218</f>
        <v>0</v>
      </c>
      <c r="D219" s="31">
        <f>+SW_SP_CONTI!D218</f>
        <v>0</v>
      </c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</row>
    <row r="220" ht="14.5">
      <c r="B220" s="31">
        <f>+SW_SP_CONTI!B219</f>
        <v>0</v>
      </c>
      <c r="C220" s="31">
        <f>+SW_SP_CONTI!C219</f>
        <v>0</v>
      </c>
      <c r="D220" s="31">
        <f>+SW_SP_CONTI!D219</f>
        <v>0</v>
      </c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</row>
    <row r="221" ht="14.5">
      <c r="B221" s="31">
        <f>+SW_SP_CONTI!B220</f>
        <v>0</v>
      </c>
      <c r="C221" s="31">
        <f>+SW_SP_CONTI!C220</f>
        <v>0</v>
      </c>
      <c r="D221" s="31">
        <f>+SW_SP_CONTI!D220</f>
        <v>0</v>
      </c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</row>
    <row r="222" ht="14.5">
      <c r="B222" s="31">
        <f>+SW_SP_CONTI!B221</f>
        <v>0</v>
      </c>
      <c r="C222" s="31">
        <f>+SW_SP_CONTI!C221</f>
        <v>0</v>
      </c>
      <c r="D222" s="31">
        <f>+SW_SP_CONTI!D221</f>
        <v>0</v>
      </c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</row>
    <row r="223" ht="14.5">
      <c r="B223" s="31">
        <f>+SW_SP_CONTI!B222</f>
        <v>0</v>
      </c>
      <c r="C223" s="31">
        <f>+SW_SP_CONTI!C222</f>
        <v>0</v>
      </c>
      <c r="D223" s="31">
        <f>+SW_SP_CONTI!D222</f>
        <v>0</v>
      </c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</row>
    <row r="224" ht="14.5">
      <c r="B224" s="31">
        <f>+SW_SP_CONTI!B223</f>
        <v>0</v>
      </c>
      <c r="C224" s="31">
        <f>+SW_SP_CONTI!C223</f>
        <v>0</v>
      </c>
      <c r="D224" s="31">
        <f>+SW_SP_CONTI!D223</f>
        <v>0</v>
      </c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</row>
    <row r="225" ht="14.5">
      <c r="B225" s="31">
        <f>+SW_SP_CONTI!B224</f>
        <v>0</v>
      </c>
      <c r="C225" s="31">
        <f>+SW_SP_CONTI!C224</f>
        <v>0</v>
      </c>
      <c r="D225" s="31">
        <f>+SW_SP_CONTI!D224</f>
        <v>0</v>
      </c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</row>
    <row r="226" ht="14.5">
      <c r="B226" s="31">
        <f>+SW_SP_CONTI!B225</f>
        <v>0</v>
      </c>
      <c r="C226" s="31">
        <f>+SW_SP_CONTI!C225</f>
        <v>0</v>
      </c>
      <c r="D226" s="31">
        <f>+SW_SP_CONTI!D225</f>
        <v>0</v>
      </c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</row>
    <row r="227" ht="14.5">
      <c r="B227" s="31">
        <f>+SW_SP_CONTI!B226</f>
        <v>0</v>
      </c>
      <c r="C227" s="31">
        <f>+SW_SP_CONTI!C226</f>
        <v>0</v>
      </c>
      <c r="D227" s="31">
        <f>+SW_SP_CONTI!D226</f>
        <v>0</v>
      </c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</row>
    <row r="228" ht="14.5">
      <c r="B228" s="31">
        <f>+SW_SP_CONTI!B227</f>
        <v>0</v>
      </c>
      <c r="C228" s="31">
        <f>+SW_SP_CONTI!C227</f>
        <v>0</v>
      </c>
      <c r="D228" s="31">
        <f>+SW_SP_CONTI!D227</f>
        <v>0</v>
      </c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</row>
    <row r="229" ht="14.5">
      <c r="B229" s="31">
        <f>+SW_SP_CONTI!B228</f>
        <v>0</v>
      </c>
      <c r="C229" s="31">
        <f>+SW_SP_CONTI!C228</f>
        <v>0</v>
      </c>
      <c r="D229" s="31">
        <f>+SW_SP_CONTI!D228</f>
        <v>0</v>
      </c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</row>
    <row r="230" ht="14.5">
      <c r="B230" s="31">
        <f>+SW_SP_CONTI!B229</f>
        <v>0</v>
      </c>
      <c r="C230" s="31">
        <f>+SW_SP_CONTI!C229</f>
        <v>0</v>
      </c>
      <c r="D230" s="31">
        <f>+SW_SP_CONTI!D229</f>
        <v>0</v>
      </c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</row>
    <row r="231" ht="14.5">
      <c r="B231" s="31">
        <f>+SW_SP_CONTI!B230</f>
        <v>0</v>
      </c>
      <c r="C231" s="31">
        <f>+SW_SP_CONTI!C230</f>
        <v>0</v>
      </c>
      <c r="D231" s="31">
        <f>+SW_SP_CONTI!D230</f>
        <v>0</v>
      </c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</row>
    <row r="232" ht="14.5">
      <c r="B232" s="31">
        <f>+SW_SP_CONTI!B231</f>
        <v>0</v>
      </c>
      <c r="C232" s="31">
        <f>+SW_SP_CONTI!C231</f>
        <v>0</v>
      </c>
      <c r="D232" s="31">
        <f>+SW_SP_CONTI!D231</f>
        <v>0</v>
      </c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</row>
    <row r="233" ht="14.5">
      <c r="B233" s="31">
        <f>+SW_SP_CONTI!B232</f>
        <v>0</v>
      </c>
      <c r="C233" s="31">
        <f>+SW_SP_CONTI!C232</f>
        <v>0</v>
      </c>
      <c r="D233" s="31">
        <f>+SW_SP_CONTI!D232</f>
        <v>0</v>
      </c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</row>
    <row r="234" ht="14.5">
      <c r="B234" s="31">
        <f>+SW_SP_CONTI!B233</f>
        <v>0</v>
      </c>
      <c r="C234" s="31">
        <f>+SW_SP_CONTI!C233</f>
        <v>0</v>
      </c>
      <c r="D234" s="31">
        <f>+SW_SP_CONTI!D233</f>
        <v>0</v>
      </c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</row>
    <row r="235" ht="14.5">
      <c r="B235" s="31">
        <f>+SW_SP_CONTI!B234</f>
        <v>0</v>
      </c>
      <c r="C235" s="31">
        <f>+SW_SP_CONTI!C234</f>
        <v>0</v>
      </c>
      <c r="D235" s="31">
        <f>+SW_SP_CONTI!D234</f>
        <v>0</v>
      </c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</row>
    <row r="236" ht="14.5">
      <c r="B236" s="31">
        <f>+SW_SP_CONTI!B235</f>
        <v>0</v>
      </c>
      <c r="C236" s="31">
        <f>+SW_SP_CONTI!C235</f>
        <v>0</v>
      </c>
      <c r="D236" s="31">
        <f>+SW_SP_CONTI!D235</f>
        <v>0</v>
      </c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</row>
    <row r="237" ht="14.5">
      <c r="B237" s="31">
        <f>+SW_SP_CONTI!B236</f>
        <v>0</v>
      </c>
      <c r="C237" s="31">
        <f>+SW_SP_CONTI!C236</f>
        <v>0</v>
      </c>
      <c r="D237" s="31">
        <f>+SW_SP_CONTI!D236</f>
        <v>0</v>
      </c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</row>
    <row r="238" ht="14.5">
      <c r="B238" s="31">
        <f>+SW_SP_CONTI!B237</f>
        <v>0</v>
      </c>
      <c r="C238" s="31">
        <f>+SW_SP_CONTI!C237</f>
        <v>0</v>
      </c>
      <c r="D238" s="31">
        <f>+SW_SP_CONTI!D237</f>
        <v>0</v>
      </c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</row>
    <row r="239" ht="14.5">
      <c r="B239" s="31">
        <f>+SW_SP_CONTI!B238</f>
        <v>0</v>
      </c>
      <c r="C239" s="31">
        <f>+SW_SP_CONTI!C238</f>
        <v>0</v>
      </c>
      <c r="D239" s="31">
        <f>+SW_SP_CONTI!D238</f>
        <v>0</v>
      </c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</row>
    <row r="240" ht="14.5">
      <c r="B240" s="31">
        <f>+SW_SP_CONTI!B239</f>
        <v>0</v>
      </c>
      <c r="C240" s="31">
        <f>+SW_SP_CONTI!C239</f>
        <v>0</v>
      </c>
      <c r="D240" s="31">
        <f>+SW_SP_CONTI!D239</f>
        <v>0</v>
      </c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</row>
    <row r="241" ht="14.5">
      <c r="B241" s="31">
        <f>+SW_SP_CONTI!B240</f>
        <v>0</v>
      </c>
      <c r="C241" s="31">
        <f>+SW_SP_CONTI!C240</f>
        <v>0</v>
      </c>
      <c r="D241" s="31">
        <f>+SW_SP_CONTI!D240</f>
        <v>0</v>
      </c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</row>
    <row r="242" ht="14.5">
      <c r="B242" s="31">
        <f>+SW_SP_CONTI!B241</f>
        <v>0</v>
      </c>
      <c r="C242" s="31">
        <f>+SW_SP_CONTI!C241</f>
        <v>0</v>
      </c>
      <c r="D242" s="31">
        <f>+SW_SP_CONTI!D241</f>
        <v>0</v>
      </c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</row>
    <row r="243" ht="14.5">
      <c r="B243" s="31">
        <f>+SW_SP_CONTI!B242</f>
        <v>0</v>
      </c>
      <c r="C243" s="31">
        <f>+SW_SP_CONTI!C242</f>
        <v>0</v>
      </c>
      <c r="D243" s="31">
        <f>+SW_SP_CONTI!D242</f>
        <v>0</v>
      </c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</row>
    <row r="244" ht="14.5">
      <c r="B244" s="31">
        <f>+SW_SP_CONTI!B243</f>
        <v>0</v>
      </c>
      <c r="C244" s="31">
        <f>+SW_SP_CONTI!C243</f>
        <v>0</v>
      </c>
      <c r="D244" s="31">
        <f>+SW_SP_CONTI!D243</f>
        <v>0</v>
      </c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</row>
    <row r="245" ht="14.5">
      <c r="B245" s="31">
        <f>+SW_SP_CONTI!B244</f>
        <v>0</v>
      </c>
      <c r="C245" s="31">
        <f>+SW_SP_CONTI!C244</f>
        <v>0</v>
      </c>
      <c r="D245" s="31">
        <f>+SW_SP_CONTI!D244</f>
        <v>0</v>
      </c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</row>
    <row r="246" ht="14.5">
      <c r="B246" s="31">
        <f>+SW_SP_CONTI!B245</f>
        <v>0</v>
      </c>
      <c r="C246" s="31">
        <f>+SW_SP_CONTI!C245</f>
        <v>0</v>
      </c>
      <c r="D246" s="31">
        <f>+SW_SP_CONTI!D245</f>
        <v>0</v>
      </c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</row>
    <row r="247" ht="14.5">
      <c r="B247" s="31">
        <f>+SW_SP_CONTI!B246</f>
        <v>0</v>
      </c>
      <c r="C247" s="31">
        <f>+SW_SP_CONTI!C246</f>
        <v>0</v>
      </c>
      <c r="D247" s="31">
        <f>+SW_SP_CONTI!D246</f>
        <v>0</v>
      </c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</row>
    <row r="248" ht="14.5">
      <c r="B248" s="31">
        <f>+SW_SP_CONTI!B247</f>
        <v>0</v>
      </c>
      <c r="C248" s="31">
        <f>+SW_SP_CONTI!C247</f>
        <v>0</v>
      </c>
      <c r="D248" s="31">
        <f>+SW_SP_CONTI!D247</f>
        <v>0</v>
      </c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</row>
    <row r="249" ht="14.5">
      <c r="B249" s="31">
        <f>+SW_SP_CONTI!B248</f>
        <v>0</v>
      </c>
      <c r="C249" s="31">
        <f>+SW_SP_CONTI!C248</f>
        <v>0</v>
      </c>
      <c r="D249" s="31">
        <f>+SW_SP_CONTI!D248</f>
        <v>0</v>
      </c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</row>
    <row r="250" ht="14.5">
      <c r="B250" s="31">
        <f>+SW_SP_CONTI!B249</f>
        <v>0</v>
      </c>
      <c r="C250" s="31">
        <f>+SW_SP_CONTI!C249</f>
        <v>0</v>
      </c>
      <c r="D250" s="31">
        <f>+SW_SP_CONTI!D249</f>
        <v>0</v>
      </c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</row>
    <row r="251" ht="14.5">
      <c r="B251" s="31">
        <f>+SW_SP_CONTI!B250</f>
        <v>0</v>
      </c>
      <c r="C251" s="31">
        <f>+SW_SP_CONTI!C250</f>
        <v>0</v>
      </c>
      <c r="D251" s="31">
        <f>+SW_SP_CONTI!D250</f>
        <v>0</v>
      </c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</row>
    <row r="252" ht="14.5">
      <c r="B252" s="31">
        <f>+SW_SP_CONTI!B251</f>
        <v>0</v>
      </c>
      <c r="C252" s="31">
        <f>+SW_SP_CONTI!C251</f>
        <v>0</v>
      </c>
      <c r="D252" s="31">
        <f>+SW_SP_CONTI!D251</f>
        <v>0</v>
      </c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</row>
    <row r="253" ht="14.5">
      <c r="B253" s="31">
        <f>+SW_SP_CONTI!B252</f>
        <v>0</v>
      </c>
      <c r="C253" s="31">
        <f>+SW_SP_CONTI!C252</f>
        <v>0</v>
      </c>
      <c r="D253" s="31">
        <f>+SW_SP_CONTI!D252</f>
        <v>0</v>
      </c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</row>
    <row r="254" ht="14.5">
      <c r="B254" s="31">
        <f>+SW_SP_CONTI!B253</f>
        <v>0</v>
      </c>
      <c r="C254" s="31">
        <f>+SW_SP_CONTI!C253</f>
        <v>0</v>
      </c>
      <c r="D254" s="31">
        <f>+SW_SP_CONTI!D253</f>
        <v>0</v>
      </c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</row>
    <row r="255" ht="14.5">
      <c r="B255" s="31">
        <f>+SW_SP_CONTI!B254</f>
        <v>0</v>
      </c>
      <c r="C255" s="31">
        <f>+SW_SP_CONTI!C254</f>
        <v>0</v>
      </c>
      <c r="D255" s="31">
        <f>+SW_SP_CONTI!D254</f>
        <v>0</v>
      </c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</row>
    <row r="256" ht="14.5">
      <c r="B256" s="31">
        <f>+SW_SP_CONTI!B255</f>
        <v>0</v>
      </c>
      <c r="C256" s="31">
        <f>+SW_SP_CONTI!C255</f>
        <v>0</v>
      </c>
      <c r="D256" s="31">
        <f>+SW_SP_CONTI!D255</f>
        <v>0</v>
      </c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</row>
    <row r="257" ht="14.5">
      <c r="B257" s="31">
        <f>+SW_SP_CONTI!B256</f>
        <v>0</v>
      </c>
      <c r="C257" s="31">
        <f>+SW_SP_CONTI!C256</f>
        <v>0</v>
      </c>
      <c r="D257" s="31">
        <f>+SW_SP_CONTI!D256</f>
        <v>0</v>
      </c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</row>
    <row r="258" ht="14.5">
      <c r="B258" s="31">
        <f>+SW_SP_CONTI!B257</f>
        <v>0</v>
      </c>
      <c r="C258" s="31">
        <f>+SW_SP_CONTI!C257</f>
        <v>0</v>
      </c>
      <c r="D258" s="31">
        <f>+SW_SP_CONTI!D257</f>
        <v>0</v>
      </c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</row>
    <row r="259" ht="14.5">
      <c r="B259" s="31">
        <f>+SW_SP_CONTI!B258</f>
        <v>0</v>
      </c>
      <c r="C259" s="31">
        <f>+SW_SP_CONTI!C258</f>
        <v>0</v>
      </c>
      <c r="D259" s="31">
        <f>+SW_SP_CONTI!D258</f>
        <v>0</v>
      </c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</row>
    <row r="260" ht="14.5">
      <c r="B260" s="31">
        <f>+SW_SP_CONTI!B259</f>
        <v>0</v>
      </c>
      <c r="C260" s="31">
        <f>+SW_SP_CONTI!C259</f>
        <v>0</v>
      </c>
      <c r="D260" s="31">
        <f>+SW_SP_CONTI!D259</f>
        <v>0</v>
      </c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</row>
    <row r="261" ht="14.5">
      <c r="B261" s="31">
        <f>+SW_SP_CONTI!B260</f>
        <v>0</v>
      </c>
      <c r="C261" s="31">
        <f>+SW_SP_CONTI!C260</f>
        <v>0</v>
      </c>
      <c r="D261" s="31">
        <f>+SW_SP_CONTI!D260</f>
        <v>0</v>
      </c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</row>
    <row r="262" ht="14.5">
      <c r="B262" s="31">
        <f>+SW_SP_CONTI!B261</f>
        <v>0</v>
      </c>
      <c r="C262" s="31">
        <f>+SW_SP_CONTI!C261</f>
        <v>0</v>
      </c>
      <c r="D262" s="31">
        <f>+SW_SP_CONTI!D261</f>
        <v>0</v>
      </c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</row>
    <row r="263" ht="14.5">
      <c r="B263" s="31">
        <f>+SW_SP_CONTI!B262</f>
        <v>0</v>
      </c>
      <c r="C263" s="31">
        <f>+SW_SP_CONTI!C262</f>
        <v>0</v>
      </c>
      <c r="D263" s="31">
        <f>+SW_SP_CONTI!D262</f>
        <v>0</v>
      </c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</row>
    <row r="264" ht="14.5">
      <c r="B264" s="31">
        <f>+SW_SP_CONTI!B263</f>
        <v>0</v>
      </c>
      <c r="C264" s="31">
        <f>+SW_SP_CONTI!C263</f>
        <v>0</v>
      </c>
      <c r="D264" s="31">
        <f>+SW_SP_CONTI!D263</f>
        <v>0</v>
      </c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</row>
    <row r="265" ht="14.5">
      <c r="B265" s="31">
        <f>+SW_SP_CONTI!B264</f>
        <v>0</v>
      </c>
      <c r="C265" s="31">
        <f>+SW_SP_CONTI!C264</f>
        <v>0</v>
      </c>
      <c r="D265" s="31">
        <f>+SW_SP_CONTI!D264</f>
        <v>0</v>
      </c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</row>
    <row r="266" ht="14.5">
      <c r="B266" s="31">
        <f>+SW_SP_CONTI!B265</f>
        <v>0</v>
      </c>
      <c r="C266" s="31">
        <f>+SW_SP_CONTI!C265</f>
        <v>0</v>
      </c>
      <c r="D266" s="31">
        <f>+SW_SP_CONTI!D265</f>
        <v>0</v>
      </c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</row>
    <row r="267" ht="14.5">
      <c r="B267" s="31">
        <f>+SW_SP_CONTI!B266</f>
        <v>0</v>
      </c>
      <c r="C267" s="31">
        <f>+SW_SP_CONTI!C266</f>
        <v>0</v>
      </c>
      <c r="D267" s="31">
        <f>+SW_SP_CONTI!D266</f>
        <v>0</v>
      </c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</row>
    <row r="268" ht="14.5">
      <c r="B268" s="31">
        <f>+SW_SP_CONTI!B267</f>
        <v>0</v>
      </c>
      <c r="C268" s="31">
        <f>+SW_SP_CONTI!C267</f>
        <v>0</v>
      </c>
      <c r="D268" s="31">
        <f>+SW_SP_CONTI!D267</f>
        <v>0</v>
      </c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</row>
    <row r="269" ht="14.5">
      <c r="B269" s="31">
        <f>+SW_SP_CONTI!B268</f>
        <v>0</v>
      </c>
      <c r="C269" s="31">
        <f>+SW_SP_CONTI!C268</f>
        <v>0</v>
      </c>
      <c r="D269" s="31">
        <f>+SW_SP_CONTI!D268</f>
        <v>0</v>
      </c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</row>
    <row r="270" ht="14.5">
      <c r="B270" s="31">
        <f>+SW_SP_CONTI!B269</f>
        <v>0</v>
      </c>
      <c r="C270" s="31">
        <f>+SW_SP_CONTI!C269</f>
        <v>0</v>
      </c>
      <c r="D270" s="31">
        <f>+SW_SP_CONTI!D269</f>
        <v>0</v>
      </c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</row>
    <row r="271" ht="14.5">
      <c r="B271" s="31">
        <f>+SW_SP_CONTI!B270</f>
        <v>0</v>
      </c>
      <c r="C271" s="31">
        <f>+SW_SP_CONTI!C270</f>
        <v>0</v>
      </c>
      <c r="D271" s="31">
        <f>+SW_SP_CONTI!D270</f>
        <v>0</v>
      </c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</row>
    <row r="272" ht="14.5">
      <c r="B272" s="31">
        <f>+SW_SP_CONTI!B271</f>
        <v>0</v>
      </c>
      <c r="C272" s="31">
        <f>+SW_SP_CONTI!C271</f>
        <v>0</v>
      </c>
      <c r="D272" s="31">
        <f>+SW_SP_CONTI!D271</f>
        <v>0</v>
      </c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</row>
    <row r="273" ht="14.5">
      <c r="B273" s="31">
        <f>+SW_SP_CONTI!B272</f>
        <v>0</v>
      </c>
      <c r="C273" s="31">
        <f>+SW_SP_CONTI!C272</f>
        <v>0</v>
      </c>
      <c r="D273" s="31">
        <f>+SW_SP_CONTI!D272</f>
        <v>0</v>
      </c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</row>
    <row r="274" ht="14.5">
      <c r="B274" s="31">
        <f>+SW_SP_CONTI!B273</f>
        <v>0</v>
      </c>
      <c r="C274" s="31">
        <f>+SW_SP_CONTI!C273</f>
        <v>0</v>
      </c>
      <c r="D274" s="31">
        <f>+SW_SP_CONTI!D273</f>
        <v>0</v>
      </c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</row>
    <row r="275" ht="14.5">
      <c r="B275" s="31">
        <f>+SW_SP_CONTI!B274</f>
        <v>0</v>
      </c>
      <c r="C275" s="31">
        <f>+SW_SP_CONTI!C274</f>
        <v>0</v>
      </c>
      <c r="D275" s="31">
        <f>+SW_SP_CONTI!D274</f>
        <v>0</v>
      </c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</row>
    <row r="276" ht="14.5">
      <c r="B276" s="31">
        <f>+SW_SP_CONTI!B275</f>
        <v>0</v>
      </c>
      <c r="C276" s="31">
        <f>+SW_SP_CONTI!C275</f>
        <v>0</v>
      </c>
      <c r="D276" s="31">
        <f>+SW_SP_CONTI!D275</f>
        <v>0</v>
      </c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</row>
    <row r="277" ht="14.5">
      <c r="B277" s="31">
        <f>+SW_SP_CONTI!B276</f>
        <v>0</v>
      </c>
      <c r="C277" s="31">
        <f>+SW_SP_CONTI!C276</f>
        <v>0</v>
      </c>
      <c r="D277" s="31">
        <f>+SW_SP_CONTI!D276</f>
        <v>0</v>
      </c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</row>
    <row r="278" ht="14.5">
      <c r="B278" s="31">
        <f>+SW_SP_CONTI!B277</f>
        <v>0</v>
      </c>
      <c r="C278" s="31">
        <f>+SW_SP_CONTI!C277</f>
        <v>0</v>
      </c>
      <c r="D278" s="31">
        <f>+SW_SP_CONTI!D277</f>
        <v>0</v>
      </c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</row>
    <row r="279" ht="14.5">
      <c r="B279" s="31">
        <f>+SW_SP_CONTI!B278</f>
        <v>0</v>
      </c>
      <c r="C279" s="31">
        <f>+SW_SP_CONTI!C278</f>
        <v>0</v>
      </c>
      <c r="D279" s="31">
        <f>+SW_SP_CONTI!D278</f>
        <v>0</v>
      </c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</row>
    <row r="280" ht="14.5">
      <c r="B280" s="31">
        <f>+SW_SP_CONTI!B279</f>
        <v>0</v>
      </c>
      <c r="C280" s="31">
        <f>+SW_SP_CONTI!C279</f>
        <v>0</v>
      </c>
      <c r="D280" s="31">
        <f>+SW_SP_CONTI!D279</f>
        <v>0</v>
      </c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</row>
    <row r="281" ht="14.5">
      <c r="B281" s="31">
        <f>+SW_SP_CONTI!B280</f>
        <v>0</v>
      </c>
      <c r="C281" s="31">
        <f>+SW_SP_CONTI!C280</f>
        <v>0</v>
      </c>
      <c r="D281" s="31">
        <f>+SW_SP_CONTI!D280</f>
        <v>0</v>
      </c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</row>
    <row r="282" ht="14.5">
      <c r="B282" s="31">
        <f>+SW_SP_CONTI!B281</f>
        <v>0</v>
      </c>
      <c r="C282" s="31">
        <f>+SW_SP_CONTI!C281</f>
        <v>0</v>
      </c>
      <c r="D282" s="31">
        <f>+SW_SP_CONTI!D281</f>
        <v>0</v>
      </c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</row>
    <row r="283" ht="14.5">
      <c r="B283" s="31">
        <f>+SW_SP_CONTI!B282</f>
        <v>0</v>
      </c>
      <c r="C283" s="31">
        <f>+SW_SP_CONTI!C282</f>
        <v>0</v>
      </c>
      <c r="D283" s="31">
        <f>+SW_SP_CONTI!D282</f>
        <v>0</v>
      </c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</row>
    <row r="284" ht="14.5">
      <c r="B284" s="31">
        <f>+SW_SP_CONTI!B283</f>
        <v>0</v>
      </c>
      <c r="C284" s="31">
        <f>+SW_SP_CONTI!C283</f>
        <v>0</v>
      </c>
      <c r="D284" s="31">
        <f>+SW_SP_CONTI!D283</f>
        <v>0</v>
      </c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</row>
    <row r="285" ht="14.5">
      <c r="B285" s="31">
        <f>+SW_SP_CONTI!B284</f>
        <v>0</v>
      </c>
      <c r="C285" s="31">
        <f>+SW_SP_CONTI!C284</f>
        <v>0</v>
      </c>
      <c r="D285" s="31">
        <f>+SW_SP_CONTI!D284</f>
        <v>0</v>
      </c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</row>
    <row r="286" ht="14.5">
      <c r="B286" s="31">
        <f>+SW_SP_CONTI!B285</f>
        <v>0</v>
      </c>
      <c r="C286" s="31">
        <f>+SW_SP_CONTI!C285</f>
        <v>0</v>
      </c>
      <c r="D286" s="31">
        <f>+SW_SP_CONTI!D285</f>
        <v>0</v>
      </c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</row>
    <row r="287" ht="14.5">
      <c r="B287" s="31">
        <f>+SW_SP_CONTI!B286</f>
        <v>0</v>
      </c>
      <c r="C287" s="31">
        <f>+SW_SP_CONTI!C286</f>
        <v>0</v>
      </c>
      <c r="D287" s="31">
        <f>+SW_SP_CONTI!D286</f>
        <v>0</v>
      </c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</row>
    <row r="288" ht="14.5">
      <c r="B288" s="31">
        <f>+SW_SP_CONTI!B287</f>
        <v>0</v>
      </c>
      <c r="C288" s="31">
        <f>+SW_SP_CONTI!C287</f>
        <v>0</v>
      </c>
      <c r="D288" s="31">
        <f>+SW_SP_CONTI!D287</f>
        <v>0</v>
      </c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</row>
    <row r="289" ht="14.5">
      <c r="B289" s="31">
        <f>+SW_SP_CONTI!B288</f>
        <v>0</v>
      </c>
      <c r="C289" s="31">
        <f>+SW_SP_CONTI!C288</f>
        <v>0</v>
      </c>
      <c r="D289" s="31">
        <f>+SW_SP_CONTI!D288</f>
        <v>0</v>
      </c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</row>
    <row r="290" ht="14.5">
      <c r="B290" s="31">
        <f>+SW_SP_CONTI!B289</f>
        <v>0</v>
      </c>
      <c r="C290" s="31">
        <f>+SW_SP_CONTI!C289</f>
        <v>0</v>
      </c>
      <c r="D290" s="31">
        <f>+SW_SP_CONTI!D289</f>
        <v>0</v>
      </c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</row>
    <row r="291" ht="14.5">
      <c r="B291" s="31">
        <f>+SW_SP_CONTI!B290</f>
        <v>0</v>
      </c>
      <c r="C291" s="31">
        <f>+SW_SP_CONTI!C290</f>
        <v>0</v>
      </c>
      <c r="D291" s="31">
        <f>+SW_SP_CONTI!D290</f>
        <v>0</v>
      </c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</row>
    <row r="292" ht="14.5">
      <c r="B292" s="31">
        <f>+SW_SP_CONTI!B291</f>
        <v>0</v>
      </c>
      <c r="C292" s="31">
        <f>+SW_SP_CONTI!C291</f>
        <v>0</v>
      </c>
      <c r="D292" s="31">
        <f>+SW_SP_CONTI!D291</f>
        <v>0</v>
      </c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</row>
    <row r="293" ht="14.5">
      <c r="B293" s="31">
        <f>+SW_SP_CONTI!B292</f>
        <v>0</v>
      </c>
      <c r="C293" s="31">
        <f>+SW_SP_CONTI!C292</f>
        <v>0</v>
      </c>
      <c r="D293" s="31">
        <f>+SW_SP_CONTI!D292</f>
        <v>0</v>
      </c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</row>
    <row r="294" ht="14.5">
      <c r="B294" s="31">
        <f>+SW_SP_CONTI!B293</f>
        <v>0</v>
      </c>
      <c r="C294" s="31">
        <f>+SW_SP_CONTI!C293</f>
        <v>0</v>
      </c>
      <c r="D294" s="31">
        <f>+SW_SP_CONTI!D293</f>
        <v>0</v>
      </c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</row>
    <row r="295" ht="14.5">
      <c r="B295" s="31">
        <f>+SW_SP_CONTI!B294</f>
        <v>0</v>
      </c>
      <c r="C295" s="31">
        <f>+SW_SP_CONTI!C294</f>
        <v>0</v>
      </c>
      <c r="D295" s="31">
        <f>+SW_SP_CONTI!D294</f>
        <v>0</v>
      </c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</row>
    <row r="296" ht="14.5">
      <c r="B296" s="31">
        <f>+SW_SP_CONTI!B295</f>
        <v>0</v>
      </c>
      <c r="C296" s="31">
        <f>+SW_SP_CONTI!C295</f>
        <v>0</v>
      </c>
      <c r="D296" s="31">
        <f>+SW_SP_CONTI!D295</f>
        <v>0</v>
      </c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</row>
    <row r="297" ht="14.5">
      <c r="B297" s="31">
        <f>+SW_SP_CONTI!B296</f>
        <v>0</v>
      </c>
      <c r="C297" s="31">
        <f>+SW_SP_CONTI!C296</f>
        <v>0</v>
      </c>
      <c r="D297" s="31">
        <f>+SW_SP_CONTI!D296</f>
        <v>0</v>
      </c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</row>
    <row r="298" ht="14.5">
      <c r="B298" s="31">
        <f>+SW_SP_CONTI!B297</f>
        <v>0</v>
      </c>
      <c r="C298" s="31">
        <f>+SW_SP_CONTI!C297</f>
        <v>0</v>
      </c>
      <c r="D298" s="31">
        <f>+SW_SP_CONTI!D297</f>
        <v>0</v>
      </c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</row>
    <row r="299" ht="14.5">
      <c r="B299" s="31">
        <f>+SW_SP_CONTI!B298</f>
        <v>0</v>
      </c>
      <c r="C299" s="31">
        <f>+SW_SP_CONTI!C298</f>
        <v>0</v>
      </c>
      <c r="D299" s="31">
        <f>+SW_SP_CONTI!D298</f>
        <v>0</v>
      </c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</row>
    <row r="300" ht="14.5">
      <c r="B300" s="31">
        <f>+SW_SP_CONTI!B299</f>
        <v>0</v>
      </c>
      <c r="C300" s="31">
        <f>+SW_SP_CONTI!C299</f>
        <v>0</v>
      </c>
      <c r="D300" s="31">
        <f>+SW_SP_CONTI!D299</f>
        <v>0</v>
      </c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</row>
    <row r="301" ht="14.5">
      <c r="B301" s="31">
        <f>+SW_SP_CONTI!B300</f>
        <v>0</v>
      </c>
      <c r="C301" s="31">
        <f>+SW_SP_CONTI!C300</f>
        <v>0</v>
      </c>
      <c r="D301" s="31">
        <f>+SW_SP_CONTI!D300</f>
        <v>0</v>
      </c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</row>
    <row r="302" ht="14.5">
      <c r="B302" s="31">
        <f>+SW_SP_CONTI!B301</f>
        <v>0</v>
      </c>
      <c r="C302" s="31">
        <f>+SW_SP_CONTI!C301</f>
        <v>0</v>
      </c>
      <c r="D302" s="31">
        <f>+SW_SP_CONTI!D301</f>
        <v>0</v>
      </c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</row>
    <row r="303" ht="14.5">
      <c r="B303" s="31">
        <f>+SW_SP_CONTI!B302</f>
        <v>0</v>
      </c>
      <c r="C303" s="31">
        <f>+SW_SP_CONTI!C302</f>
        <v>0</v>
      </c>
      <c r="D303" s="31">
        <f>+SW_SP_CONTI!D302</f>
        <v>0</v>
      </c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</row>
    <row r="304" ht="14.5">
      <c r="B304" s="31">
        <f>+SW_SP_CONTI!B303</f>
        <v>0</v>
      </c>
      <c r="C304" s="31">
        <f>+SW_SP_CONTI!C303</f>
        <v>0</v>
      </c>
      <c r="D304" s="31">
        <f>+SW_SP_CONTI!D303</f>
        <v>0</v>
      </c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</row>
    <row r="305" ht="14.5">
      <c r="B305" s="31">
        <f>+SW_SP_CONTI!B304</f>
        <v>0</v>
      </c>
      <c r="C305" s="31">
        <f>+SW_SP_CONTI!C304</f>
        <v>0</v>
      </c>
      <c r="D305" s="31">
        <f>+SW_SP_CONTI!D304</f>
        <v>0</v>
      </c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</row>
    <row r="306" ht="14.5">
      <c r="B306" s="31">
        <f>+SW_SP_CONTI!B305</f>
        <v>0</v>
      </c>
      <c r="C306" s="31">
        <f>+SW_SP_CONTI!C305</f>
        <v>0</v>
      </c>
      <c r="D306" s="31">
        <f>+SW_SP_CONTI!D305</f>
        <v>0</v>
      </c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</row>
    <row r="307" ht="14.5">
      <c r="B307" s="31">
        <f>+SW_SP_CONTI!B306</f>
        <v>0</v>
      </c>
      <c r="C307" s="31">
        <f>+SW_SP_CONTI!C306</f>
        <v>0</v>
      </c>
      <c r="D307" s="31">
        <f>+SW_SP_CONTI!D306</f>
        <v>0</v>
      </c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</row>
    <row r="308" ht="14.5">
      <c r="B308" s="31">
        <f>+SW_SP_CONTI!B307</f>
        <v>0</v>
      </c>
      <c r="C308" s="31">
        <f>+SW_SP_CONTI!C307</f>
        <v>0</v>
      </c>
      <c r="D308" s="31">
        <f>+SW_SP_CONTI!D307</f>
        <v>0</v>
      </c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</row>
    <row r="309" ht="14.5">
      <c r="B309" s="31">
        <f>+SW_SP_CONTI!B308</f>
        <v>0</v>
      </c>
      <c r="C309" s="31">
        <f>+SW_SP_CONTI!C308</f>
        <v>0</v>
      </c>
      <c r="D309" s="31">
        <f>+SW_SP_CONTI!D308</f>
        <v>0</v>
      </c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</row>
    <row r="310" ht="14.5">
      <c r="B310" s="31">
        <f>+SW_SP_CONTI!B309</f>
        <v>0</v>
      </c>
      <c r="C310" s="31">
        <f>+SW_SP_CONTI!C309</f>
        <v>0</v>
      </c>
      <c r="D310" s="31">
        <f>+SW_SP_CONTI!D309</f>
        <v>0</v>
      </c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</row>
    <row r="311" ht="14.5">
      <c r="B311" s="31">
        <f>+SW_SP_CONTI!B310</f>
        <v>0</v>
      </c>
      <c r="C311" s="31">
        <f>+SW_SP_CONTI!C310</f>
        <v>0</v>
      </c>
      <c r="D311" s="31">
        <f>+SW_SP_CONTI!D310</f>
        <v>0</v>
      </c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</row>
    <row r="312" ht="14.5">
      <c r="B312" s="31">
        <f>+SW_SP_CONTI!B311</f>
        <v>0</v>
      </c>
      <c r="C312" s="31">
        <f>+SW_SP_CONTI!C311</f>
        <v>0</v>
      </c>
      <c r="D312" s="31">
        <f>+SW_SP_CONTI!D311</f>
        <v>0</v>
      </c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</row>
    <row r="313" ht="14.5">
      <c r="B313" s="31">
        <f>+SW_SP_CONTI!B312</f>
        <v>0</v>
      </c>
      <c r="C313" s="31">
        <f>+SW_SP_CONTI!C312</f>
        <v>0</v>
      </c>
      <c r="D313" s="31">
        <f>+SW_SP_CONTI!D312</f>
        <v>0</v>
      </c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</row>
    <row r="314" ht="14.5">
      <c r="B314" s="31">
        <f>+SW_SP_CONTI!B313</f>
        <v>0</v>
      </c>
      <c r="C314" s="31">
        <f>+SW_SP_CONTI!C313</f>
        <v>0</v>
      </c>
      <c r="D314" s="31">
        <f>+SW_SP_CONTI!D313</f>
        <v>0</v>
      </c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</row>
    <row r="315" ht="14.5">
      <c r="B315" s="31">
        <f>+SW_SP_CONTI!B314</f>
        <v>0</v>
      </c>
      <c r="C315" s="31">
        <f>+SW_SP_CONTI!C314</f>
        <v>0</v>
      </c>
      <c r="D315" s="31">
        <f>+SW_SP_CONTI!D314</f>
        <v>0</v>
      </c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</row>
    <row r="316" ht="14.5">
      <c r="B316" s="31">
        <f>+SW_SP_CONTI!B315</f>
        <v>0</v>
      </c>
      <c r="C316" s="31">
        <f>+SW_SP_CONTI!C315</f>
        <v>0</v>
      </c>
      <c r="D316" s="31">
        <f>+SW_SP_CONTI!D315</f>
        <v>0</v>
      </c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</row>
    <row r="317" ht="14.5">
      <c r="B317" s="31">
        <f>+SW_SP_CONTI!B316</f>
        <v>0</v>
      </c>
      <c r="C317" s="31">
        <f>+SW_SP_CONTI!C316</f>
        <v>0</v>
      </c>
      <c r="D317" s="31">
        <f>+SW_SP_CONTI!D316</f>
        <v>0</v>
      </c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</row>
    <row r="318" ht="14.5">
      <c r="B318" s="31">
        <f>+SW_SP_CONTI!B317</f>
        <v>0</v>
      </c>
      <c r="C318" s="31">
        <f>+SW_SP_CONTI!C317</f>
        <v>0</v>
      </c>
      <c r="D318" s="31">
        <f>+SW_SP_CONTI!D317</f>
        <v>0</v>
      </c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</row>
    <row r="319" ht="14.5">
      <c r="B319" s="31">
        <f>+SW_SP_CONTI!B318</f>
        <v>0</v>
      </c>
      <c r="C319" s="31">
        <f>+SW_SP_CONTI!C318</f>
        <v>0</v>
      </c>
      <c r="D319" s="31">
        <f>+SW_SP_CONTI!D318</f>
        <v>0</v>
      </c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</row>
    <row r="320" ht="14.5">
      <c r="B320" s="31">
        <f>+SW_SP_CONTI!B319</f>
        <v>0</v>
      </c>
      <c r="C320" s="31">
        <f>+SW_SP_CONTI!C319</f>
        <v>0</v>
      </c>
      <c r="D320" s="31">
        <f>+SW_SP_CONTI!D319</f>
        <v>0</v>
      </c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</row>
    <row r="321" ht="14.5">
      <c r="B321" s="31">
        <f>+SW_SP_CONTI!B320</f>
        <v>0</v>
      </c>
      <c r="C321" s="31">
        <f>+SW_SP_CONTI!C320</f>
        <v>0</v>
      </c>
      <c r="D321" s="31">
        <f>+SW_SP_CONTI!D320</f>
        <v>0</v>
      </c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</row>
    <row r="322" ht="14.5">
      <c r="B322" s="31">
        <f>+SW_SP_CONTI!B321</f>
        <v>0</v>
      </c>
      <c r="C322" s="31">
        <f>+SW_SP_CONTI!C321</f>
        <v>0</v>
      </c>
      <c r="D322" s="31">
        <f>+SW_SP_CONTI!D321</f>
        <v>0</v>
      </c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</row>
    <row r="323" ht="14.5">
      <c r="B323" s="31">
        <f>+SW_SP_CONTI!B322</f>
        <v>0</v>
      </c>
      <c r="C323" s="31">
        <f>+SW_SP_CONTI!C322</f>
        <v>0</v>
      </c>
      <c r="D323" s="31">
        <f>+SW_SP_CONTI!D322</f>
        <v>0</v>
      </c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</row>
    <row r="324" ht="14.5">
      <c r="B324" s="31">
        <f>+SW_SP_CONTI!B323</f>
        <v>0</v>
      </c>
      <c r="C324" s="31">
        <f>+SW_SP_CONTI!C323</f>
        <v>0</v>
      </c>
      <c r="D324" s="31">
        <f>+SW_SP_CONTI!D323</f>
        <v>0</v>
      </c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</row>
    <row r="325" ht="14.5">
      <c r="B325" s="31">
        <f>+SW_SP_CONTI!B324</f>
        <v>0</v>
      </c>
      <c r="C325" s="31">
        <f>+SW_SP_CONTI!C324</f>
        <v>0</v>
      </c>
      <c r="D325" s="31">
        <f>+SW_SP_CONTI!D324</f>
        <v>0</v>
      </c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</row>
    <row r="326" ht="14.5">
      <c r="B326" s="31">
        <f>+SW_SP_CONTI!B325</f>
        <v>0</v>
      </c>
      <c r="C326" s="31">
        <f>+SW_SP_CONTI!C325</f>
        <v>0</v>
      </c>
      <c r="D326" s="31">
        <f>+SW_SP_CONTI!D325</f>
        <v>0</v>
      </c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</row>
    <row r="327" ht="14.5">
      <c r="B327" s="31">
        <f>+SW_SP_CONTI!B326</f>
        <v>0</v>
      </c>
      <c r="C327" s="31">
        <f>+SW_SP_CONTI!C326</f>
        <v>0</v>
      </c>
      <c r="D327" s="31">
        <f>+SW_SP_CONTI!D326</f>
        <v>0</v>
      </c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</row>
    <row r="328" ht="14.5">
      <c r="B328" s="31">
        <f>+SW_SP_CONTI!B327</f>
        <v>0</v>
      </c>
      <c r="C328" s="31">
        <f>+SW_SP_CONTI!C327</f>
        <v>0</v>
      </c>
      <c r="D328" s="31">
        <f>+SW_SP_CONTI!D327</f>
        <v>0</v>
      </c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</row>
    <row r="329" ht="14.5">
      <c r="B329" s="31">
        <f>+SW_SP_CONTI!B328</f>
        <v>0</v>
      </c>
      <c r="C329" s="31">
        <f>+SW_SP_CONTI!C328</f>
        <v>0</v>
      </c>
      <c r="D329" s="31">
        <f>+SW_SP_CONTI!D328</f>
        <v>0</v>
      </c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</row>
    <row r="330" ht="14.5">
      <c r="B330" s="31">
        <f>+SW_SP_CONTI!B329</f>
        <v>0</v>
      </c>
      <c r="C330" s="31">
        <f>+SW_SP_CONTI!C329</f>
        <v>0</v>
      </c>
      <c r="D330" s="31">
        <f>+SW_SP_CONTI!D329</f>
        <v>0</v>
      </c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</row>
    <row r="331" ht="14.5">
      <c r="B331" s="31">
        <f>+SW_SP_CONTI!B330</f>
        <v>0</v>
      </c>
      <c r="C331" s="31">
        <f>+SW_SP_CONTI!C330</f>
        <v>0</v>
      </c>
      <c r="D331" s="31">
        <f>+SW_SP_CONTI!D330</f>
        <v>0</v>
      </c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</row>
    <row r="332" ht="14.5">
      <c r="B332" s="31">
        <f>+SW_SP_CONTI!B331</f>
        <v>0</v>
      </c>
      <c r="C332" s="31">
        <f>+SW_SP_CONTI!C331</f>
        <v>0</v>
      </c>
      <c r="D332" s="31">
        <f>+SW_SP_CONTI!D331</f>
        <v>0</v>
      </c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</row>
    <row r="333" ht="14.5">
      <c r="B333" s="31">
        <f>+SW_SP_CONTI!B332</f>
        <v>0</v>
      </c>
      <c r="C333" s="31">
        <f>+SW_SP_CONTI!C332</f>
        <v>0</v>
      </c>
      <c r="D333" s="31">
        <f>+SW_SP_CONTI!D332</f>
        <v>0</v>
      </c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</row>
    <row r="334" ht="14.5">
      <c r="B334" s="31">
        <f>+SW_SP_CONTI!B333</f>
        <v>0</v>
      </c>
      <c r="C334" s="31">
        <f>+SW_SP_CONTI!C333</f>
        <v>0</v>
      </c>
      <c r="D334" s="31">
        <f>+SW_SP_CONTI!D333</f>
        <v>0</v>
      </c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</row>
    <row r="335" ht="14.5">
      <c r="B335" s="31">
        <f>+SW_SP_CONTI!B334</f>
        <v>0</v>
      </c>
      <c r="C335" s="31">
        <f>+SW_SP_CONTI!C334</f>
        <v>0</v>
      </c>
      <c r="D335" s="31">
        <f>+SW_SP_CONTI!D334</f>
        <v>0</v>
      </c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</row>
    <row r="336" ht="14.5">
      <c r="B336" s="31">
        <f>+SW_SP_CONTI!B335</f>
        <v>0</v>
      </c>
      <c r="C336" s="31">
        <f>+SW_SP_CONTI!C335</f>
        <v>0</v>
      </c>
      <c r="D336" s="31">
        <f>+SW_SP_CONTI!D335</f>
        <v>0</v>
      </c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</row>
    <row r="337" ht="14.5">
      <c r="B337" s="31">
        <f>+SW_SP_CONTI!B336</f>
        <v>0</v>
      </c>
      <c r="C337" s="31">
        <f>+SW_SP_CONTI!C336</f>
        <v>0</v>
      </c>
      <c r="D337" s="31">
        <f>+SW_SP_CONTI!D336</f>
        <v>0</v>
      </c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</row>
    <row r="338" ht="14.5">
      <c r="B338" s="31">
        <f>+SW_SP_CONTI!B337</f>
        <v>0</v>
      </c>
      <c r="C338" s="31">
        <f>+SW_SP_CONTI!C337</f>
        <v>0</v>
      </c>
      <c r="D338" s="31">
        <f>+SW_SP_CONTI!D337</f>
        <v>0</v>
      </c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</row>
    <row r="339" ht="14.5">
      <c r="B339" s="31">
        <f>+SW_SP_CONTI!B338</f>
        <v>0</v>
      </c>
      <c r="C339" s="31">
        <f>+SW_SP_CONTI!C338</f>
        <v>0</v>
      </c>
      <c r="D339" s="31">
        <f>+SW_SP_CONTI!D338</f>
        <v>0</v>
      </c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</row>
    <row r="340" ht="14.5">
      <c r="B340" s="31">
        <f>+SW_SP_CONTI!B339</f>
        <v>0</v>
      </c>
      <c r="C340" s="31">
        <f>+SW_SP_CONTI!C339</f>
        <v>0</v>
      </c>
      <c r="D340" s="31">
        <f>+SW_SP_CONTI!D339</f>
        <v>0</v>
      </c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</row>
    <row r="341" ht="14.5">
      <c r="B341" s="31">
        <f>+SW_SP_CONTI!B340</f>
        <v>0</v>
      </c>
      <c r="C341" s="31">
        <f>+SW_SP_CONTI!C340</f>
        <v>0</v>
      </c>
      <c r="D341" s="31">
        <f>+SW_SP_CONTI!D340</f>
        <v>0</v>
      </c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</row>
    <row r="342" ht="14.5">
      <c r="B342" s="31">
        <f>+SW_SP_CONTI!B341</f>
        <v>0</v>
      </c>
      <c r="C342" s="31">
        <f>+SW_SP_CONTI!C341</f>
        <v>0</v>
      </c>
      <c r="D342" s="31">
        <f>+SW_SP_CONTI!D341</f>
        <v>0</v>
      </c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</row>
    <row r="343" ht="14.5">
      <c r="B343" s="31">
        <f>+SW_SP_CONTI!B342</f>
        <v>0</v>
      </c>
      <c r="C343" s="31">
        <f>+SW_SP_CONTI!C342</f>
        <v>0</v>
      </c>
      <c r="D343" s="31">
        <f>+SW_SP_CONTI!D342</f>
        <v>0</v>
      </c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</row>
    <row r="344" ht="14.5">
      <c r="B344" s="31">
        <f>+SW_SP_CONTI!B343</f>
        <v>0</v>
      </c>
      <c r="C344" s="31">
        <f>+SW_SP_CONTI!C343</f>
        <v>0</v>
      </c>
      <c r="D344" s="31">
        <f>+SW_SP_CONTI!D343</f>
        <v>0</v>
      </c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</row>
    <row r="345" ht="14.5">
      <c r="B345" s="31">
        <f>+SW_SP_CONTI!B344</f>
        <v>0</v>
      </c>
      <c r="C345" s="31">
        <f>+SW_SP_CONTI!C344</f>
        <v>0</v>
      </c>
      <c r="D345" s="31">
        <f>+SW_SP_CONTI!D344</f>
        <v>0</v>
      </c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</row>
    <row r="346" ht="14.5">
      <c r="B346" s="31">
        <f>+SW_SP_CONTI!B345</f>
        <v>0</v>
      </c>
      <c r="C346" s="31">
        <f>+SW_SP_CONTI!C345</f>
        <v>0</v>
      </c>
      <c r="D346" s="31">
        <f>+SW_SP_CONTI!D345</f>
        <v>0</v>
      </c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</row>
    <row r="347" ht="14.5">
      <c r="B347" s="31">
        <f>+SW_SP_CONTI!B346</f>
        <v>0</v>
      </c>
      <c r="C347" s="31">
        <f>+SW_SP_CONTI!C346</f>
        <v>0</v>
      </c>
      <c r="D347" s="31">
        <f>+SW_SP_CONTI!D346</f>
        <v>0</v>
      </c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</row>
    <row r="348" ht="14.5">
      <c r="B348" s="31">
        <f>+SW_SP_CONTI!B347</f>
        <v>0</v>
      </c>
      <c r="C348" s="31">
        <f>+SW_SP_CONTI!C347</f>
        <v>0</v>
      </c>
      <c r="D348" s="31">
        <f>+SW_SP_CONTI!D347</f>
        <v>0</v>
      </c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</row>
    <row r="349" ht="14.5">
      <c r="B349" s="31">
        <f>+SW_SP_CONTI!B348</f>
        <v>0</v>
      </c>
      <c r="C349" s="31">
        <f>+SW_SP_CONTI!C348</f>
        <v>0</v>
      </c>
      <c r="D349" s="31">
        <f>+SW_SP_CONTI!D348</f>
        <v>0</v>
      </c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</row>
    <row r="350" ht="14.5">
      <c r="B350" s="31">
        <f>+SW_SP_CONTI!B349</f>
        <v>0</v>
      </c>
      <c r="C350" s="31">
        <f>+SW_SP_CONTI!C349</f>
        <v>0</v>
      </c>
      <c r="D350" s="31">
        <f>+SW_SP_CONTI!D349</f>
        <v>0</v>
      </c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</row>
    <row r="351" ht="14.5">
      <c r="B351" s="31">
        <f>+SW_SP_CONTI!B350</f>
        <v>0</v>
      </c>
      <c r="C351" s="31">
        <f>+SW_SP_CONTI!C350</f>
        <v>0</v>
      </c>
      <c r="D351" s="31">
        <f>+SW_SP_CONTI!D350</f>
        <v>0</v>
      </c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</row>
    <row r="352" ht="14.5">
      <c r="B352" s="31">
        <f>+SW_SP_CONTI!B351</f>
        <v>0</v>
      </c>
      <c r="C352" s="31">
        <f>+SW_SP_CONTI!C351</f>
        <v>0</v>
      </c>
      <c r="D352" s="31">
        <f>+SW_SP_CONTI!D351</f>
        <v>0</v>
      </c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</row>
    <row r="353" ht="14.5">
      <c r="B353" s="31">
        <f>+SW_SP_CONTI!B352</f>
        <v>0</v>
      </c>
      <c r="C353" s="31">
        <f>+SW_SP_CONTI!C352</f>
        <v>0</v>
      </c>
      <c r="D353" s="31">
        <f>+SW_SP_CONTI!D352</f>
        <v>0</v>
      </c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</row>
    <row r="354" ht="14.5">
      <c r="B354" s="31">
        <f>+SW_SP_CONTI!B353</f>
        <v>0</v>
      </c>
      <c r="C354" s="31">
        <f>+SW_SP_CONTI!C353</f>
        <v>0</v>
      </c>
      <c r="D354" s="31">
        <f>+SW_SP_CONTI!D353</f>
        <v>0</v>
      </c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</row>
    <row r="355" ht="14.5">
      <c r="B355" s="31">
        <f>+SW_SP_CONTI!B354</f>
        <v>0</v>
      </c>
      <c r="C355" s="31">
        <f>+SW_SP_CONTI!C354</f>
        <v>0</v>
      </c>
      <c r="D355" s="31">
        <f>+SW_SP_CONTI!D354</f>
        <v>0</v>
      </c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</row>
    <row r="356" ht="14.5">
      <c r="B356" s="31">
        <f>+SW_SP_CONTI!B355</f>
        <v>0</v>
      </c>
      <c r="C356" s="31">
        <f>+SW_SP_CONTI!C355</f>
        <v>0</v>
      </c>
      <c r="D356" s="31">
        <f>+SW_SP_CONTI!D355</f>
        <v>0</v>
      </c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</row>
    <row r="357" ht="14.5">
      <c r="B357" s="31">
        <f>+SW_SP_CONTI!B356</f>
        <v>0</v>
      </c>
      <c r="C357" s="31">
        <f>+SW_SP_CONTI!C356</f>
        <v>0</v>
      </c>
      <c r="D357" s="31">
        <f>+SW_SP_CONTI!D356</f>
        <v>0</v>
      </c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</row>
    <row r="358" ht="14.5">
      <c r="B358" s="31">
        <f>+SW_SP_CONTI!B357</f>
        <v>0</v>
      </c>
      <c r="C358" s="31">
        <f>+SW_SP_CONTI!C357</f>
        <v>0</v>
      </c>
      <c r="D358" s="31">
        <f>+SW_SP_CONTI!D357</f>
        <v>0</v>
      </c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</row>
    <row r="359" ht="14.5">
      <c r="B359" s="31">
        <f>+SW_SP_CONTI!B358</f>
        <v>0</v>
      </c>
      <c r="C359" s="31">
        <f>+SW_SP_CONTI!C358</f>
        <v>0</v>
      </c>
      <c r="D359" s="31">
        <f>+SW_SP_CONTI!D358</f>
        <v>0</v>
      </c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</row>
    <row r="360" ht="14.5">
      <c r="B360" s="31">
        <f>+SW_SP_CONTI!B359</f>
        <v>0</v>
      </c>
      <c r="C360" s="31">
        <f>+SW_SP_CONTI!C359</f>
        <v>0</v>
      </c>
      <c r="D360" s="31">
        <f>+SW_SP_CONTI!D359</f>
        <v>0</v>
      </c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</row>
    <row r="361" ht="14.5">
      <c r="B361" s="31">
        <f>+SW_SP_CONTI!B360</f>
        <v>0</v>
      </c>
      <c r="C361" s="31">
        <f>+SW_SP_CONTI!C360</f>
        <v>0</v>
      </c>
      <c r="D361" s="31">
        <f>+SW_SP_CONTI!D360</f>
        <v>0</v>
      </c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</row>
    <row r="362" ht="14.5">
      <c r="B362" s="31">
        <f>+SW_SP_CONTI!B361</f>
        <v>0</v>
      </c>
      <c r="C362" s="31">
        <f>+SW_SP_CONTI!C361</f>
        <v>0</v>
      </c>
      <c r="D362" s="31">
        <f>+SW_SP_CONTI!D361</f>
        <v>0</v>
      </c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</row>
    <row r="363" ht="14.5">
      <c r="B363" s="31">
        <f>+SW_SP_CONTI!B362</f>
        <v>0</v>
      </c>
      <c r="C363" s="31">
        <f>+SW_SP_CONTI!C362</f>
        <v>0</v>
      </c>
      <c r="D363" s="31">
        <f>+SW_SP_CONTI!D362</f>
        <v>0</v>
      </c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</row>
    <row r="364" ht="14.5">
      <c r="B364" s="31">
        <f>+SW_SP_CONTI!B363</f>
        <v>0</v>
      </c>
      <c r="C364" s="31">
        <f>+SW_SP_CONTI!C363</f>
        <v>0</v>
      </c>
      <c r="D364" s="31">
        <f>+SW_SP_CONTI!D363</f>
        <v>0</v>
      </c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</row>
    <row r="365" ht="14.5">
      <c r="B365" s="31">
        <f>+SW_SP_CONTI!B364</f>
        <v>0</v>
      </c>
      <c r="C365" s="31">
        <f>+SW_SP_CONTI!C364</f>
        <v>0</v>
      </c>
      <c r="D365" s="31">
        <f>+SW_SP_CONTI!D364</f>
        <v>0</v>
      </c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</row>
    <row r="366" ht="14.5">
      <c r="B366" s="31">
        <f>+SW_SP_CONTI!B365</f>
        <v>0</v>
      </c>
      <c r="C366" s="31">
        <f>+SW_SP_CONTI!C365</f>
        <v>0</v>
      </c>
      <c r="D366" s="31">
        <f>+SW_SP_CONTI!D365</f>
        <v>0</v>
      </c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</row>
    <row r="367" ht="14.5">
      <c r="B367" s="31">
        <f>+SW_SP_CONTI!B366</f>
        <v>0</v>
      </c>
      <c r="C367" s="31">
        <f>+SW_SP_CONTI!C366</f>
        <v>0</v>
      </c>
      <c r="D367" s="31">
        <f>+SW_SP_CONTI!D366</f>
        <v>0</v>
      </c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</row>
    <row r="368" ht="14.5">
      <c r="B368" s="31">
        <f>+SW_SP_CONTI!B367</f>
        <v>0</v>
      </c>
      <c r="C368" s="31">
        <f>+SW_SP_CONTI!C367</f>
        <v>0</v>
      </c>
      <c r="D368" s="31">
        <f>+SW_SP_CONTI!D367</f>
        <v>0</v>
      </c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</row>
    <row r="369" ht="14.5">
      <c r="B369" s="31">
        <f>+SW_SP_CONTI!B368</f>
        <v>0</v>
      </c>
      <c r="C369" s="31">
        <f>+SW_SP_CONTI!C368</f>
        <v>0</v>
      </c>
      <c r="D369" s="31">
        <f>+SW_SP_CONTI!D368</f>
        <v>0</v>
      </c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</row>
    <row r="370" ht="14.5">
      <c r="B370" s="31">
        <f>+SW_SP_CONTI!B369</f>
        <v>0</v>
      </c>
      <c r="C370" s="31">
        <f>+SW_SP_CONTI!C369</f>
        <v>0</v>
      </c>
      <c r="D370" s="31">
        <f>+SW_SP_CONTI!D369</f>
        <v>0</v>
      </c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</row>
    <row r="371" ht="14.5">
      <c r="B371" s="31">
        <f>+SW_SP_CONTI!B370</f>
        <v>0</v>
      </c>
      <c r="C371" s="31">
        <f>+SW_SP_CONTI!C370</f>
        <v>0</v>
      </c>
      <c r="D371" s="31">
        <f>+SW_SP_CONTI!D370</f>
        <v>0</v>
      </c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</row>
    <row r="372" ht="14.5">
      <c r="B372" s="31">
        <f>+SW_SP_CONTI!B371</f>
        <v>0</v>
      </c>
      <c r="C372" s="31">
        <f>+SW_SP_CONTI!C371</f>
        <v>0</v>
      </c>
      <c r="D372" s="31">
        <f>+SW_SP_CONTI!D371</f>
        <v>0</v>
      </c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</row>
    <row r="373" ht="14.5">
      <c r="B373" s="31">
        <f>+SW_SP_CONTI!B372</f>
        <v>0</v>
      </c>
      <c r="C373" s="31">
        <f>+SW_SP_CONTI!C372</f>
        <v>0</v>
      </c>
      <c r="D373" s="31">
        <f>+SW_SP_CONTI!D372</f>
        <v>0</v>
      </c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</row>
    <row r="374" ht="14.5">
      <c r="B374" s="31">
        <f>+SW_SP_CONTI!B373</f>
        <v>0</v>
      </c>
      <c r="C374" s="31">
        <f>+SW_SP_CONTI!C373</f>
        <v>0</v>
      </c>
      <c r="D374" s="31">
        <f>+SW_SP_CONTI!D373</f>
        <v>0</v>
      </c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</row>
    <row r="375" ht="14.5">
      <c r="B375" s="31">
        <f>+SW_SP_CONTI!B374</f>
        <v>0</v>
      </c>
      <c r="C375" s="31">
        <f>+SW_SP_CONTI!C374</f>
        <v>0</v>
      </c>
      <c r="D375" s="31">
        <f>+SW_SP_CONTI!D374</f>
        <v>0</v>
      </c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</row>
    <row r="376" ht="14.5">
      <c r="B376" s="31">
        <f>+SW_SP_CONTI!B375</f>
        <v>0</v>
      </c>
      <c r="C376" s="31">
        <f>+SW_SP_CONTI!C375</f>
        <v>0</v>
      </c>
      <c r="D376" s="31">
        <f>+SW_SP_CONTI!D375</f>
        <v>0</v>
      </c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</row>
    <row r="377" ht="14.5">
      <c r="B377" s="31">
        <f>+SW_SP_CONTI!B376</f>
        <v>0</v>
      </c>
      <c r="C377" s="31">
        <f>+SW_SP_CONTI!C376</f>
        <v>0</v>
      </c>
      <c r="D377" s="31">
        <f>+SW_SP_CONTI!D376</f>
        <v>0</v>
      </c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</row>
    <row r="378" ht="14.5">
      <c r="B378" s="31">
        <f>+SW_SP_CONTI!B377</f>
        <v>0</v>
      </c>
      <c r="C378" s="31">
        <f>+SW_SP_CONTI!C377</f>
        <v>0</v>
      </c>
      <c r="D378" s="31">
        <f>+SW_SP_CONTI!D377</f>
        <v>0</v>
      </c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</row>
    <row r="379" ht="14.5">
      <c r="B379" s="31">
        <f>+SW_SP_CONTI!B378</f>
        <v>0</v>
      </c>
      <c r="C379" s="31">
        <f>+SW_SP_CONTI!C378</f>
        <v>0</v>
      </c>
      <c r="D379" s="31">
        <f>+SW_SP_CONTI!D378</f>
        <v>0</v>
      </c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</row>
    <row r="380" ht="14.5">
      <c r="B380" s="31">
        <f>+SW_SP_CONTI!B379</f>
        <v>0</v>
      </c>
      <c r="C380" s="31">
        <f>+SW_SP_CONTI!C379</f>
        <v>0</v>
      </c>
      <c r="D380" s="31">
        <f>+SW_SP_CONTI!D379</f>
        <v>0</v>
      </c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</row>
    <row r="381" ht="14.5">
      <c r="B381" s="31">
        <f>+SW_SP_CONTI!B380</f>
        <v>0</v>
      </c>
      <c r="C381" s="31">
        <f>+SW_SP_CONTI!C380</f>
        <v>0</v>
      </c>
      <c r="D381" s="31">
        <f>+SW_SP_CONTI!D380</f>
        <v>0</v>
      </c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</row>
    <row r="382" ht="14.5">
      <c r="B382" s="31">
        <f>+SW_SP_CONTI!B381</f>
        <v>0</v>
      </c>
      <c r="C382" s="31">
        <f>+SW_SP_CONTI!C381</f>
        <v>0</v>
      </c>
      <c r="D382" s="31">
        <f>+SW_SP_CONTI!D381</f>
        <v>0</v>
      </c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</row>
    <row r="383" ht="14.5">
      <c r="B383" s="31">
        <f>+SW_SP_CONTI!B382</f>
        <v>0</v>
      </c>
      <c r="C383" s="31">
        <f>+SW_SP_CONTI!C382</f>
        <v>0</v>
      </c>
      <c r="D383" s="31">
        <f>+SW_SP_CONTI!D382</f>
        <v>0</v>
      </c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</row>
    <row r="384" ht="14.5">
      <c r="B384" s="31">
        <f>+SW_SP_CONTI!B383</f>
        <v>0</v>
      </c>
      <c r="C384" s="31">
        <f>+SW_SP_CONTI!C383</f>
        <v>0</v>
      </c>
      <c r="D384" s="31">
        <f>+SW_SP_CONTI!D383</f>
        <v>0</v>
      </c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</row>
    <row r="385" ht="14.5">
      <c r="B385" s="31">
        <f>+SW_SP_CONTI!B384</f>
        <v>0</v>
      </c>
      <c r="C385" s="31">
        <f>+SW_SP_CONTI!C384</f>
        <v>0</v>
      </c>
      <c r="D385" s="31">
        <f>+SW_SP_CONTI!D384</f>
        <v>0</v>
      </c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</row>
    <row r="386" ht="14.5">
      <c r="B386" s="31">
        <f>+SW_SP_CONTI!B385</f>
        <v>0</v>
      </c>
      <c r="C386" s="31">
        <f>+SW_SP_CONTI!C385</f>
        <v>0</v>
      </c>
      <c r="D386" s="31">
        <f>+SW_SP_CONTI!D385</f>
        <v>0</v>
      </c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</row>
    <row r="387" ht="14.5">
      <c r="B387" s="31">
        <f>+SW_SP_CONTI!B386</f>
        <v>0</v>
      </c>
      <c r="C387" s="31">
        <f>+SW_SP_CONTI!C386</f>
        <v>0</v>
      </c>
      <c r="D387" s="31">
        <f>+SW_SP_CONTI!D386</f>
        <v>0</v>
      </c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</row>
    <row r="388" ht="14.5">
      <c r="B388" s="31">
        <f>+SW_SP_CONTI!B387</f>
        <v>0</v>
      </c>
      <c r="C388" s="31">
        <f>+SW_SP_CONTI!C387</f>
        <v>0</v>
      </c>
      <c r="D388" s="31">
        <f>+SW_SP_CONTI!D387</f>
        <v>0</v>
      </c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</row>
    <row r="389" ht="14.5">
      <c r="B389" s="31">
        <f>+SW_SP_CONTI!B388</f>
        <v>0</v>
      </c>
      <c r="C389" s="31">
        <f>+SW_SP_CONTI!C388</f>
        <v>0</v>
      </c>
      <c r="D389" s="31">
        <f>+SW_SP_CONTI!D388</f>
        <v>0</v>
      </c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</row>
    <row r="390" ht="14.5">
      <c r="B390" s="31">
        <f>+SW_SP_CONTI!B389</f>
        <v>0</v>
      </c>
      <c r="C390" s="31">
        <f>+SW_SP_CONTI!C389</f>
        <v>0</v>
      </c>
      <c r="D390" s="31">
        <f>+SW_SP_CONTI!D389</f>
        <v>0</v>
      </c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</row>
    <row r="391" ht="14.5">
      <c r="B391" s="31">
        <f>+SW_SP_CONTI!B390</f>
        <v>0</v>
      </c>
      <c r="C391" s="31">
        <f>+SW_SP_CONTI!C390</f>
        <v>0</v>
      </c>
      <c r="D391" s="31">
        <f>+SW_SP_CONTI!D390</f>
        <v>0</v>
      </c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</row>
    <row r="392" ht="14.5">
      <c r="B392" s="31">
        <f>+SW_SP_CONTI!B391</f>
        <v>0</v>
      </c>
      <c r="C392" s="31">
        <f>+SW_SP_CONTI!C391</f>
        <v>0</v>
      </c>
      <c r="D392" s="31">
        <f>+SW_SP_CONTI!D391</f>
        <v>0</v>
      </c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</row>
    <row r="393" ht="14.5">
      <c r="B393" s="31">
        <f>+SW_SP_CONTI!B392</f>
        <v>0</v>
      </c>
      <c r="C393" s="31">
        <f>+SW_SP_CONTI!C392</f>
        <v>0</v>
      </c>
      <c r="D393" s="31">
        <f>+SW_SP_CONTI!D392</f>
        <v>0</v>
      </c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</row>
    <row r="394" ht="14.5">
      <c r="B394" s="31">
        <f>+SW_SP_CONTI!B393</f>
        <v>0</v>
      </c>
      <c r="C394" s="31">
        <f>+SW_SP_CONTI!C393</f>
        <v>0</v>
      </c>
      <c r="D394" s="31">
        <f>+SW_SP_CONTI!D393</f>
        <v>0</v>
      </c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</row>
    <row r="395" ht="14.5">
      <c r="B395" s="31">
        <f>+SW_SP_CONTI!B394</f>
        <v>0</v>
      </c>
      <c r="C395" s="31">
        <f>+SW_SP_CONTI!C394</f>
        <v>0</v>
      </c>
      <c r="D395" s="31">
        <f>+SW_SP_CONTI!D394</f>
        <v>0</v>
      </c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</row>
    <row r="396" ht="14.5">
      <c r="B396" s="31">
        <f>+SW_SP_CONTI!B395</f>
        <v>0</v>
      </c>
      <c r="C396" s="31">
        <f>+SW_SP_CONTI!C395</f>
        <v>0</v>
      </c>
      <c r="D396" s="31">
        <f>+SW_SP_CONTI!D395</f>
        <v>0</v>
      </c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</row>
    <row r="397" ht="14.5">
      <c r="B397" s="31">
        <f>+SW_SP_CONTI!B396</f>
        <v>0</v>
      </c>
      <c r="C397" s="31">
        <f>+SW_SP_CONTI!C396</f>
        <v>0</v>
      </c>
      <c r="D397" s="31">
        <f>+SW_SP_CONTI!D396</f>
        <v>0</v>
      </c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</row>
    <row r="398" ht="14.5">
      <c r="B398" s="31">
        <f>+SW_SP_CONTI!B397</f>
        <v>0</v>
      </c>
      <c r="C398" s="31">
        <f>+SW_SP_CONTI!C397</f>
        <v>0</v>
      </c>
      <c r="D398" s="31">
        <f>+SW_SP_CONTI!D397</f>
        <v>0</v>
      </c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</row>
    <row r="399" ht="14.5">
      <c r="B399" s="31">
        <f>+SW_SP_CONTI!B398</f>
        <v>0</v>
      </c>
      <c r="C399" s="31">
        <f>+SW_SP_CONTI!C398</f>
        <v>0</v>
      </c>
      <c r="D399" s="31">
        <f>+SW_SP_CONTI!D398</f>
        <v>0</v>
      </c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</row>
    <row r="400" ht="14.5">
      <c r="B400" s="31">
        <f>+SW_SP_CONTI!B399</f>
        <v>0</v>
      </c>
      <c r="C400" s="31">
        <f>+SW_SP_CONTI!C399</f>
        <v>0</v>
      </c>
      <c r="D400" s="31">
        <f>+SW_SP_CONTI!D399</f>
        <v>0</v>
      </c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</row>
    <row r="401" ht="14.5">
      <c r="B401" s="31">
        <f>+SW_SP_CONTI!B400</f>
        <v>0</v>
      </c>
      <c r="C401" s="31">
        <f>+SW_SP_CONTI!C400</f>
        <v>0</v>
      </c>
      <c r="D401" s="31">
        <f>+SW_SP_CONTI!D400</f>
        <v>0</v>
      </c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</row>
    <row r="402" ht="14.5">
      <c r="B402" s="31">
        <f>+SW_SP_CONTI!B401</f>
        <v>0</v>
      </c>
      <c r="C402" s="31">
        <f>+SW_SP_CONTI!C401</f>
        <v>0</v>
      </c>
      <c r="D402" s="31">
        <f>+SW_SP_CONTI!D401</f>
        <v>0</v>
      </c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</row>
    <row r="403" ht="14.5">
      <c r="B403" s="31">
        <f>+SW_SP_CONTI!B402</f>
        <v>0</v>
      </c>
      <c r="C403" s="31">
        <f>+SW_SP_CONTI!C402</f>
        <v>0</v>
      </c>
      <c r="D403" s="31">
        <f>+SW_SP_CONTI!D402</f>
        <v>0</v>
      </c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</row>
    <row r="404" ht="14.5">
      <c r="B404" s="31">
        <f>+SW_SP_CONTI!B403</f>
        <v>0</v>
      </c>
      <c r="C404" s="31">
        <f>+SW_SP_CONTI!C403</f>
        <v>0</v>
      </c>
      <c r="D404" s="31">
        <f>+SW_SP_CONTI!D403</f>
        <v>0</v>
      </c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</row>
    <row r="405" ht="14.5">
      <c r="B405" s="31">
        <f>+SW_SP_CONTI!B404</f>
        <v>0</v>
      </c>
      <c r="C405" s="31">
        <f>+SW_SP_CONTI!C404</f>
        <v>0</v>
      </c>
      <c r="D405" s="31">
        <f>+SW_SP_CONTI!D404</f>
        <v>0</v>
      </c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</row>
    <row r="406" ht="14.5">
      <c r="B406" s="31">
        <f>+SW_SP_CONTI!B405</f>
        <v>0</v>
      </c>
      <c r="C406" s="31">
        <f>+SW_SP_CONTI!C405</f>
        <v>0</v>
      </c>
      <c r="D406" s="31">
        <f>+SW_SP_CONTI!D405</f>
        <v>0</v>
      </c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</row>
    <row r="407" ht="14.5">
      <c r="B407" s="31">
        <f>+SW_SP_CONTI!B406</f>
        <v>0</v>
      </c>
      <c r="C407" s="31">
        <f>+SW_SP_CONTI!C406</f>
        <v>0</v>
      </c>
      <c r="D407" s="31">
        <f>+SW_SP_CONTI!D406</f>
        <v>0</v>
      </c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</row>
    <row r="408" ht="14.5">
      <c r="B408" s="31">
        <f>+SW_SP_CONTI!B407</f>
        <v>0</v>
      </c>
      <c r="C408" s="31">
        <f>+SW_SP_CONTI!C407</f>
        <v>0</v>
      </c>
      <c r="D408" s="31">
        <f>+SW_SP_CONTI!D407</f>
        <v>0</v>
      </c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</row>
    <row r="409" ht="14.5">
      <c r="B409" s="31">
        <f>+SW_SP_CONTI!B408</f>
        <v>0</v>
      </c>
      <c r="C409" s="31">
        <f>+SW_SP_CONTI!C408</f>
        <v>0</v>
      </c>
      <c r="D409" s="31">
        <f>+SW_SP_CONTI!D408</f>
        <v>0</v>
      </c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</row>
    <row r="410" ht="14.5">
      <c r="B410" s="31">
        <f>+SW_SP_CONTI!B409</f>
        <v>0</v>
      </c>
      <c r="C410" s="31">
        <f>+SW_SP_CONTI!C409</f>
        <v>0</v>
      </c>
      <c r="D410" s="31">
        <f>+SW_SP_CONTI!D409</f>
        <v>0</v>
      </c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</row>
    <row r="411" ht="14.5">
      <c r="B411" s="31">
        <f>+SW_SP_CONTI!B410</f>
        <v>0</v>
      </c>
      <c r="C411" s="31">
        <f>+SW_SP_CONTI!C410</f>
        <v>0</v>
      </c>
      <c r="D411" s="31">
        <f>+SW_SP_CONTI!D410</f>
        <v>0</v>
      </c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</row>
    <row r="412" ht="14.5">
      <c r="B412" s="31">
        <f>+SW_SP_CONTI!B411</f>
        <v>0</v>
      </c>
      <c r="C412" s="31">
        <f>+SW_SP_CONTI!C411</f>
        <v>0</v>
      </c>
      <c r="D412" s="31">
        <f>+SW_SP_CONTI!D411</f>
        <v>0</v>
      </c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</row>
    <row r="413" ht="14.5">
      <c r="B413" s="31">
        <f>+SW_SP_CONTI!B412</f>
        <v>0</v>
      </c>
      <c r="C413" s="31">
        <f>+SW_SP_CONTI!C412</f>
        <v>0</v>
      </c>
      <c r="D413" s="31">
        <f>+SW_SP_CONTI!D412</f>
        <v>0</v>
      </c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</row>
    <row r="414" ht="14.5">
      <c r="B414" s="31">
        <f>+SW_SP_CONTI!B413</f>
        <v>0</v>
      </c>
      <c r="C414" s="31">
        <f>+SW_SP_CONTI!C413</f>
        <v>0</v>
      </c>
      <c r="D414" s="31">
        <f>+SW_SP_CONTI!D413</f>
        <v>0</v>
      </c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</row>
    <row r="415" ht="14.5">
      <c r="B415" s="31">
        <f>+SW_SP_CONTI!B414</f>
        <v>0</v>
      </c>
      <c r="C415" s="31">
        <f>+SW_SP_CONTI!C414</f>
        <v>0</v>
      </c>
      <c r="D415" s="31">
        <f>+SW_SP_CONTI!D414</f>
        <v>0</v>
      </c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</row>
    <row r="416" ht="14.5">
      <c r="B416" s="31">
        <f>+SW_SP_CONTI!B415</f>
        <v>0</v>
      </c>
      <c r="C416" s="31">
        <f>+SW_SP_CONTI!C415</f>
        <v>0</v>
      </c>
      <c r="D416" s="31">
        <f>+SW_SP_CONTI!D415</f>
        <v>0</v>
      </c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</row>
    <row r="417" ht="14.5">
      <c r="B417" s="31">
        <f>+SW_SP_CONTI!B416</f>
        <v>0</v>
      </c>
      <c r="C417" s="31">
        <f>+SW_SP_CONTI!C416</f>
        <v>0</v>
      </c>
      <c r="D417" s="31">
        <f>+SW_SP_CONTI!D416</f>
        <v>0</v>
      </c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</row>
    <row r="418" ht="14.5">
      <c r="B418" s="31">
        <f>+SW_SP_CONTI!B417</f>
        <v>0</v>
      </c>
      <c r="C418" s="31">
        <f>+SW_SP_CONTI!C417</f>
        <v>0</v>
      </c>
      <c r="D418" s="31">
        <f>+SW_SP_CONTI!D417</f>
        <v>0</v>
      </c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</row>
    <row r="419" ht="14.5">
      <c r="B419" s="31">
        <f>+SW_SP_CONTI!B418</f>
        <v>0</v>
      </c>
      <c r="C419" s="31">
        <f>+SW_SP_CONTI!C418</f>
        <v>0</v>
      </c>
      <c r="D419" s="31">
        <f>+SW_SP_CONTI!D418</f>
        <v>0</v>
      </c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</row>
    <row r="420" ht="14.5">
      <c r="B420" s="31">
        <f>+SW_SP_CONTI!B419</f>
        <v>0</v>
      </c>
      <c r="C420" s="31">
        <f>+SW_SP_CONTI!C419</f>
        <v>0</v>
      </c>
      <c r="D420" s="31">
        <f>+SW_SP_CONTI!D419</f>
        <v>0</v>
      </c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</row>
    <row r="421" ht="14.5">
      <c r="B421" s="31">
        <f>+SW_SP_CONTI!B420</f>
        <v>0</v>
      </c>
      <c r="C421" s="31">
        <f>+SW_SP_CONTI!C420</f>
        <v>0</v>
      </c>
      <c r="D421" s="31">
        <f>+SW_SP_CONTI!D420</f>
        <v>0</v>
      </c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</row>
    <row r="422" ht="14.5">
      <c r="B422" s="31">
        <f>+SW_SP_CONTI!B421</f>
        <v>0</v>
      </c>
      <c r="C422" s="31">
        <f>+SW_SP_CONTI!C421</f>
        <v>0</v>
      </c>
      <c r="D422" s="31">
        <f>+SW_SP_CONTI!D421</f>
        <v>0</v>
      </c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</row>
    <row r="423" ht="14.5">
      <c r="B423" s="31">
        <f>+SW_SP_CONTI!B422</f>
        <v>0</v>
      </c>
      <c r="C423" s="31">
        <f>+SW_SP_CONTI!C422</f>
        <v>0</v>
      </c>
      <c r="D423" s="31">
        <f>+SW_SP_CONTI!D422</f>
        <v>0</v>
      </c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</row>
    <row r="424" ht="14.5">
      <c r="B424" s="31">
        <f>+SW_SP_CONTI!B423</f>
        <v>0</v>
      </c>
      <c r="C424" s="31">
        <f>+SW_SP_CONTI!C423</f>
        <v>0</v>
      </c>
      <c r="D424" s="31">
        <f>+SW_SP_CONTI!D423</f>
        <v>0</v>
      </c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</row>
    <row r="425" ht="14.5">
      <c r="B425" s="31">
        <f>+SW_SP_CONTI!B424</f>
        <v>0</v>
      </c>
      <c r="C425" s="31">
        <f>+SW_SP_CONTI!C424</f>
        <v>0</v>
      </c>
      <c r="D425" s="31">
        <f>+SW_SP_CONTI!D424</f>
        <v>0</v>
      </c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</row>
    <row r="426" ht="14.5">
      <c r="B426" s="31">
        <f>+SW_SP_CONTI!B425</f>
        <v>0</v>
      </c>
      <c r="C426" s="31">
        <f>+SW_SP_CONTI!C425</f>
        <v>0</v>
      </c>
      <c r="D426" s="31">
        <f>+SW_SP_CONTI!D425</f>
        <v>0</v>
      </c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</row>
    <row r="427" ht="14.5">
      <c r="B427" s="31">
        <f>+SW_SP_CONTI!B426</f>
        <v>0</v>
      </c>
      <c r="C427" s="31">
        <f>+SW_SP_CONTI!C426</f>
        <v>0</v>
      </c>
      <c r="D427" s="31">
        <f>+SW_SP_CONTI!D426</f>
        <v>0</v>
      </c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</row>
    <row r="428" ht="14.5">
      <c r="B428" s="31">
        <f>+SW_SP_CONTI!B427</f>
        <v>0</v>
      </c>
      <c r="C428" s="31">
        <f>+SW_SP_CONTI!C427</f>
        <v>0</v>
      </c>
      <c r="D428" s="31">
        <f>+SW_SP_CONTI!D427</f>
        <v>0</v>
      </c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</row>
    <row r="429" ht="14.5">
      <c r="B429" s="31">
        <f>+SW_SP_CONTI!B428</f>
        <v>0</v>
      </c>
      <c r="C429" s="31">
        <f>+SW_SP_CONTI!C428</f>
        <v>0</v>
      </c>
      <c r="D429" s="31">
        <f>+SW_SP_CONTI!D428</f>
        <v>0</v>
      </c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</row>
    <row r="430" ht="14.5">
      <c r="B430" s="31">
        <f>+SW_SP_CONTI!B429</f>
        <v>0</v>
      </c>
      <c r="C430" s="31">
        <f>+SW_SP_CONTI!C429</f>
        <v>0</v>
      </c>
      <c r="D430" s="31">
        <f>+SW_SP_CONTI!D429</f>
        <v>0</v>
      </c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</row>
    <row r="431" ht="14.5">
      <c r="B431" s="31">
        <f>+SW_SP_CONTI!B430</f>
        <v>0</v>
      </c>
      <c r="C431" s="31">
        <f>+SW_SP_CONTI!C430</f>
        <v>0</v>
      </c>
      <c r="D431" s="31">
        <f>+SW_SP_CONTI!D430</f>
        <v>0</v>
      </c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</row>
    <row r="432" ht="14.5">
      <c r="B432" s="31">
        <f>+SW_SP_CONTI!B431</f>
        <v>0</v>
      </c>
      <c r="C432" s="31">
        <f>+SW_SP_CONTI!C431</f>
        <v>0</v>
      </c>
      <c r="D432" s="31">
        <f>+SW_SP_CONTI!D431</f>
        <v>0</v>
      </c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</row>
    <row r="433" ht="14.5">
      <c r="B433" s="31">
        <f>+SW_SP_CONTI!B432</f>
        <v>0</v>
      </c>
      <c r="C433" s="31">
        <f>+SW_SP_CONTI!C432</f>
        <v>0</v>
      </c>
      <c r="D433" s="31">
        <f>+SW_SP_CONTI!D432</f>
        <v>0</v>
      </c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</row>
    <row r="434" ht="14.5">
      <c r="B434" s="31">
        <f>+SW_SP_CONTI!B433</f>
        <v>0</v>
      </c>
      <c r="C434" s="31">
        <f>+SW_SP_CONTI!C433</f>
        <v>0</v>
      </c>
      <c r="D434" s="31">
        <f>+SW_SP_CONTI!D433</f>
        <v>0</v>
      </c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</row>
    <row r="435" ht="14.5">
      <c r="B435" s="31">
        <f>+SW_SP_CONTI!B434</f>
        <v>0</v>
      </c>
      <c r="C435" s="31">
        <f>+SW_SP_CONTI!C434</f>
        <v>0</v>
      </c>
      <c r="D435" s="31">
        <f>+SW_SP_CONTI!D434</f>
        <v>0</v>
      </c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</row>
    <row r="436" ht="14.5">
      <c r="B436" s="31">
        <f>+SW_SP_CONTI!B435</f>
        <v>0</v>
      </c>
      <c r="C436" s="31">
        <f>+SW_SP_CONTI!C435</f>
        <v>0</v>
      </c>
      <c r="D436" s="31">
        <f>+SW_SP_CONTI!D435</f>
        <v>0</v>
      </c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</row>
    <row r="437" ht="14.5">
      <c r="B437" s="31">
        <f>+SW_SP_CONTI!B436</f>
        <v>0</v>
      </c>
      <c r="C437" s="31">
        <f>+SW_SP_CONTI!C436</f>
        <v>0</v>
      </c>
      <c r="D437" s="31">
        <f>+SW_SP_CONTI!D436</f>
        <v>0</v>
      </c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</row>
    <row r="438" ht="14.5">
      <c r="B438" s="31">
        <f>+SW_SP_CONTI!B437</f>
        <v>0</v>
      </c>
      <c r="C438" s="31">
        <f>+SW_SP_CONTI!C437</f>
        <v>0</v>
      </c>
      <c r="D438" s="31">
        <f>+SW_SP_CONTI!D437</f>
        <v>0</v>
      </c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</row>
    <row r="439" ht="14.5">
      <c r="B439" s="31">
        <f>+SW_SP_CONTI!B438</f>
        <v>0</v>
      </c>
      <c r="C439" s="31">
        <f>+SW_SP_CONTI!C438</f>
        <v>0</v>
      </c>
      <c r="D439" s="31">
        <f>+SW_SP_CONTI!D438</f>
        <v>0</v>
      </c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</row>
    <row r="440" ht="14.5">
      <c r="B440" s="31">
        <f>+SW_SP_CONTI!B439</f>
        <v>0</v>
      </c>
      <c r="C440" s="31">
        <f>+SW_SP_CONTI!C439</f>
        <v>0</v>
      </c>
      <c r="D440" s="31">
        <f>+SW_SP_CONTI!D439</f>
        <v>0</v>
      </c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</row>
    <row r="441" ht="14.5">
      <c r="B441" s="31">
        <f>+SW_SP_CONTI!B440</f>
        <v>0</v>
      </c>
      <c r="C441" s="31">
        <f>+SW_SP_CONTI!C440</f>
        <v>0</v>
      </c>
      <c r="D441" s="31">
        <f>+SW_SP_CONTI!D440</f>
        <v>0</v>
      </c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</row>
    <row r="442" ht="14.5">
      <c r="B442" s="31">
        <f>+SW_SP_CONTI!B441</f>
        <v>0</v>
      </c>
      <c r="C442" s="31">
        <f>+SW_SP_CONTI!C441</f>
        <v>0</v>
      </c>
      <c r="D442" s="31">
        <f>+SW_SP_CONTI!D441</f>
        <v>0</v>
      </c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</row>
    <row r="443" ht="14.5">
      <c r="B443" s="31">
        <f>+SW_SP_CONTI!B442</f>
        <v>0</v>
      </c>
      <c r="C443" s="31">
        <f>+SW_SP_CONTI!C442</f>
        <v>0</v>
      </c>
      <c r="D443" s="31">
        <f>+SW_SP_CONTI!D442</f>
        <v>0</v>
      </c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</row>
    <row r="444" ht="14.5">
      <c r="B444" s="31">
        <f>+SW_SP_CONTI!B443</f>
        <v>0</v>
      </c>
      <c r="C444" s="31">
        <f>+SW_SP_CONTI!C443</f>
        <v>0</v>
      </c>
      <c r="D444" s="31">
        <f>+SW_SP_CONTI!D443</f>
        <v>0</v>
      </c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</row>
    <row r="445" ht="14.5">
      <c r="B445" s="31">
        <f>+SW_SP_CONTI!B444</f>
        <v>0</v>
      </c>
      <c r="C445" s="31">
        <f>+SW_SP_CONTI!C444</f>
        <v>0</v>
      </c>
      <c r="D445" s="31">
        <f>+SW_SP_CONTI!D444</f>
        <v>0</v>
      </c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</row>
    <row r="446" ht="14.5">
      <c r="B446" s="31">
        <f>+SW_SP_CONTI!B445</f>
        <v>0</v>
      </c>
      <c r="C446" s="31">
        <f>+SW_SP_CONTI!C445</f>
        <v>0</v>
      </c>
      <c r="D446" s="31">
        <f>+SW_SP_CONTI!D445</f>
        <v>0</v>
      </c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</row>
    <row r="447" ht="14.5">
      <c r="B447" s="31">
        <f>+SW_SP_CONTI!B446</f>
        <v>0</v>
      </c>
      <c r="C447" s="31">
        <f>+SW_SP_CONTI!C446</f>
        <v>0</v>
      </c>
      <c r="D447" s="31">
        <f>+SW_SP_CONTI!D446</f>
        <v>0</v>
      </c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</row>
    <row r="448" ht="14.5">
      <c r="B448" s="31">
        <f>+SW_SP_CONTI!B447</f>
        <v>0</v>
      </c>
      <c r="C448" s="31">
        <f>+SW_SP_CONTI!C447</f>
        <v>0</v>
      </c>
      <c r="D448" s="31">
        <f>+SW_SP_CONTI!D447</f>
        <v>0</v>
      </c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</row>
    <row r="449" ht="14.5">
      <c r="B449" s="31">
        <f>+SW_SP_CONTI!B448</f>
        <v>0</v>
      </c>
      <c r="C449" s="31">
        <f>+SW_SP_CONTI!C448</f>
        <v>0</v>
      </c>
      <c r="D449" s="31">
        <f>+SW_SP_CONTI!D448</f>
        <v>0</v>
      </c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</row>
    <row r="450" ht="14.5">
      <c r="B450" s="31">
        <f>+SW_SP_CONTI!B449</f>
        <v>0</v>
      </c>
      <c r="C450" s="31">
        <f>+SW_SP_CONTI!C449</f>
        <v>0</v>
      </c>
      <c r="D450" s="31">
        <f>+SW_SP_CONTI!D449</f>
        <v>0</v>
      </c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</row>
    <row r="451" ht="14.5">
      <c r="B451" s="31">
        <f>+SW_SP_CONTI!B450</f>
        <v>0</v>
      </c>
      <c r="C451" s="31">
        <f>+SW_SP_CONTI!C450</f>
        <v>0</v>
      </c>
      <c r="D451" s="31">
        <f>+SW_SP_CONTI!D450</f>
        <v>0</v>
      </c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</row>
    <row r="452" ht="14.5">
      <c r="B452" s="31">
        <f>+SW_SP_CONTI!B451</f>
        <v>0</v>
      </c>
      <c r="C452" s="31">
        <f>+SW_SP_CONTI!C451</f>
        <v>0</v>
      </c>
      <c r="D452" s="31">
        <f>+SW_SP_CONTI!D451</f>
        <v>0</v>
      </c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</row>
    <row r="453" ht="14.5">
      <c r="B453" s="31">
        <f>+SW_SP_CONTI!B452</f>
        <v>0</v>
      </c>
      <c r="C453" s="31">
        <f>+SW_SP_CONTI!C452</f>
        <v>0</v>
      </c>
      <c r="D453" s="31">
        <f>+SW_SP_CONTI!D452</f>
        <v>0</v>
      </c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</row>
    <row r="454" ht="14.5">
      <c r="B454" s="31">
        <f>+SW_SP_CONTI!B453</f>
        <v>0</v>
      </c>
      <c r="C454" s="31">
        <f>+SW_SP_CONTI!C453</f>
        <v>0</v>
      </c>
      <c r="D454" s="31">
        <f>+SW_SP_CONTI!D453</f>
        <v>0</v>
      </c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</row>
    <row r="455" ht="14.5">
      <c r="B455" s="31">
        <f>+SW_SP_CONTI!B454</f>
        <v>0</v>
      </c>
      <c r="C455" s="31">
        <f>+SW_SP_CONTI!C454</f>
        <v>0</v>
      </c>
      <c r="D455" s="31">
        <f>+SW_SP_CONTI!D454</f>
        <v>0</v>
      </c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</row>
    <row r="456" ht="14.5">
      <c r="B456" s="31">
        <f>+SW_SP_CONTI!B455</f>
        <v>0</v>
      </c>
      <c r="C456" s="31">
        <f>+SW_SP_CONTI!C455</f>
        <v>0</v>
      </c>
      <c r="D456" s="31">
        <f>+SW_SP_CONTI!D455</f>
        <v>0</v>
      </c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</row>
    <row r="457" ht="14.5">
      <c r="B457" s="31">
        <f>+SW_SP_CONTI!B456</f>
        <v>0</v>
      </c>
      <c r="C457" s="31">
        <f>+SW_SP_CONTI!C456</f>
        <v>0</v>
      </c>
      <c r="D457" s="31">
        <f>+SW_SP_CONTI!D456</f>
        <v>0</v>
      </c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</row>
    <row r="458" ht="14.5">
      <c r="B458" s="31">
        <f>+SW_SP_CONTI!B457</f>
        <v>0</v>
      </c>
      <c r="C458" s="31">
        <f>+SW_SP_CONTI!C457</f>
        <v>0</v>
      </c>
      <c r="D458" s="31">
        <f>+SW_SP_CONTI!D457</f>
        <v>0</v>
      </c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</row>
    <row r="459" ht="14.5">
      <c r="B459" s="31">
        <f>+SW_SP_CONTI!B458</f>
        <v>0</v>
      </c>
      <c r="C459" s="31">
        <f>+SW_SP_CONTI!C458</f>
        <v>0</v>
      </c>
      <c r="D459" s="31">
        <f>+SW_SP_CONTI!D458</f>
        <v>0</v>
      </c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</row>
    <row r="460" ht="14.5">
      <c r="B460" s="31">
        <f>+SW_SP_CONTI!B459</f>
        <v>0</v>
      </c>
      <c r="C460" s="31">
        <f>+SW_SP_CONTI!C459</f>
        <v>0</v>
      </c>
      <c r="D460" s="31">
        <f>+SW_SP_CONTI!D459</f>
        <v>0</v>
      </c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</row>
    <row r="461" ht="14.5">
      <c r="B461" s="31">
        <f>+SW_SP_CONTI!B460</f>
        <v>0</v>
      </c>
      <c r="C461" s="31">
        <f>+SW_SP_CONTI!C460</f>
        <v>0</v>
      </c>
      <c r="D461" s="31">
        <f>+SW_SP_CONTI!D460</f>
        <v>0</v>
      </c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</row>
    <row r="462" ht="14.5">
      <c r="B462" s="31">
        <f>+SW_SP_CONTI!B461</f>
        <v>0</v>
      </c>
      <c r="C462" s="31">
        <f>+SW_SP_CONTI!C461</f>
        <v>0</v>
      </c>
      <c r="D462" s="31">
        <f>+SW_SP_CONTI!D461</f>
        <v>0</v>
      </c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</row>
    <row r="463" ht="14.5">
      <c r="B463" s="31">
        <f>+SW_SP_CONTI!B462</f>
        <v>0</v>
      </c>
      <c r="C463" s="31">
        <f>+SW_SP_CONTI!C462</f>
        <v>0</v>
      </c>
      <c r="D463" s="31">
        <f>+SW_SP_CONTI!D462</f>
        <v>0</v>
      </c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</row>
    <row r="464" ht="14.5">
      <c r="B464" s="31">
        <f>+SW_SP_CONTI!B463</f>
        <v>0</v>
      </c>
      <c r="C464" s="31">
        <f>+SW_SP_CONTI!C463</f>
        <v>0</v>
      </c>
      <c r="D464" s="31">
        <f>+SW_SP_CONTI!D463</f>
        <v>0</v>
      </c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</row>
    <row r="465" ht="14.5">
      <c r="B465" s="31">
        <f>+SW_SP_CONTI!B464</f>
        <v>0</v>
      </c>
      <c r="C465" s="31">
        <f>+SW_SP_CONTI!C464</f>
        <v>0</v>
      </c>
      <c r="D465" s="31">
        <f>+SW_SP_CONTI!D464</f>
        <v>0</v>
      </c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</row>
    <row r="466" ht="14.5">
      <c r="B466" s="31">
        <f>+SW_SP_CONTI!B465</f>
        <v>0</v>
      </c>
      <c r="C466" s="31">
        <f>+SW_SP_CONTI!C465</f>
        <v>0</v>
      </c>
      <c r="D466" s="31">
        <f>+SW_SP_CONTI!D465</f>
        <v>0</v>
      </c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</row>
    <row r="467" ht="14.5">
      <c r="B467" s="31">
        <f>+SW_SP_CONTI!B466</f>
        <v>0</v>
      </c>
      <c r="C467" s="31">
        <f>+SW_SP_CONTI!C466</f>
        <v>0</v>
      </c>
      <c r="D467" s="31">
        <f>+SW_SP_CONTI!D466</f>
        <v>0</v>
      </c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</row>
    <row r="468" ht="14.5">
      <c r="B468" s="31">
        <f>+SW_SP_CONTI!B467</f>
        <v>0</v>
      </c>
      <c r="C468" s="31">
        <f>+SW_SP_CONTI!C467</f>
        <v>0</v>
      </c>
      <c r="D468" s="31">
        <f>+SW_SP_CONTI!D467</f>
        <v>0</v>
      </c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</row>
    <row r="469" ht="14.5">
      <c r="B469" s="31">
        <f>+SW_SP_CONTI!B468</f>
        <v>0</v>
      </c>
      <c r="C469" s="31">
        <f>+SW_SP_CONTI!C468</f>
        <v>0</v>
      </c>
      <c r="D469" s="31">
        <f>+SW_SP_CONTI!D468</f>
        <v>0</v>
      </c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</row>
    <row r="470" ht="14.5">
      <c r="B470" s="31">
        <f>+SW_SP_CONTI!B469</f>
        <v>0</v>
      </c>
      <c r="C470" s="31">
        <f>+SW_SP_CONTI!C469</f>
        <v>0</v>
      </c>
      <c r="D470" s="31">
        <f>+SW_SP_CONTI!D469</f>
        <v>0</v>
      </c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</row>
    <row r="471" ht="14.5">
      <c r="B471" s="31">
        <f>+SW_SP_CONTI!B470</f>
        <v>0</v>
      </c>
      <c r="C471" s="31">
        <f>+SW_SP_CONTI!C470</f>
        <v>0</v>
      </c>
      <c r="D471" s="31">
        <f>+SW_SP_CONTI!D470</f>
        <v>0</v>
      </c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</row>
    <row r="472" ht="14.5">
      <c r="B472" s="31">
        <f>+SW_SP_CONTI!B471</f>
        <v>0</v>
      </c>
      <c r="C472" s="31">
        <f>+SW_SP_CONTI!C471</f>
        <v>0</v>
      </c>
      <c r="D472" s="31">
        <f>+SW_SP_CONTI!D471</f>
        <v>0</v>
      </c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</row>
    <row r="473" ht="14.5">
      <c r="B473" s="31">
        <f>+SW_SP_CONTI!B472</f>
        <v>0</v>
      </c>
      <c r="C473" s="31">
        <f>+SW_SP_CONTI!C472</f>
        <v>0</v>
      </c>
      <c r="D473" s="31">
        <f>+SW_SP_CONTI!D472</f>
        <v>0</v>
      </c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</row>
    <row r="474" ht="14.5">
      <c r="B474" s="31">
        <f>+SW_SP_CONTI!B473</f>
        <v>0</v>
      </c>
      <c r="C474" s="31">
        <f>+SW_SP_CONTI!C473</f>
        <v>0</v>
      </c>
      <c r="D474" s="31">
        <f>+SW_SP_CONTI!D473</f>
        <v>0</v>
      </c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</row>
    <row r="475" ht="14.5">
      <c r="B475" s="31">
        <f>+SW_SP_CONTI!B474</f>
        <v>0</v>
      </c>
      <c r="C475" s="31">
        <f>+SW_SP_CONTI!C474</f>
        <v>0</v>
      </c>
      <c r="D475" s="31">
        <f>+SW_SP_CONTI!D474</f>
        <v>0</v>
      </c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</row>
    <row r="476" ht="14.5">
      <c r="B476" s="31">
        <f>+SW_SP_CONTI!B475</f>
        <v>0</v>
      </c>
      <c r="C476" s="31">
        <f>+SW_SP_CONTI!C475</f>
        <v>0</v>
      </c>
      <c r="D476" s="31">
        <f>+SW_SP_CONTI!D475</f>
        <v>0</v>
      </c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</row>
    <row r="477" ht="14.5">
      <c r="B477" s="31">
        <f>+SW_SP_CONTI!B476</f>
        <v>0</v>
      </c>
      <c r="C477" s="31">
        <f>+SW_SP_CONTI!C476</f>
        <v>0</v>
      </c>
      <c r="D477" s="31">
        <f>+SW_SP_CONTI!D476</f>
        <v>0</v>
      </c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</row>
    <row r="478" ht="14.5">
      <c r="B478" s="31">
        <f>+SW_SP_CONTI!B477</f>
        <v>0</v>
      </c>
      <c r="C478" s="31">
        <f>+SW_SP_CONTI!C477</f>
        <v>0</v>
      </c>
      <c r="D478" s="31">
        <f>+SW_SP_CONTI!D477</f>
        <v>0</v>
      </c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</row>
    <row r="479" ht="14.5">
      <c r="B479" s="31">
        <f>+SW_SP_CONTI!B478</f>
        <v>0</v>
      </c>
      <c r="C479" s="31">
        <f>+SW_SP_CONTI!C478</f>
        <v>0</v>
      </c>
      <c r="D479" s="31">
        <f>+SW_SP_CONTI!D478</f>
        <v>0</v>
      </c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</row>
    <row r="480" ht="14.5">
      <c r="B480" s="31">
        <f>+SW_SP_CONTI!B479</f>
        <v>0</v>
      </c>
      <c r="C480" s="31">
        <f>+SW_SP_CONTI!C479</f>
        <v>0</v>
      </c>
      <c r="D480" s="31">
        <f>+SW_SP_CONTI!D479</f>
        <v>0</v>
      </c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</row>
    <row r="481" ht="14.5">
      <c r="B481" s="31">
        <f>+SW_SP_CONTI!B480</f>
        <v>0</v>
      </c>
      <c r="C481" s="31">
        <f>+SW_SP_CONTI!C480</f>
        <v>0</v>
      </c>
      <c r="D481" s="31">
        <f>+SW_SP_CONTI!D480</f>
        <v>0</v>
      </c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</row>
    <row r="482" ht="14.5">
      <c r="B482" s="31">
        <f>+SW_SP_CONTI!B481</f>
        <v>0</v>
      </c>
      <c r="C482" s="31">
        <f>+SW_SP_CONTI!C481</f>
        <v>0</v>
      </c>
      <c r="D482" s="31">
        <f>+SW_SP_CONTI!D481</f>
        <v>0</v>
      </c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</row>
    <row r="483" ht="14.5">
      <c r="B483" s="31">
        <f>+SW_SP_CONTI!B482</f>
        <v>0</v>
      </c>
      <c r="C483" s="31">
        <f>+SW_SP_CONTI!C482</f>
        <v>0</v>
      </c>
      <c r="D483" s="31">
        <f>+SW_SP_CONTI!D482</f>
        <v>0</v>
      </c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</row>
    <row r="484" ht="14.5">
      <c r="B484" s="31">
        <f>+SW_SP_CONTI!B483</f>
        <v>0</v>
      </c>
      <c r="C484" s="31">
        <f>+SW_SP_CONTI!C483</f>
        <v>0</v>
      </c>
      <c r="D484" s="31">
        <f>+SW_SP_CONTI!D483</f>
        <v>0</v>
      </c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</row>
    <row r="485" ht="14.5">
      <c r="B485" s="31">
        <f>+SW_SP_CONTI!B484</f>
        <v>0</v>
      </c>
      <c r="C485" s="31">
        <f>+SW_SP_CONTI!C484</f>
        <v>0</v>
      </c>
      <c r="D485" s="31">
        <f>+SW_SP_CONTI!D484</f>
        <v>0</v>
      </c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</row>
    <row r="486" ht="14.5">
      <c r="B486" s="31">
        <f>+SW_SP_CONTI!B485</f>
        <v>0</v>
      </c>
      <c r="C486" s="31">
        <f>+SW_SP_CONTI!C485</f>
        <v>0</v>
      </c>
      <c r="D486" s="31">
        <f>+SW_SP_CONTI!D485</f>
        <v>0</v>
      </c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</row>
    <row r="487" ht="14.5">
      <c r="B487" s="31">
        <f>+SW_SP_CONTI!B486</f>
        <v>0</v>
      </c>
      <c r="C487" s="31">
        <f>+SW_SP_CONTI!C486</f>
        <v>0</v>
      </c>
      <c r="D487" s="31">
        <f>+SW_SP_CONTI!D486</f>
        <v>0</v>
      </c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</row>
    <row r="488" ht="14.5">
      <c r="B488" s="31">
        <f>+SW_SP_CONTI!B487</f>
        <v>0</v>
      </c>
      <c r="C488" s="31">
        <f>+SW_SP_CONTI!C487</f>
        <v>0</v>
      </c>
      <c r="D488" s="31">
        <f>+SW_SP_CONTI!D487</f>
        <v>0</v>
      </c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</row>
    <row r="489" ht="14.5">
      <c r="B489" s="31">
        <f>+SW_SP_CONTI!B488</f>
        <v>0</v>
      </c>
      <c r="C489" s="31">
        <f>+SW_SP_CONTI!C488</f>
        <v>0</v>
      </c>
      <c r="D489" s="31">
        <f>+SW_SP_CONTI!D488</f>
        <v>0</v>
      </c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</row>
    <row r="490" ht="14.5">
      <c r="B490" s="31">
        <f>+SW_SP_CONTI!B489</f>
        <v>0</v>
      </c>
      <c r="C490" s="31">
        <f>+SW_SP_CONTI!C489</f>
        <v>0</v>
      </c>
      <c r="D490" s="31">
        <f>+SW_SP_CONTI!D489</f>
        <v>0</v>
      </c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</row>
    <row r="491" ht="14.5">
      <c r="B491" s="31">
        <f>+SW_SP_CONTI!B490</f>
        <v>0</v>
      </c>
      <c r="C491" s="31">
        <f>+SW_SP_CONTI!C490</f>
        <v>0</v>
      </c>
      <c r="D491" s="31">
        <f>+SW_SP_CONTI!D490</f>
        <v>0</v>
      </c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</row>
    <row r="492" ht="14.5">
      <c r="B492" s="31">
        <f>+SW_SP_CONTI!B491</f>
        <v>0</v>
      </c>
      <c r="C492" s="31">
        <f>+SW_SP_CONTI!C491</f>
        <v>0</v>
      </c>
      <c r="D492" s="31">
        <f>+SW_SP_CONTI!D491</f>
        <v>0</v>
      </c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</row>
    <row r="493" ht="14.5">
      <c r="B493" s="31">
        <f>+SW_SP_CONTI!B492</f>
        <v>0</v>
      </c>
      <c r="C493" s="31">
        <f>+SW_SP_CONTI!C492</f>
        <v>0</v>
      </c>
      <c r="D493" s="31">
        <f>+SW_SP_CONTI!D492</f>
        <v>0</v>
      </c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</row>
    <row r="494" ht="14.5">
      <c r="B494" s="31">
        <f>+SW_SP_CONTI!B493</f>
        <v>0</v>
      </c>
      <c r="C494" s="31">
        <f>+SW_SP_CONTI!C493</f>
        <v>0</v>
      </c>
      <c r="D494" s="31">
        <f>+SW_SP_CONTI!D493</f>
        <v>0</v>
      </c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</row>
    <row r="495" ht="14.5">
      <c r="B495" s="31">
        <f>+SW_SP_CONTI!B494</f>
        <v>0</v>
      </c>
      <c r="C495" s="31">
        <f>+SW_SP_CONTI!C494</f>
        <v>0</v>
      </c>
      <c r="D495" s="31">
        <f>+SW_SP_CONTI!D494</f>
        <v>0</v>
      </c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</row>
    <row r="496" ht="14.5">
      <c r="B496" s="31">
        <f>+SW_SP_CONTI!B495</f>
        <v>0</v>
      </c>
      <c r="C496" s="31">
        <f>+SW_SP_CONTI!C495</f>
        <v>0</v>
      </c>
      <c r="D496" s="31">
        <f>+SW_SP_CONTI!D495</f>
        <v>0</v>
      </c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</row>
    <row r="497" ht="14.5">
      <c r="B497" s="31">
        <f>+SW_SP_CONTI!B496</f>
        <v>0</v>
      </c>
      <c r="C497" s="31">
        <f>+SW_SP_CONTI!C496</f>
        <v>0</v>
      </c>
      <c r="D497" s="31">
        <f>+SW_SP_CONTI!D496</f>
        <v>0</v>
      </c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</row>
    <row r="498" ht="14.5">
      <c r="B498" s="31">
        <f>+SW_SP_CONTI!B497</f>
        <v>0</v>
      </c>
      <c r="C498" s="31">
        <f>+SW_SP_CONTI!C497</f>
        <v>0</v>
      </c>
      <c r="D498" s="31">
        <f>+SW_SP_CONTI!D497</f>
        <v>0</v>
      </c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</row>
    <row r="499" ht="14.5">
      <c r="B499" s="31">
        <f>+SW_SP_CONTI!B498</f>
        <v>0</v>
      </c>
      <c r="C499" s="31">
        <f>+SW_SP_CONTI!C498</f>
        <v>0</v>
      </c>
      <c r="D499" s="31">
        <f>+SW_SP_CONTI!D498</f>
        <v>0</v>
      </c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</row>
    <row r="500" ht="14.5">
      <c r="B500" s="31">
        <f>+SW_SP_CONTI!B499</f>
        <v>0</v>
      </c>
      <c r="C500" s="31">
        <f>+SW_SP_CONTI!C499</f>
        <v>0</v>
      </c>
      <c r="D500" s="31">
        <f>+SW_SP_CONTI!D499</f>
        <v>0</v>
      </c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</row>
    <row r="501" ht="14.5">
      <c r="B501" s="31">
        <f>+SW_SP_CONTI!B500</f>
        <v>0</v>
      </c>
      <c r="C501" s="31">
        <f>+SW_SP_CONTI!C500</f>
        <v>0</v>
      </c>
      <c r="D501" s="31">
        <f>+SW_SP_CONTI!D500</f>
        <v>0</v>
      </c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</row>
    <row r="502" ht="14.5">
      <c r="B502" s="31">
        <f>+SW_SP_CONTI!B501</f>
        <v>0</v>
      </c>
      <c r="C502" s="31">
        <f>+SW_SP_CONTI!C501</f>
        <v>0</v>
      </c>
      <c r="D502" s="31">
        <f>+SW_SP_CONTI!D501</f>
        <v>0</v>
      </c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</row>
    <row r="503" ht="14.5">
      <c r="B503" s="31">
        <f>+SW_SP_CONTI!B502</f>
        <v>0</v>
      </c>
      <c r="C503" s="31">
        <f>+SW_SP_CONTI!C502</f>
        <v>0</v>
      </c>
      <c r="D503" s="31">
        <f>+SW_SP_CONTI!D502</f>
        <v>0</v>
      </c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</row>
    <row r="504" ht="14.5">
      <c r="B504" s="31">
        <f>+SW_SP_CONTI!B503</f>
        <v>0</v>
      </c>
      <c r="C504" s="31">
        <f>+SW_SP_CONTI!C503</f>
        <v>0</v>
      </c>
      <c r="D504" s="31">
        <f>+SW_SP_CONTI!D503</f>
        <v>0</v>
      </c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</row>
    <row r="505" ht="14.5">
      <c r="B505" s="31">
        <f>+SW_SP_CONTI!B504</f>
        <v>0</v>
      </c>
      <c r="C505" s="31">
        <f>+SW_SP_CONTI!C504</f>
        <v>0</v>
      </c>
      <c r="D505" s="31">
        <f>+SW_SP_CONTI!D504</f>
        <v>0</v>
      </c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</row>
    <row r="506" ht="14.5">
      <c r="B506" s="31">
        <f>+SW_SP_CONTI!B505</f>
        <v>0</v>
      </c>
      <c r="C506" s="31">
        <f>+SW_SP_CONTI!C505</f>
        <v>0</v>
      </c>
      <c r="D506" s="31">
        <f>+SW_SP_CONTI!D505</f>
        <v>0</v>
      </c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</row>
    <row r="507" ht="14.5">
      <c r="B507" s="31">
        <f>+SW_SP_CONTI!B506</f>
        <v>0</v>
      </c>
      <c r="C507" s="31">
        <f>+SW_SP_CONTI!C506</f>
        <v>0</v>
      </c>
      <c r="D507" s="31">
        <f>+SW_SP_CONTI!D506</f>
        <v>0</v>
      </c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</row>
    <row r="508" ht="14.5">
      <c r="B508" s="31">
        <f>+SW_SP_CONTI!B507</f>
        <v>0</v>
      </c>
      <c r="C508" s="31">
        <f>+SW_SP_CONTI!C507</f>
        <v>0</v>
      </c>
      <c r="D508" s="31">
        <f>+SW_SP_CONTI!D507</f>
        <v>0</v>
      </c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</row>
    <row r="509" ht="14.5">
      <c r="B509" s="31">
        <f>+SW_SP_CONTI!B508</f>
        <v>0</v>
      </c>
      <c r="C509" s="31">
        <f>+SW_SP_CONTI!C508</f>
        <v>0</v>
      </c>
      <c r="D509" s="31">
        <f>+SW_SP_CONTI!D508</f>
        <v>0</v>
      </c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</row>
    <row r="510" ht="14.5">
      <c r="B510" s="31">
        <f>+SW_SP_CONTI!B509</f>
        <v>0</v>
      </c>
      <c r="C510" s="31">
        <f>+SW_SP_CONTI!C509</f>
        <v>0</v>
      </c>
      <c r="D510" s="31">
        <f>+SW_SP_CONTI!D509</f>
        <v>0</v>
      </c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</row>
    <row r="511" ht="14.5">
      <c r="B511" s="31">
        <f>+SW_SP_CONTI!B510</f>
        <v>0</v>
      </c>
      <c r="C511" s="31">
        <f>+SW_SP_CONTI!C510</f>
        <v>0</v>
      </c>
      <c r="D511" s="31">
        <f>+SW_SP_CONTI!D510</f>
        <v>0</v>
      </c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</row>
    <row r="512" ht="14.5">
      <c r="B512" s="31">
        <f>+SW_SP_CONTI!B511</f>
        <v>0</v>
      </c>
      <c r="C512" s="31">
        <f>+SW_SP_CONTI!C511</f>
        <v>0</v>
      </c>
      <c r="D512" s="31">
        <f>+SW_SP_CONTI!D511</f>
        <v>0</v>
      </c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</row>
    <row r="513" ht="14.5">
      <c r="B513" s="31">
        <f>+SW_SP_CONTI!B512</f>
        <v>0</v>
      </c>
      <c r="C513" s="31">
        <f>+SW_SP_CONTI!C512</f>
        <v>0</v>
      </c>
      <c r="D513" s="31">
        <f>+SW_SP_CONTI!D512</f>
        <v>0</v>
      </c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</row>
    <row r="514" ht="14.5">
      <c r="B514" s="31">
        <f>+SW_SP_CONTI!B513</f>
        <v>0</v>
      </c>
      <c r="C514" s="31">
        <f>+SW_SP_CONTI!C513</f>
        <v>0</v>
      </c>
      <c r="D514" s="31">
        <f>+SW_SP_CONTI!D513</f>
        <v>0</v>
      </c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</row>
    <row r="515" ht="14.5">
      <c r="B515" s="31">
        <f>+SW_SP_CONTI!B514</f>
        <v>0</v>
      </c>
      <c r="C515" s="31">
        <f>+SW_SP_CONTI!C514</f>
        <v>0</v>
      </c>
      <c r="D515" s="31">
        <f>+SW_SP_CONTI!D514</f>
        <v>0</v>
      </c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</row>
    <row r="516" ht="14.5">
      <c r="B516" s="31">
        <f>+SW_SP_CONTI!B515</f>
        <v>0</v>
      </c>
      <c r="C516" s="31">
        <f>+SW_SP_CONTI!C515</f>
        <v>0</v>
      </c>
      <c r="D516" s="31">
        <f>+SW_SP_CONTI!D515</f>
        <v>0</v>
      </c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</row>
    <row r="517" ht="14.5">
      <c r="B517" s="31">
        <f>+SW_SP_CONTI!B516</f>
        <v>0</v>
      </c>
      <c r="C517" s="31">
        <f>+SW_SP_CONTI!C516</f>
        <v>0</v>
      </c>
      <c r="D517" s="31">
        <f>+SW_SP_CONTI!D516</f>
        <v>0</v>
      </c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</row>
    <row r="518" ht="14.5">
      <c r="B518" s="31">
        <f>+SW_SP_CONTI!B517</f>
        <v>0</v>
      </c>
      <c r="C518" s="31">
        <f>+SW_SP_CONTI!C517</f>
        <v>0</v>
      </c>
      <c r="D518" s="31">
        <f>+SW_SP_CONTI!D517</f>
        <v>0</v>
      </c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</row>
    <row r="519" ht="14.5">
      <c r="B519" s="31">
        <f>+SW_SP_CONTI!B518</f>
        <v>0</v>
      </c>
      <c r="C519" s="31">
        <f>+SW_SP_CONTI!C518</f>
        <v>0</v>
      </c>
      <c r="D519" s="31">
        <f>+SW_SP_CONTI!D518</f>
        <v>0</v>
      </c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</row>
    <row r="520" ht="14.5">
      <c r="B520" s="31">
        <f>+SW_SP_CONTI!B519</f>
        <v>0</v>
      </c>
      <c r="C520" s="31">
        <f>+SW_SP_CONTI!C519</f>
        <v>0</v>
      </c>
      <c r="D520" s="31">
        <f>+SW_SP_CONTI!D519</f>
        <v>0</v>
      </c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</row>
    <row r="521" ht="14.5">
      <c r="B521" s="31">
        <f>+SW_SP_CONTI!B520</f>
        <v>0</v>
      </c>
      <c r="C521" s="31">
        <f>+SW_SP_CONTI!C520</f>
        <v>0</v>
      </c>
      <c r="D521" s="31">
        <f>+SW_SP_CONTI!D520</f>
        <v>0</v>
      </c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</row>
    <row r="522" ht="14.5">
      <c r="B522" s="31">
        <f>+SW_SP_CONTI!B521</f>
        <v>0</v>
      </c>
      <c r="C522" s="31">
        <f>+SW_SP_CONTI!C521</f>
        <v>0</v>
      </c>
      <c r="D522" s="31">
        <f>+SW_SP_CONTI!D521</f>
        <v>0</v>
      </c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</row>
    <row r="523" ht="14.5">
      <c r="B523" s="31">
        <f>+SW_SP_CONTI!B522</f>
        <v>0</v>
      </c>
      <c r="C523" s="31">
        <f>+SW_SP_CONTI!C522</f>
        <v>0</v>
      </c>
      <c r="D523" s="31">
        <f>+SW_SP_CONTI!D522</f>
        <v>0</v>
      </c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</row>
    <row r="524" ht="14.5">
      <c r="B524" s="31">
        <f>+SW_SP_CONTI!B523</f>
        <v>0</v>
      </c>
      <c r="C524" s="31">
        <f>+SW_SP_CONTI!C523</f>
        <v>0</v>
      </c>
      <c r="D524" s="31">
        <f>+SW_SP_CONTI!D523</f>
        <v>0</v>
      </c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</row>
    <row r="525" ht="14.5">
      <c r="B525" s="31">
        <f>+SW_SP_CONTI!B524</f>
        <v>0</v>
      </c>
      <c r="C525" s="31">
        <f>+SW_SP_CONTI!C524</f>
        <v>0</v>
      </c>
      <c r="D525" s="31">
        <f>+SW_SP_CONTI!D524</f>
        <v>0</v>
      </c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</row>
    <row r="526" ht="14.5">
      <c r="B526" s="31">
        <f>+SW_SP_CONTI!B525</f>
        <v>0</v>
      </c>
      <c r="C526" s="31">
        <f>+SW_SP_CONTI!C525</f>
        <v>0</v>
      </c>
      <c r="D526" s="31">
        <f>+SW_SP_CONTI!D525</f>
        <v>0</v>
      </c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</row>
    <row r="527" ht="14.5">
      <c r="B527" s="31">
        <f>+SW_SP_CONTI!B526</f>
        <v>0</v>
      </c>
      <c r="C527" s="31">
        <f>+SW_SP_CONTI!C526</f>
        <v>0</v>
      </c>
      <c r="D527" s="31">
        <f>+SW_SP_CONTI!D526</f>
        <v>0</v>
      </c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</row>
    <row r="528" ht="14.5">
      <c r="B528" s="31">
        <f>+SW_SP_CONTI!B527</f>
        <v>0</v>
      </c>
      <c r="C528" s="31">
        <f>+SW_SP_CONTI!C527</f>
        <v>0</v>
      </c>
      <c r="D528" s="31">
        <f>+SW_SP_CONTI!D527</f>
        <v>0</v>
      </c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</row>
    <row r="529" ht="14.5">
      <c r="B529" s="31">
        <f>+SW_SP_CONTI!B528</f>
        <v>0</v>
      </c>
      <c r="C529" s="31">
        <f>+SW_SP_CONTI!C528</f>
        <v>0</v>
      </c>
      <c r="D529" s="31">
        <f>+SW_SP_CONTI!D528</f>
        <v>0</v>
      </c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</row>
    <row r="530" ht="14.5">
      <c r="B530" s="31">
        <f>+SW_SP_CONTI!B529</f>
        <v>0</v>
      </c>
      <c r="C530" s="31">
        <f>+SW_SP_CONTI!C529</f>
        <v>0</v>
      </c>
      <c r="D530" s="31">
        <f>+SW_SP_CONTI!D529</f>
        <v>0</v>
      </c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</row>
    <row r="531" ht="14.5">
      <c r="B531" s="31">
        <f>+SW_SP_CONTI!B530</f>
        <v>0</v>
      </c>
      <c r="C531" s="31">
        <f>+SW_SP_CONTI!C530</f>
        <v>0</v>
      </c>
      <c r="D531" s="31">
        <f>+SW_SP_CONTI!D530</f>
        <v>0</v>
      </c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</row>
    <row r="532" ht="14.5">
      <c r="B532" s="31">
        <f>+SW_SP_CONTI!B531</f>
        <v>0</v>
      </c>
      <c r="C532" s="31">
        <f>+SW_SP_CONTI!C531</f>
        <v>0</v>
      </c>
      <c r="D532" s="31">
        <f>+SW_SP_CONTI!D531</f>
        <v>0</v>
      </c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</row>
    <row r="533" ht="14.5">
      <c r="B533" s="31">
        <f>+SW_SP_CONTI!B532</f>
        <v>0</v>
      </c>
      <c r="C533" s="31">
        <f>+SW_SP_CONTI!C532</f>
        <v>0</v>
      </c>
      <c r="D533" s="31">
        <f>+SW_SP_CONTI!D532</f>
        <v>0</v>
      </c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</row>
    <row r="534" ht="14.5">
      <c r="B534" s="31">
        <f>+SW_SP_CONTI!B533</f>
        <v>0</v>
      </c>
      <c r="C534" s="31">
        <f>+SW_SP_CONTI!C533</f>
        <v>0</v>
      </c>
      <c r="D534" s="31">
        <f>+SW_SP_CONTI!D533</f>
        <v>0</v>
      </c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</row>
    <row r="535" ht="14.5">
      <c r="B535" s="31">
        <f>+SW_SP_CONTI!B534</f>
        <v>0</v>
      </c>
      <c r="C535" s="31">
        <f>+SW_SP_CONTI!C534</f>
        <v>0</v>
      </c>
      <c r="D535" s="31">
        <f>+SW_SP_CONTI!D534</f>
        <v>0</v>
      </c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</row>
    <row r="536" ht="14.5">
      <c r="B536" s="31">
        <f>+SW_SP_CONTI!B535</f>
        <v>0</v>
      </c>
      <c r="C536" s="31">
        <f>+SW_SP_CONTI!C535</f>
        <v>0</v>
      </c>
      <c r="D536" s="31">
        <f>+SW_SP_CONTI!D535</f>
        <v>0</v>
      </c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</row>
    <row r="537" ht="14.5">
      <c r="B537" s="31">
        <f>+SW_SP_CONTI!B536</f>
        <v>0</v>
      </c>
      <c r="C537" s="31">
        <f>+SW_SP_CONTI!C536</f>
        <v>0</v>
      </c>
      <c r="D537" s="31">
        <f>+SW_SP_CONTI!D536</f>
        <v>0</v>
      </c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</row>
    <row r="538" ht="14.5">
      <c r="B538" s="31">
        <f>+SW_SP_CONTI!B537</f>
        <v>0</v>
      </c>
      <c r="C538" s="31">
        <f>+SW_SP_CONTI!C537</f>
        <v>0</v>
      </c>
      <c r="D538" s="31">
        <f>+SW_SP_CONTI!D537</f>
        <v>0</v>
      </c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</row>
    <row r="539" ht="14.5">
      <c r="B539" s="31">
        <f>+SW_SP_CONTI!B538</f>
        <v>0</v>
      </c>
      <c r="C539" s="31">
        <f>+SW_SP_CONTI!C538</f>
        <v>0</v>
      </c>
      <c r="D539" s="31">
        <f>+SW_SP_CONTI!D538</f>
        <v>0</v>
      </c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</row>
    <row r="540" ht="14.5">
      <c r="B540" s="31">
        <f>+SW_SP_CONTI!B539</f>
        <v>0</v>
      </c>
      <c r="C540" s="31">
        <f>+SW_SP_CONTI!C539</f>
        <v>0</v>
      </c>
      <c r="D540" s="31">
        <f>+SW_SP_CONTI!D539</f>
        <v>0</v>
      </c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</row>
    <row r="541" ht="14.5">
      <c r="B541" s="31">
        <f>+SW_SP_CONTI!B540</f>
        <v>0</v>
      </c>
      <c r="C541" s="31">
        <f>+SW_SP_CONTI!C540</f>
        <v>0</v>
      </c>
      <c r="D541" s="31">
        <f>+SW_SP_CONTI!D540</f>
        <v>0</v>
      </c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</row>
    <row r="542" ht="14.5">
      <c r="B542" s="31">
        <f>+SW_SP_CONTI!B541</f>
        <v>0</v>
      </c>
      <c r="C542" s="31">
        <f>+SW_SP_CONTI!C541</f>
        <v>0</v>
      </c>
      <c r="D542" s="31">
        <f>+SW_SP_CONTI!D541</f>
        <v>0</v>
      </c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</row>
    <row r="543" ht="14.5">
      <c r="B543" s="31">
        <f>+SW_SP_CONTI!B542</f>
        <v>0</v>
      </c>
      <c r="C543" s="31">
        <f>+SW_SP_CONTI!C542</f>
        <v>0</v>
      </c>
      <c r="D543" s="31">
        <f>+SW_SP_CONTI!D542</f>
        <v>0</v>
      </c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</row>
    <row r="544" ht="14.5">
      <c r="B544" s="31">
        <f>+SW_SP_CONTI!B543</f>
        <v>0</v>
      </c>
      <c r="C544" s="31">
        <f>+SW_SP_CONTI!C543</f>
        <v>0</v>
      </c>
      <c r="D544" s="31">
        <f>+SW_SP_CONTI!D543</f>
        <v>0</v>
      </c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</row>
    <row r="545" ht="14.5">
      <c r="B545" s="31">
        <f>+SW_SP_CONTI!B544</f>
        <v>0</v>
      </c>
      <c r="C545" s="31">
        <f>+SW_SP_CONTI!C544</f>
        <v>0</v>
      </c>
      <c r="D545" s="31">
        <f>+SW_SP_CONTI!D544</f>
        <v>0</v>
      </c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</row>
    <row r="546" ht="14.5">
      <c r="B546" s="31">
        <f>+SW_SP_CONTI!B545</f>
        <v>0</v>
      </c>
      <c r="C546" s="31">
        <f>+SW_SP_CONTI!C545</f>
        <v>0</v>
      </c>
      <c r="D546" s="31">
        <f>+SW_SP_CONTI!D545</f>
        <v>0</v>
      </c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</row>
    <row r="547" ht="14.5">
      <c r="B547" s="31">
        <f>+SW_SP_CONTI!B546</f>
        <v>0</v>
      </c>
      <c r="C547" s="31">
        <f>+SW_SP_CONTI!C546</f>
        <v>0</v>
      </c>
      <c r="D547" s="31">
        <f>+SW_SP_CONTI!D546</f>
        <v>0</v>
      </c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</row>
    <row r="548" ht="14.5">
      <c r="B548" s="31">
        <f>+SW_SP_CONTI!B547</f>
        <v>0</v>
      </c>
      <c r="C548" s="31">
        <f>+SW_SP_CONTI!C547</f>
        <v>0</v>
      </c>
      <c r="D548" s="31">
        <f>+SW_SP_CONTI!D547</f>
        <v>0</v>
      </c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</row>
    <row r="549" ht="14.5">
      <c r="B549" s="31">
        <f>+SW_SP_CONTI!B548</f>
        <v>0</v>
      </c>
      <c r="C549" s="31">
        <f>+SW_SP_CONTI!C548</f>
        <v>0</v>
      </c>
      <c r="D549" s="31">
        <f>+SW_SP_CONTI!D548</f>
        <v>0</v>
      </c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</row>
    <row r="550" ht="14.5">
      <c r="B550" s="31">
        <f>+SW_SP_CONTI!B549</f>
        <v>0</v>
      </c>
      <c r="C550" s="31">
        <f>+SW_SP_CONTI!C549</f>
        <v>0</v>
      </c>
      <c r="D550" s="31">
        <f>+SW_SP_CONTI!D549</f>
        <v>0</v>
      </c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</row>
    <row r="551" ht="14.5">
      <c r="B551" s="31">
        <f>+SW_SP_CONTI!B550</f>
        <v>0</v>
      </c>
      <c r="C551" s="31">
        <f>+SW_SP_CONTI!C550</f>
        <v>0</v>
      </c>
      <c r="D551" s="31">
        <f>+SW_SP_CONTI!D550</f>
        <v>0</v>
      </c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</row>
    <row r="552" ht="14.5">
      <c r="B552" s="31">
        <f>+SW_SP_CONTI!B551</f>
        <v>0</v>
      </c>
      <c r="C552" s="31">
        <f>+SW_SP_CONTI!C551</f>
        <v>0</v>
      </c>
      <c r="D552" s="31">
        <f>+SW_SP_CONTI!D551</f>
        <v>0</v>
      </c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</row>
    <row r="553" ht="14.5">
      <c r="B553" s="31">
        <f>+SW_SP_CONTI!B552</f>
        <v>0</v>
      </c>
      <c r="C553" s="31">
        <f>+SW_SP_CONTI!C552</f>
        <v>0</v>
      </c>
      <c r="D553" s="31">
        <f>+SW_SP_CONTI!D552</f>
        <v>0</v>
      </c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</row>
    <row r="554" ht="14.5">
      <c r="B554" s="31">
        <f>+SW_SP_CONTI!B553</f>
        <v>0</v>
      </c>
      <c r="C554" s="31">
        <f>+SW_SP_CONTI!C553</f>
        <v>0</v>
      </c>
      <c r="D554" s="31">
        <f>+SW_SP_CONTI!D553</f>
        <v>0</v>
      </c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</row>
    <row r="555" ht="14.5">
      <c r="B555" s="31">
        <f>+SW_SP_CONTI!B554</f>
        <v>0</v>
      </c>
      <c r="C555" s="31">
        <f>+SW_SP_CONTI!C554</f>
        <v>0</v>
      </c>
      <c r="D555" s="31">
        <f>+SW_SP_CONTI!D554</f>
        <v>0</v>
      </c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</row>
    <row r="556" ht="14.5">
      <c r="B556" s="31">
        <f>+SW_SP_CONTI!B555</f>
        <v>0</v>
      </c>
      <c r="C556" s="31">
        <f>+SW_SP_CONTI!C555</f>
        <v>0</v>
      </c>
      <c r="D556" s="31">
        <f>+SW_SP_CONTI!D555</f>
        <v>0</v>
      </c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</row>
    <row r="557" ht="14.5">
      <c r="B557" s="31">
        <f>+SW_SP_CONTI!B556</f>
        <v>0</v>
      </c>
      <c r="C557" s="31">
        <f>+SW_SP_CONTI!C556</f>
        <v>0</v>
      </c>
      <c r="D557" s="31">
        <f>+SW_SP_CONTI!D556</f>
        <v>0</v>
      </c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</row>
    <row r="558" ht="14.5">
      <c r="B558" s="31">
        <f>+SW_SP_CONTI!B557</f>
        <v>0</v>
      </c>
      <c r="C558" s="31">
        <f>+SW_SP_CONTI!C557</f>
        <v>0</v>
      </c>
      <c r="D558" s="31">
        <f>+SW_SP_CONTI!D557</f>
        <v>0</v>
      </c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</row>
    <row r="559" ht="14.5">
      <c r="B559" s="31">
        <f>+SW_SP_CONTI!B558</f>
        <v>0</v>
      </c>
      <c r="C559" s="31">
        <f>+SW_SP_CONTI!C558</f>
        <v>0</v>
      </c>
      <c r="D559" s="31">
        <f>+SW_SP_CONTI!D558</f>
        <v>0</v>
      </c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</row>
    <row r="560" ht="14.5">
      <c r="B560" s="31">
        <f>+SW_SP_CONTI!B559</f>
        <v>0</v>
      </c>
      <c r="C560" s="31">
        <f>+SW_SP_CONTI!C559</f>
        <v>0</v>
      </c>
      <c r="D560" s="31">
        <f>+SW_SP_CONTI!D559</f>
        <v>0</v>
      </c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</row>
    <row r="561" ht="14.5">
      <c r="B561" s="31">
        <f>+SW_SP_CONTI!B560</f>
        <v>0</v>
      </c>
      <c r="C561" s="31">
        <f>+SW_SP_CONTI!C560</f>
        <v>0</v>
      </c>
      <c r="D561" s="31">
        <f>+SW_SP_CONTI!D560</f>
        <v>0</v>
      </c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</row>
    <row r="562" ht="14.5">
      <c r="B562" s="31">
        <f>+SW_SP_CONTI!B561</f>
        <v>0</v>
      </c>
      <c r="C562" s="31">
        <f>+SW_SP_CONTI!C561</f>
        <v>0</v>
      </c>
      <c r="D562" s="31">
        <f>+SW_SP_CONTI!D561</f>
        <v>0</v>
      </c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</row>
    <row r="563" ht="14.5">
      <c r="B563" s="31">
        <f>+SW_SP_CONTI!B562</f>
        <v>0</v>
      </c>
      <c r="C563" s="31">
        <f>+SW_SP_CONTI!C562</f>
        <v>0</v>
      </c>
      <c r="D563" s="31">
        <f>+SW_SP_CONTI!D562</f>
        <v>0</v>
      </c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</row>
    <row r="564" ht="14.5">
      <c r="B564" s="31">
        <f>+SW_SP_CONTI!B563</f>
        <v>0</v>
      </c>
      <c r="C564" s="31">
        <f>+SW_SP_CONTI!C563</f>
        <v>0</v>
      </c>
      <c r="D564" s="31">
        <f>+SW_SP_CONTI!D563</f>
        <v>0</v>
      </c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</row>
    <row r="565" ht="14.5">
      <c r="B565" s="31">
        <f>+SW_SP_CONTI!B564</f>
        <v>0</v>
      </c>
      <c r="C565" s="31">
        <f>+SW_SP_CONTI!C564</f>
        <v>0</v>
      </c>
      <c r="D565" s="31">
        <f>+SW_SP_CONTI!D564</f>
        <v>0</v>
      </c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</row>
    <row r="566" ht="14.5">
      <c r="B566" s="31">
        <f>+SW_SP_CONTI!B565</f>
        <v>0</v>
      </c>
      <c r="C566" s="31">
        <f>+SW_SP_CONTI!C565</f>
        <v>0</v>
      </c>
      <c r="D566" s="31">
        <f>+SW_SP_CONTI!D565</f>
        <v>0</v>
      </c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</row>
    <row r="567" ht="14.5">
      <c r="B567" s="31">
        <f>+SW_SP_CONTI!B566</f>
        <v>0</v>
      </c>
      <c r="C567" s="31">
        <f>+SW_SP_CONTI!C566</f>
        <v>0</v>
      </c>
      <c r="D567" s="31">
        <f>+SW_SP_CONTI!D566</f>
        <v>0</v>
      </c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</row>
    <row r="568" ht="14.5">
      <c r="B568" s="31">
        <f>+SW_SP_CONTI!B567</f>
        <v>0</v>
      </c>
      <c r="C568" s="31">
        <f>+SW_SP_CONTI!C567</f>
        <v>0</v>
      </c>
      <c r="D568" s="31">
        <f>+SW_SP_CONTI!D567</f>
        <v>0</v>
      </c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</row>
    <row r="569" ht="14.5">
      <c r="B569" s="31">
        <f>+SW_SP_CONTI!B568</f>
        <v>0</v>
      </c>
      <c r="C569" s="31">
        <f>+SW_SP_CONTI!C568</f>
        <v>0</v>
      </c>
      <c r="D569" s="31">
        <f>+SW_SP_CONTI!D568</f>
        <v>0</v>
      </c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</row>
    <row r="570" ht="14.5">
      <c r="B570" s="31">
        <f>+SW_SP_CONTI!B569</f>
        <v>0</v>
      </c>
      <c r="C570" s="31">
        <f>+SW_SP_CONTI!C569</f>
        <v>0</v>
      </c>
      <c r="D570" s="31">
        <f>+SW_SP_CONTI!D569</f>
        <v>0</v>
      </c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</row>
    <row r="571" ht="14.5">
      <c r="B571" s="31">
        <f>+SW_SP_CONTI!B570</f>
        <v>0</v>
      </c>
      <c r="C571" s="31">
        <f>+SW_SP_CONTI!C570</f>
        <v>0</v>
      </c>
      <c r="D571" s="31">
        <f>+SW_SP_CONTI!D570</f>
        <v>0</v>
      </c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</row>
    <row r="572" ht="14.5">
      <c r="B572" s="31">
        <f>+SW_SP_CONTI!B571</f>
        <v>0</v>
      </c>
      <c r="C572" s="31">
        <f>+SW_SP_CONTI!C571</f>
        <v>0</v>
      </c>
      <c r="D572" s="31">
        <f>+SW_SP_CONTI!D571</f>
        <v>0</v>
      </c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</row>
    <row r="573" ht="14.5">
      <c r="B573" s="31">
        <f>+SW_SP_CONTI!B572</f>
        <v>0</v>
      </c>
      <c r="C573" s="31">
        <f>+SW_SP_CONTI!C572</f>
        <v>0</v>
      </c>
      <c r="D573" s="31">
        <f>+SW_SP_CONTI!D572</f>
        <v>0</v>
      </c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</row>
    <row r="574" ht="14.5">
      <c r="B574" s="31">
        <f>+SW_SP_CONTI!B573</f>
        <v>0</v>
      </c>
      <c r="C574" s="31">
        <f>+SW_SP_CONTI!C573</f>
        <v>0</v>
      </c>
      <c r="D574" s="31">
        <f>+SW_SP_CONTI!D573</f>
        <v>0</v>
      </c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</row>
    <row r="575" ht="14.5">
      <c r="B575" s="31">
        <f>+SW_SP_CONTI!B574</f>
        <v>0</v>
      </c>
      <c r="C575" s="31">
        <f>+SW_SP_CONTI!C574</f>
        <v>0</v>
      </c>
      <c r="D575" s="31">
        <f>+SW_SP_CONTI!D574</f>
        <v>0</v>
      </c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</row>
    <row r="576" ht="14.5">
      <c r="B576" s="31">
        <f>+SW_SP_CONTI!B575</f>
        <v>0</v>
      </c>
      <c r="C576" s="31">
        <f>+SW_SP_CONTI!C575</f>
        <v>0</v>
      </c>
      <c r="D576" s="31">
        <f>+SW_SP_CONTI!D575</f>
        <v>0</v>
      </c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</row>
    <row r="577" ht="14.5">
      <c r="B577" s="31">
        <f>+SW_SP_CONTI!B576</f>
        <v>0</v>
      </c>
      <c r="C577" s="31">
        <f>+SW_SP_CONTI!C576</f>
        <v>0</v>
      </c>
      <c r="D577" s="31">
        <f>+SW_SP_CONTI!D576</f>
        <v>0</v>
      </c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</row>
    <row r="578" ht="14.5">
      <c r="B578" s="31">
        <f>+SW_SP_CONTI!B577</f>
        <v>0</v>
      </c>
      <c r="C578" s="31">
        <f>+SW_SP_CONTI!C577</f>
        <v>0</v>
      </c>
      <c r="D578" s="31">
        <f>+SW_SP_CONTI!D577</f>
        <v>0</v>
      </c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</row>
    <row r="579" ht="14.5">
      <c r="B579" s="31">
        <f>+SW_SP_CONTI!B578</f>
        <v>0</v>
      </c>
      <c r="C579" s="31">
        <f>+SW_SP_CONTI!C578</f>
        <v>0</v>
      </c>
      <c r="D579" s="31">
        <f>+SW_SP_CONTI!D578</f>
        <v>0</v>
      </c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</row>
    <row r="580" ht="14.5">
      <c r="B580" s="31">
        <f>+SW_SP_CONTI!B579</f>
        <v>0</v>
      </c>
      <c r="C580" s="31">
        <f>+SW_SP_CONTI!C579</f>
        <v>0</v>
      </c>
      <c r="D580" s="31">
        <f>+SW_SP_CONTI!D579</f>
        <v>0</v>
      </c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</row>
    <row r="581" ht="14.5">
      <c r="B581" s="31">
        <f>+SW_SP_CONTI!B580</f>
        <v>0</v>
      </c>
      <c r="C581" s="31">
        <f>+SW_SP_CONTI!C580</f>
        <v>0</v>
      </c>
      <c r="D581" s="31">
        <f>+SW_SP_CONTI!D580</f>
        <v>0</v>
      </c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</row>
    <row r="582" ht="14.5">
      <c r="B582" s="31">
        <f>+SW_SP_CONTI!B581</f>
        <v>0</v>
      </c>
      <c r="C582" s="31">
        <f>+SW_SP_CONTI!C581</f>
        <v>0</v>
      </c>
      <c r="D582" s="31">
        <f>+SW_SP_CONTI!D581</f>
        <v>0</v>
      </c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</row>
    <row r="583" ht="14.5">
      <c r="B583" s="31">
        <f>+SW_SP_CONTI!B582</f>
        <v>0</v>
      </c>
      <c r="C583" s="31">
        <f>+SW_SP_CONTI!C582</f>
        <v>0</v>
      </c>
      <c r="D583" s="31">
        <f>+SW_SP_CONTI!D582</f>
        <v>0</v>
      </c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</row>
    <row r="584" ht="14.5">
      <c r="B584" s="31">
        <f>+SW_SP_CONTI!B583</f>
        <v>0</v>
      </c>
      <c r="C584" s="31">
        <f>+SW_SP_CONTI!C583</f>
        <v>0</v>
      </c>
      <c r="D584" s="31">
        <f>+SW_SP_CONTI!D583</f>
        <v>0</v>
      </c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</row>
    <row r="585" ht="14.5">
      <c r="B585" s="31">
        <f>+SW_SP_CONTI!B584</f>
        <v>0</v>
      </c>
      <c r="C585" s="31">
        <f>+SW_SP_CONTI!C584</f>
        <v>0</v>
      </c>
      <c r="D585" s="31">
        <f>+SW_SP_CONTI!D584</f>
        <v>0</v>
      </c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</row>
    <row r="586" ht="14.5">
      <c r="B586" s="31">
        <f>+SW_SP_CONTI!B585</f>
        <v>0</v>
      </c>
      <c r="C586" s="31">
        <f>+SW_SP_CONTI!C585</f>
        <v>0</v>
      </c>
      <c r="D586" s="31">
        <f>+SW_SP_CONTI!D585</f>
        <v>0</v>
      </c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</row>
    <row r="587" ht="14.5">
      <c r="B587" s="31">
        <f>+SW_SP_CONTI!B586</f>
        <v>0</v>
      </c>
      <c r="C587" s="31">
        <f>+SW_SP_CONTI!C586</f>
        <v>0</v>
      </c>
      <c r="D587" s="31">
        <f>+SW_SP_CONTI!D586</f>
        <v>0</v>
      </c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</row>
    <row r="588" ht="14.5">
      <c r="B588" s="31">
        <f>+SW_SP_CONTI!B587</f>
        <v>0</v>
      </c>
      <c r="C588" s="31">
        <f>+SW_SP_CONTI!C587</f>
        <v>0</v>
      </c>
      <c r="D588" s="31">
        <f>+SW_SP_CONTI!D587</f>
        <v>0</v>
      </c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</row>
    <row r="589" ht="14.5">
      <c r="B589" s="31">
        <f>+SW_SP_CONTI!B588</f>
        <v>0</v>
      </c>
      <c r="C589" s="31">
        <f>+SW_SP_CONTI!C588</f>
        <v>0</v>
      </c>
      <c r="D589" s="31">
        <f>+SW_SP_CONTI!D588</f>
        <v>0</v>
      </c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</row>
    <row r="590" ht="14.5">
      <c r="B590" s="31">
        <f>+SW_SP_CONTI!B589</f>
        <v>0</v>
      </c>
      <c r="C590" s="31">
        <f>+SW_SP_CONTI!C589</f>
        <v>0</v>
      </c>
      <c r="D590" s="31">
        <f>+SW_SP_CONTI!D589</f>
        <v>0</v>
      </c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</row>
    <row r="591" ht="14.5">
      <c r="B591" s="31">
        <f>+SW_SP_CONTI!B590</f>
        <v>0</v>
      </c>
      <c r="C591" s="31">
        <f>+SW_SP_CONTI!C590</f>
        <v>0</v>
      </c>
      <c r="D591" s="31">
        <f>+SW_SP_CONTI!D590</f>
        <v>0</v>
      </c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</row>
    <row r="592" ht="14.5">
      <c r="B592" s="31">
        <f>+SW_SP_CONTI!B591</f>
        <v>0</v>
      </c>
      <c r="C592" s="31">
        <f>+SW_SP_CONTI!C591</f>
        <v>0</v>
      </c>
      <c r="D592" s="31">
        <f>+SW_SP_CONTI!D591</f>
        <v>0</v>
      </c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</row>
    <row r="593" ht="14.5">
      <c r="B593" s="31">
        <f>+SW_SP_CONTI!B592</f>
        <v>0</v>
      </c>
      <c r="C593" s="31">
        <f>+SW_SP_CONTI!C592</f>
        <v>0</v>
      </c>
      <c r="D593" s="31">
        <f>+SW_SP_CONTI!D592</f>
        <v>0</v>
      </c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</row>
    <row r="594" ht="14.5">
      <c r="B594" s="31">
        <f>+SW_SP_CONTI!B593</f>
        <v>0</v>
      </c>
      <c r="C594" s="31">
        <f>+SW_SP_CONTI!C593</f>
        <v>0</v>
      </c>
      <c r="D594" s="31">
        <f>+SW_SP_CONTI!D593</f>
        <v>0</v>
      </c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</row>
    <row r="595" ht="14.5">
      <c r="B595" s="31">
        <f>+SW_SP_CONTI!B594</f>
        <v>0</v>
      </c>
      <c r="C595" s="31">
        <f>+SW_SP_CONTI!C594</f>
        <v>0</v>
      </c>
      <c r="D595" s="31">
        <f>+SW_SP_CONTI!D594</f>
        <v>0</v>
      </c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</row>
    <row r="596" ht="14.5">
      <c r="B596" s="31">
        <f>+SW_SP_CONTI!B595</f>
        <v>0</v>
      </c>
      <c r="C596" s="31">
        <f>+SW_SP_CONTI!C595</f>
        <v>0</v>
      </c>
      <c r="D596" s="31">
        <f>+SW_SP_CONTI!D595</f>
        <v>0</v>
      </c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</row>
    <row r="597" ht="14.5">
      <c r="B597" s="31">
        <f>+SW_SP_CONTI!B596</f>
        <v>0</v>
      </c>
      <c r="C597" s="31">
        <f>+SW_SP_CONTI!C596</f>
        <v>0</v>
      </c>
      <c r="D597" s="31">
        <f>+SW_SP_CONTI!D596</f>
        <v>0</v>
      </c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</row>
    <row r="598" ht="14.5">
      <c r="B598" s="31">
        <f>+SW_SP_CONTI!B597</f>
        <v>0</v>
      </c>
      <c r="C598" s="31">
        <f>+SW_SP_CONTI!C597</f>
        <v>0</v>
      </c>
      <c r="D598" s="31">
        <f>+SW_SP_CONTI!D597</f>
        <v>0</v>
      </c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</row>
    <row r="599" ht="14.5">
      <c r="B599" s="31">
        <f>+SW_SP_CONTI!B598</f>
        <v>0</v>
      </c>
      <c r="C599" s="31">
        <f>+SW_SP_CONTI!C598</f>
        <v>0</v>
      </c>
      <c r="D599" s="31">
        <f>+SW_SP_CONTI!D598</f>
        <v>0</v>
      </c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</row>
    <row r="600" ht="14.5">
      <c r="B600" s="31">
        <f>+SW_SP_CONTI!B599</f>
        <v>0</v>
      </c>
      <c r="C600" s="31">
        <f>+SW_SP_CONTI!C599</f>
        <v>0</v>
      </c>
      <c r="D600" s="31">
        <f>+SW_SP_CONTI!D599</f>
        <v>0</v>
      </c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</row>
    <row r="601" ht="14.5">
      <c r="B601" s="31">
        <f>+SW_SP_CONTI!B600</f>
        <v>0</v>
      </c>
      <c r="C601" s="31">
        <f>+SW_SP_CONTI!C600</f>
        <v>0</v>
      </c>
      <c r="D601" s="31">
        <f>+SW_SP_CONTI!D600</f>
        <v>0</v>
      </c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</row>
    <row r="602" ht="14.5">
      <c r="B602" s="31">
        <f>+SW_SP_CONTI!B601</f>
        <v>0</v>
      </c>
      <c r="C602" s="31">
        <f>+SW_SP_CONTI!C601</f>
        <v>0</v>
      </c>
      <c r="D602" s="31">
        <f>+SW_SP_CONTI!D601</f>
        <v>0</v>
      </c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</row>
    <row r="603" ht="14.5">
      <c r="B603" s="31">
        <f>+SW_SP_CONTI!B602</f>
        <v>0</v>
      </c>
      <c r="C603" s="31">
        <f>+SW_SP_CONTI!C602</f>
        <v>0</v>
      </c>
      <c r="D603" s="31">
        <f>+SW_SP_CONTI!D602</f>
        <v>0</v>
      </c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</row>
    <row r="604" ht="14.5">
      <c r="B604" s="31">
        <f>+SW_SP_CONTI!B603</f>
        <v>0</v>
      </c>
      <c r="C604" s="31">
        <f>+SW_SP_CONTI!C603</f>
        <v>0</v>
      </c>
      <c r="D604" s="31">
        <f>+SW_SP_CONTI!D603</f>
        <v>0</v>
      </c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</row>
    <row r="605" ht="14.5">
      <c r="B605" s="31">
        <f>+SW_SP_CONTI!B604</f>
        <v>0</v>
      </c>
      <c r="C605" s="31">
        <f>+SW_SP_CONTI!C604</f>
        <v>0</v>
      </c>
      <c r="D605" s="31">
        <f>+SW_SP_CONTI!D604</f>
        <v>0</v>
      </c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</row>
    <row r="606" ht="14.5">
      <c r="B606" s="31">
        <f>+SW_SP_CONTI!B605</f>
        <v>0</v>
      </c>
      <c r="C606" s="31">
        <f>+SW_SP_CONTI!C605</f>
        <v>0</v>
      </c>
      <c r="D606" s="31">
        <f>+SW_SP_CONTI!D605</f>
        <v>0</v>
      </c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</row>
    <row r="607" ht="14.5">
      <c r="B607" s="31">
        <f>+SW_SP_CONTI!B606</f>
        <v>0</v>
      </c>
      <c r="C607" s="31">
        <f>+SW_SP_CONTI!C606</f>
        <v>0</v>
      </c>
      <c r="D607" s="31">
        <f>+SW_SP_CONTI!D606</f>
        <v>0</v>
      </c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</row>
    <row r="608" ht="14.5">
      <c r="B608" s="31">
        <f>+SW_SP_CONTI!B607</f>
        <v>0</v>
      </c>
      <c r="C608" s="31">
        <f>+SW_SP_CONTI!C607</f>
        <v>0</v>
      </c>
      <c r="D608" s="31">
        <f>+SW_SP_CONTI!D607</f>
        <v>0</v>
      </c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</row>
    <row r="609" ht="14.5">
      <c r="B609" s="31">
        <f>+SW_SP_CONTI!B608</f>
        <v>0</v>
      </c>
      <c r="C609" s="31">
        <f>+SW_SP_CONTI!C608</f>
        <v>0</v>
      </c>
      <c r="D609" s="31">
        <f>+SW_SP_CONTI!D608</f>
        <v>0</v>
      </c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</row>
    <row r="610" ht="14.5">
      <c r="B610" s="31">
        <f>+SW_SP_CONTI!B609</f>
        <v>0</v>
      </c>
      <c r="C610" s="31">
        <f>+SW_SP_CONTI!C609</f>
        <v>0</v>
      </c>
      <c r="D610" s="31">
        <f>+SW_SP_CONTI!D609</f>
        <v>0</v>
      </c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</row>
    <row r="611" ht="14.5">
      <c r="B611" s="31">
        <f>+SW_SP_CONTI!B610</f>
        <v>0</v>
      </c>
      <c r="C611" s="31">
        <f>+SW_SP_CONTI!C610</f>
        <v>0</v>
      </c>
      <c r="D611" s="31">
        <f>+SW_SP_CONTI!D610</f>
        <v>0</v>
      </c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</row>
    <row r="612" ht="14.5">
      <c r="B612" s="31">
        <f>+SW_SP_CONTI!B611</f>
        <v>0</v>
      </c>
      <c r="C612" s="31">
        <f>+SW_SP_CONTI!C611</f>
        <v>0</v>
      </c>
      <c r="D612" s="31">
        <f>+SW_SP_CONTI!D611</f>
        <v>0</v>
      </c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</row>
    <row r="613" ht="14.5">
      <c r="B613" s="31">
        <f>+SW_SP_CONTI!B612</f>
        <v>0</v>
      </c>
      <c r="C613" s="31">
        <f>+SW_SP_CONTI!C612</f>
        <v>0</v>
      </c>
      <c r="D613" s="31">
        <f>+SW_SP_CONTI!D612</f>
        <v>0</v>
      </c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</row>
    <row r="614" ht="14.5">
      <c r="B614" s="31">
        <f>+SW_SP_CONTI!B613</f>
        <v>0</v>
      </c>
      <c r="C614" s="31">
        <f>+SW_SP_CONTI!C613</f>
        <v>0</v>
      </c>
      <c r="D614" s="31">
        <f>+SW_SP_CONTI!D613</f>
        <v>0</v>
      </c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</row>
    <row r="615" ht="14.5">
      <c r="B615" s="31">
        <f>+SW_SP_CONTI!B614</f>
        <v>0</v>
      </c>
      <c r="C615" s="31">
        <f>+SW_SP_CONTI!C614</f>
        <v>0</v>
      </c>
      <c r="D615" s="31">
        <f>+SW_SP_CONTI!D614</f>
        <v>0</v>
      </c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</row>
    <row r="616" ht="14.5">
      <c r="B616" s="31">
        <f>+SW_SP_CONTI!B615</f>
        <v>0</v>
      </c>
      <c r="C616" s="31">
        <f>+SW_SP_CONTI!C615</f>
        <v>0</v>
      </c>
      <c r="D616" s="31">
        <f>+SW_SP_CONTI!D615</f>
        <v>0</v>
      </c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</row>
    <row r="617" ht="14.5">
      <c r="B617" s="31">
        <f>+SW_SP_CONTI!B616</f>
        <v>0</v>
      </c>
      <c r="C617" s="31">
        <f>+SW_SP_CONTI!C616</f>
        <v>0</v>
      </c>
      <c r="D617" s="31">
        <f>+SW_SP_CONTI!D616</f>
        <v>0</v>
      </c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</row>
    <row r="618" ht="14.5">
      <c r="B618" s="31">
        <f>+SW_SP_CONTI!B617</f>
        <v>0</v>
      </c>
      <c r="C618" s="31">
        <f>+SW_SP_CONTI!C617</f>
        <v>0</v>
      </c>
      <c r="D618" s="31">
        <f>+SW_SP_CONTI!D617</f>
        <v>0</v>
      </c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</row>
  </sheetData>
  <hyperlinks>
    <hyperlink ref="A1" location="MENU!A1" display="MENU"/>
  </hyperlinks>
</worksheet>
</file>

<file path=xl/worksheets/sheet13.xml><?xml version="1.0" encoding="utf-8"?>
<worksheet xmlns:r="http://schemas.openxmlformats.org/officeDocument/2006/relationships" xmlns="http://schemas.openxmlformats.org/spreadsheetml/2006/main">
  <sheetPr>
    <tabColor rgb="FF92D050"/>
  </sheetPr>
  <sheetViews>
    <sheetView workbookViewId="0">
      <selection activeCell="A4" sqref="A4"/>
    </sheetView>
  </sheetViews>
  <sheetFormatPr defaultColWidth="9.140625" defaultRowHeight="15"/>
  <cols>
    <col min="1" max="1" width="9.140625" style="2"/>
    <col min="2" max="2" width="19.57031" style="2" customWidth="1"/>
    <col min="3" max="3" width="60.14063" style="2" bestFit="1" customWidth="1"/>
    <col min="4" max="4" width="46" style="2" bestFit="1" customWidth="1"/>
    <col min="5" max="6" width="15.57031" style="2" bestFit="1" customWidth="1"/>
    <col min="7" max="8" width="16.57031" style="2" bestFit="1" customWidth="1"/>
    <col min="9" max="19" width="14.57031" style="2" customWidth="1"/>
    <col min="20" max="20" width="16.57031" style="2" bestFit="1" customWidth="1"/>
    <col min="21" max="21" width="14.57031" style="2" bestFit="1" customWidth="1"/>
    <col min="22" max="22" width="63.14063" style="2" bestFit="1" customWidth="1"/>
    <col min="23" max="16384" width="9.140625" style="2"/>
  </cols>
  <sheetData>
    <row r="1" ht="22.5" customHeight="1">
      <c r="A1" s="9" t="s">
        <v>38</v>
      </c>
      <c r="E1" s="33"/>
      <c r="F1" s="33"/>
      <c r="G1" s="33"/>
      <c r="H1" s="33"/>
      <c r="T1" s="33"/>
    </row>
    <row r="2" ht="15" customHeight="1">
      <c r="A2" s="9"/>
      <c r="E2" s="33"/>
      <c r="F2" s="33"/>
      <c r="G2" s="33"/>
      <c r="H2" s="33"/>
      <c r="I2" s="28">
        <v>12</v>
      </c>
      <c r="J2" s="28">
        <v>11</v>
      </c>
      <c r="K2" s="28">
        <v>10</v>
      </c>
      <c r="L2" s="28">
        <v>9</v>
      </c>
      <c r="M2" s="28">
        <v>8</v>
      </c>
      <c r="N2" s="28">
        <v>7</v>
      </c>
      <c r="O2" s="28">
        <v>6</v>
      </c>
      <c r="P2" s="28">
        <v>5</v>
      </c>
      <c r="Q2" s="28">
        <v>4</v>
      </c>
      <c r="R2" s="28">
        <v>3</v>
      </c>
      <c r="S2" s="28">
        <v>2</v>
      </c>
      <c r="T2" s="28">
        <v>1</v>
      </c>
    </row>
    <row r="3" ht="14.25" customHeight="1">
      <c r="B3" s="19" t="s">
        <v>106</v>
      </c>
      <c r="C3" s="19" t="s">
        <v>107</v>
      </c>
      <c r="D3" s="19" t="s">
        <v>697</v>
      </c>
      <c r="E3" s="29">
        <f>+F3-1</f>
        <v>2021</v>
      </c>
      <c r="F3" s="29">
        <f>+G3-1</f>
        <v>2022</v>
      </c>
      <c r="G3" s="29">
        <f>+H3-1</f>
        <v>2023</v>
      </c>
      <c r="H3" s="29">
        <f>+YEAR(MENU!B1)-1</f>
        <v>2024</v>
      </c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30">
        <f>+MENU!B1</f>
        <v>45917</v>
      </c>
    </row>
    <row r="4" ht="14.5">
      <c r="B4" s="31" t="str">
        <f>+SW_CE_CONTI!B3</f>
        <v>501000</v>
      </c>
      <c r="C4" s="31" t="str">
        <f>+SW_CE_CONTI!C3</f>
        <v>PRODOTTI FINITI C/VENDITE</v>
      </c>
      <c r="D4" s="31" t="str">
        <f>+SW_CE_CONTI!D3</f>
        <v>RICAVI</v>
      </c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>
        <v>0</v>
      </c>
    </row>
    <row r="5" ht="14.5">
      <c r="B5" s="31" t="str">
        <f>+SW_CE_CONTI!B4</f>
        <v>502000</v>
      </c>
      <c r="C5" s="31" t="str">
        <f>+SW_CE_CONTI!C4</f>
        <v>MERCI C/VENDITE</v>
      </c>
      <c r="D5" s="31" t="str">
        <f>+SW_CE_CONTI!D4</f>
        <v>RICAVI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>
        <v>-15750</v>
      </c>
    </row>
    <row r="6" ht="14.5">
      <c r="B6" s="31" t="str">
        <f>+SW_CE_CONTI!B5</f>
        <v>503000</v>
      </c>
      <c r="C6" s="31" t="str">
        <f>+SW_CE_CONTI!C5</f>
        <v>CORRISPETTIVI</v>
      </c>
      <c r="D6" s="31" t="str">
        <f>+SW_CE_CONTI!D5</f>
        <v>RICAVI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>
        <v>0</v>
      </c>
    </row>
    <row r="7" ht="14.5">
      <c r="B7" s="31" t="str">
        <f>+SW_CE_CONTI!B6</f>
        <v>504000</v>
      </c>
      <c r="C7" s="31" t="str">
        <f>+SW_CE_CONTI!C6</f>
        <v>RESI SU VENDITE</v>
      </c>
      <c r="D7" s="31" t="str">
        <f>+SW_CE_CONTI!D6</f>
        <v>RICAVI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>
        <v>0</v>
      </c>
    </row>
    <row r="8" ht="14.5">
      <c r="B8" s="31" t="str">
        <f>+SW_CE_CONTI!B7</f>
        <v>505000</v>
      </c>
      <c r="C8" s="31" t="str">
        <f>+SW_CE_CONTI!C7</f>
        <v>SCONTI SU VENDITE</v>
      </c>
      <c r="D8" s="31" t="str">
        <f>+SW_CE_CONTI!D7</f>
        <v>RICAVI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>
        <v>0</v>
      </c>
    </row>
    <row r="9" ht="14.5">
      <c r="B9" s="31" t="str">
        <f>+SW_CE_CONTI!B8</f>
        <v>506000</v>
      </c>
      <c r="C9" s="31" t="str">
        <f>+SW_CE_CONTI!C8</f>
        <v>ABBUONI SU VENDITE</v>
      </c>
      <c r="D9" s="31" t="str">
        <f>+SW_CE_CONTI!D8</f>
        <v>RICAVI</v>
      </c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>
        <v>0</v>
      </c>
    </row>
    <row r="10" ht="14.5">
      <c r="B10" s="31" t="str">
        <f>+SW_CE_CONTI!B9</f>
        <v>507000</v>
      </c>
      <c r="C10" s="31" t="str">
        <f>+SW_CE_CONTI!C9</f>
        <v>PREMI SU VENDITE</v>
      </c>
      <c r="D10" s="31" t="str">
        <f>+SW_CE_CONTI!D9</f>
        <v>RICAVI</v>
      </c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>
        <v>0</v>
      </c>
    </row>
    <row r="11" ht="14.5">
      <c r="B11" s="31" t="str">
        <f>+SW_CE_CONTI!B10</f>
        <v>508000</v>
      </c>
      <c r="C11" s="31" t="str">
        <f>+SW_CE_CONTI!C10</f>
        <v>ALTRI RICAVI DELLE VENDITE</v>
      </c>
      <c r="D11" s="31" t="str">
        <f>+SW_CE_CONTI!D10</f>
        <v>RICAVI</v>
      </c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>
        <v>0</v>
      </c>
    </row>
    <row r="12" ht="14.5">
      <c r="B12" s="31" t="str">
        <f>+SW_CE_CONTI!B11</f>
        <v>509000</v>
      </c>
      <c r="C12" s="31" t="str">
        <f>+SW_CE_CONTI!C11</f>
        <v>RICAVI PER PRESTAZ. DI SERVIZI</v>
      </c>
      <c r="D12" s="31" t="str">
        <f>+SW_CE_CONTI!D11</f>
        <v>RICAVI</v>
      </c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>
        <v>-120673</v>
      </c>
    </row>
    <row r="13" ht="14.5">
      <c r="B13" s="31" t="str">
        <f>+SW_CE_CONTI!B12</f>
        <v>510000</v>
      </c>
      <c r="C13" s="31" t="str">
        <f>+SW_CE_CONTI!C12</f>
        <v>CORRISPET. PER PRESTAZ. DI SERV.</v>
      </c>
      <c r="D13" s="31" t="str">
        <f>+SW_CE_CONTI!D12</f>
        <v>RICAVI</v>
      </c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>
        <v>0</v>
      </c>
    </row>
    <row r="14" ht="14.5">
      <c r="B14" s="31" t="str">
        <f>+SW_CE_CONTI!B13</f>
        <v>511000</v>
      </c>
      <c r="C14" s="31" t="str">
        <f>+SW_CE_CONTI!C13</f>
        <v>ALTRI RICAVI DELLE PRESTAZIONI</v>
      </c>
      <c r="D14" s="31" t="str">
        <f>+SW_CE_CONTI!D13</f>
        <v>RICAVI</v>
      </c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>
        <v>0</v>
      </c>
    </row>
    <row r="15" ht="14.5">
      <c r="B15" s="31" t="str">
        <f>+SW_CE_CONTI!B14</f>
        <v>512000</v>
      </c>
      <c r="C15" s="31" t="str">
        <f>+SW_CE_CONTI!C14</f>
        <v>RICAVI DA SAL</v>
      </c>
      <c r="D15" s="31" t="str">
        <f>+SW_CE_CONTI!D14</f>
        <v>RICAVI</v>
      </c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>
        <v>0</v>
      </c>
    </row>
    <row r="16" ht="14.5">
      <c r="B16" s="31" t="str">
        <f>+SW_CE_CONTI!B15</f>
        <v>550000</v>
      </c>
      <c r="C16" s="31" t="str">
        <f>+SW_CE_CONTI!C15</f>
        <v>PRODOTTI IN CORSO DI LAVORAZIONE C/ESISTENZE INIZIALI</v>
      </c>
      <c r="D16" s="31" t="str">
        <f>+SW_CE_CONTI!D15</f>
        <v>RIMANENZE PF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>
        <v>0</v>
      </c>
    </row>
    <row r="17" ht="14.5">
      <c r="B17" s="31" t="str">
        <f>+SW_CE_CONTI!B16</f>
        <v>551000</v>
      </c>
      <c r="C17" s="31" t="str">
        <f>+SW_CE_CONTI!C16</f>
        <v>PRODOTTI IN CORSO DI LAVORAZIONE C/RIMANENZE FINALI</v>
      </c>
      <c r="D17" s="31" t="str">
        <f>+SW_CE_CONTI!D16</f>
        <v>RIMANENZE PF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>
        <v>0</v>
      </c>
    </row>
    <row r="18" ht="14.5">
      <c r="B18" s="31" t="str">
        <f>+SW_CE_CONTI!B17</f>
        <v>552000</v>
      </c>
      <c r="C18" s="31" t="str">
        <f>+SW_CE_CONTI!C17</f>
        <v>SEMILAVORATI C/ESISTENZE INIZIALI</v>
      </c>
      <c r="D18" s="31" t="str">
        <f>+SW_CE_CONTI!D17</f>
        <v>RIMANENZE PF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>
        <v>0</v>
      </c>
    </row>
    <row r="19" ht="14.5">
      <c r="B19" s="31" t="str">
        <f>+SW_CE_CONTI!B18</f>
        <v>553000</v>
      </c>
      <c r="C19" s="31" t="str">
        <f>+SW_CE_CONTI!C18</f>
        <v>SEMILAVORATI C/RIMANENZE FINALI</v>
      </c>
      <c r="D19" s="31" t="str">
        <f>+SW_CE_CONTI!D18</f>
        <v>RIMANENZE PF</v>
      </c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>
        <v>0</v>
      </c>
    </row>
    <row r="20" ht="14.5">
      <c r="B20" s="31" t="str">
        <f>+SW_CE_CONTI!B19</f>
        <v>554000</v>
      </c>
      <c r="C20" s="31" t="str">
        <f>+SW_CE_CONTI!C19</f>
        <v>PRODOTTI FINITI C/ESISTENZE INIZIALI</v>
      </c>
      <c r="D20" s="31" t="str">
        <f>+SW_CE_CONTI!D19</f>
        <v>RIMANENZE PF</v>
      </c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>
        <v>0</v>
      </c>
    </row>
    <row r="21" ht="14.5">
      <c r="B21" s="31" t="str">
        <f>+SW_CE_CONTI!B20</f>
        <v>555000</v>
      </c>
      <c r="C21" s="31" t="str">
        <f>+SW_CE_CONTI!C20</f>
        <v>PRODOTTI FINITI C/RIMANENZE FINALI</v>
      </c>
      <c r="D21" s="31" t="str">
        <f>+SW_CE_CONTI!D20</f>
        <v>RIMANENZE PF</v>
      </c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>
        <v>0</v>
      </c>
    </row>
    <row r="22" ht="14.5">
      <c r="B22" s="31" t="str">
        <f>+SW_CE_CONTI!B21</f>
        <v>556000</v>
      </c>
      <c r="C22" s="31" t="str">
        <f>+SW_CE_CONTI!C21</f>
        <v xml:space="preserve">LAVORI IN CORSO SU ORDINAZIONE  Rim IN</v>
      </c>
      <c r="D22" s="31" t="str">
        <f>+SW_CE_CONTI!D21</f>
        <v>RIMANENZE PF</v>
      </c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>
        <v>0</v>
      </c>
    </row>
    <row r="23" ht="14.5">
      <c r="B23" s="31" t="str">
        <f>+SW_CE_CONTI!B22</f>
        <v>557000</v>
      </c>
      <c r="C23" s="31" t="str">
        <f>+SW_CE_CONTI!C22</f>
        <v xml:space="preserve">LAVORI IN CORSO SU ORDINAZIONE  Rim Fin</v>
      </c>
      <c r="D23" s="31" t="str">
        <f>+SW_CE_CONTI!D22</f>
        <v>RIMANENZE PF</v>
      </c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>
        <v>0</v>
      </c>
    </row>
    <row r="24" ht="14.5">
      <c r="B24" s="31" t="str">
        <f>+SW_CE_CONTI!B23</f>
        <v>558000</v>
      </c>
      <c r="C24" s="31" t="str">
        <f>+SW_CE_CONTI!C23</f>
        <v>MATERIE PRIME C/ESIST.INIZIALI</v>
      </c>
      <c r="D24" s="31" t="str">
        <f>+SW_CE_CONTI!D23</f>
        <v>RIMANENZE MP</v>
      </c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>
        <v>0</v>
      </c>
    </row>
    <row r="25" ht="14.5">
      <c r="B25" s="31" t="str">
        <f>+SW_CE_CONTI!B24</f>
        <v>559000</v>
      </c>
      <c r="C25" s="31" t="str">
        <f>+SW_CE_CONTI!C24</f>
        <v>MATERIE PRIME C/RIMANENZE FINALI</v>
      </c>
      <c r="D25" s="31" t="str">
        <f>+SW_CE_CONTI!D24</f>
        <v>RIMANENZE MP</v>
      </c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>
        <v>0</v>
      </c>
    </row>
    <row r="26" ht="14.5">
      <c r="B26" s="31" t="str">
        <f>+SW_CE_CONTI!B25</f>
        <v>560000</v>
      </c>
      <c r="C26" s="31" t="str">
        <f>+SW_CE_CONTI!C25</f>
        <v>MATERIE SUSS. C/ESIST.INIZIALI</v>
      </c>
      <c r="D26" s="31" t="str">
        <f>+SW_CE_CONTI!D25</f>
        <v>RIMANENZE MP</v>
      </c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>
        <v>0</v>
      </c>
    </row>
    <row r="27" ht="14.5">
      <c r="B27" s="31" t="str">
        <f>+SW_CE_CONTI!B26</f>
        <v>561000</v>
      </c>
      <c r="C27" s="31" t="str">
        <f>+SW_CE_CONTI!C26</f>
        <v>MATERIE SUSS. C/RIMAN. FINALI</v>
      </c>
      <c r="D27" s="31" t="str">
        <f>+SW_CE_CONTI!D26</f>
        <v>RIMANENZE MP</v>
      </c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>
        <v>0</v>
      </c>
    </row>
    <row r="28" ht="14.5">
      <c r="B28" s="31" t="str">
        <f>+SW_CE_CONTI!B27</f>
        <v>562000</v>
      </c>
      <c r="C28" s="31" t="str">
        <f>+SW_CE_CONTI!C27</f>
        <v>MATERIE DI CONS.C/ESIST.INIZIALI</v>
      </c>
      <c r="D28" s="31" t="str">
        <f>+SW_CE_CONTI!D27</f>
        <v>RIMANENZE MP</v>
      </c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>
        <v>0</v>
      </c>
    </row>
    <row r="29" ht="14.5">
      <c r="B29" s="31" t="str">
        <f>+SW_CE_CONTI!B28</f>
        <v>563000</v>
      </c>
      <c r="C29" s="31" t="str">
        <f>+SW_CE_CONTI!C28</f>
        <v>MATERIE DI CONSUMO C/RIM.FINALI</v>
      </c>
      <c r="D29" s="31" t="str">
        <f>+SW_CE_CONTI!D28</f>
        <v>RIMANENZE MP</v>
      </c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>
        <v>0</v>
      </c>
    </row>
    <row r="30" ht="14.5">
      <c r="B30" s="31" t="str">
        <f>+SW_CE_CONTI!B29</f>
        <v>564000</v>
      </c>
      <c r="C30" s="31" t="str">
        <f>+SW_CE_CONTI!C29</f>
        <v>MATERIALI VARI C/ESIST.INIZIALI</v>
      </c>
      <c r="D30" s="31" t="str">
        <f>+SW_CE_CONTI!D29</f>
        <v>RIMANENZE MP</v>
      </c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>
        <v>0</v>
      </c>
    </row>
    <row r="31" ht="14.5">
      <c r="B31" s="31" t="str">
        <f>+SW_CE_CONTI!B30</f>
        <v>565000</v>
      </c>
      <c r="C31" s="31" t="str">
        <f>+SW_CE_CONTI!C30</f>
        <v>MATERIALI VARI C/RIM. FINALI</v>
      </c>
      <c r="D31" s="31" t="str">
        <f>+SW_CE_CONTI!D30</f>
        <v>RIMANENZE MP</v>
      </c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>
        <v>0</v>
      </c>
    </row>
    <row r="32" ht="14.5">
      <c r="B32" s="31" t="str">
        <f>+SW_CE_CONTI!B31</f>
        <v>566000</v>
      </c>
      <c r="C32" s="31" t="str">
        <f>+SW_CE_CONTI!C31</f>
        <v>MATERIALI C/ESIST.INIZ.NON RILEV</v>
      </c>
      <c r="D32" s="31" t="str">
        <f>+SW_CE_CONTI!D31</f>
        <v>RIMANENZE MP</v>
      </c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>
        <v>0</v>
      </c>
    </row>
    <row r="33" ht="14.5">
      <c r="B33" s="31" t="str">
        <f>+SW_CE_CONTI!B32</f>
        <v>567000</v>
      </c>
      <c r="C33" s="31" t="str">
        <f>+SW_CE_CONTI!C32</f>
        <v>MATERIALI C/RIM.FINAL.NON RILEV.</v>
      </c>
      <c r="D33" s="31" t="str">
        <f>+SW_CE_CONTI!D32</f>
        <v>RIMANENZE MP</v>
      </c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>
        <v>0</v>
      </c>
    </row>
    <row r="34" ht="14.5">
      <c r="B34" s="31" t="str">
        <f>+SW_CE_CONTI!B33</f>
        <v>568000</v>
      </c>
      <c r="C34" s="31" t="str">
        <f>+SW_CE_CONTI!C33</f>
        <v>MERCI C/ESISTENZE INIZIALI</v>
      </c>
      <c r="D34" s="31" t="str">
        <f>+SW_CE_CONTI!D33</f>
        <v>RIMANENZE MP</v>
      </c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>
        <v>0</v>
      </c>
    </row>
    <row r="35" ht="14.5">
      <c r="B35" s="31" t="str">
        <f>+SW_CE_CONTI!B34</f>
        <v>569000</v>
      </c>
      <c r="C35" s="31" t="str">
        <f>+SW_CE_CONTI!C34</f>
        <v>MERCI C/RIM. FINALI</v>
      </c>
      <c r="D35" s="31" t="str">
        <f>+SW_CE_CONTI!D34</f>
        <v>RIMANENZE MP</v>
      </c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>
        <v>0</v>
      </c>
    </row>
    <row r="36" ht="14.5">
      <c r="B36" s="31" t="str">
        <f>+SW_CE_CONTI!B35</f>
        <v>570000</v>
      </c>
      <c r="C36" s="31" t="str">
        <f>+SW_CE_CONTI!C35</f>
        <v>CAPITALIZZAZIONE DI COSTI DI IMMOBILIZZAZIONI IMMATERIALI</v>
      </c>
      <c r="D36" s="31" t="str">
        <f>+SW_CE_CONTI!D35</f>
        <v>CAPITALIZZAZIONE COSTI</v>
      </c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>
        <v>0</v>
      </c>
    </row>
    <row r="37" ht="14.5">
      <c r="B37" s="31" t="str">
        <f>+SW_CE_CONTI!B36</f>
        <v>571000</v>
      </c>
      <c r="C37" s="31" t="str">
        <f>+SW_CE_CONTI!C36</f>
        <v>COSTRUZIONI INTERNE DI IMMOBILIZZAZIONI MATERIALI</v>
      </c>
      <c r="D37" s="31" t="str">
        <f>+SW_CE_CONTI!D36</f>
        <v>CAPITALIZZAZIONE COSTI</v>
      </c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>
        <v>0</v>
      </c>
    </row>
    <row r="38" ht="14.5">
      <c r="B38" s="31" t="str">
        <f>+SW_CE_CONTI!B37</f>
        <v>601000</v>
      </c>
      <c r="C38" s="31" t="str">
        <f>+SW_CE_CONTI!C37</f>
        <v>MATERIE PRIME C/ACQUISTI</v>
      </c>
      <c r="D38" s="31" t="str">
        <f>+SW_CE_CONTI!D37</f>
        <v>MATERIE PRIME E MERCI</v>
      </c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>
        <v>9924.2399999999998</v>
      </c>
    </row>
    <row r="39" ht="14.5">
      <c r="B39" s="31" t="str">
        <f>+SW_CE_CONTI!B38</f>
        <v>602000</v>
      </c>
      <c r="C39" s="31" t="str">
        <f>+SW_CE_CONTI!C38</f>
        <v>MATERIE SUSS. C/ACQUISTI</v>
      </c>
      <c r="D39" s="31" t="str">
        <f>+SW_CE_CONTI!D38</f>
        <v>MATERIE PRIME E MERCI</v>
      </c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>
        <v>0</v>
      </c>
    </row>
    <row r="40" ht="14.5">
      <c r="B40" s="31" t="str">
        <f>+SW_CE_CONTI!B39</f>
        <v>603000</v>
      </c>
      <c r="C40" s="31" t="str">
        <f>+SW_CE_CONTI!C39</f>
        <v>SEMILAVORATI C/ACQUISTI</v>
      </c>
      <c r="D40" s="31" t="str">
        <f>+SW_CE_CONTI!D39</f>
        <v>MATERIE PRIME E MERCI</v>
      </c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>
        <v>0</v>
      </c>
    </row>
    <row r="41" ht="14.5">
      <c r="B41" s="31" t="str">
        <f>+SW_CE_CONTI!B40</f>
        <v>604000</v>
      </c>
      <c r="C41" s="31" t="str">
        <f>+SW_CE_CONTI!C40</f>
        <v>MATERIE DI CONSUMO C/ACQUISTI</v>
      </c>
      <c r="D41" s="31" t="str">
        <f>+SW_CE_CONTI!D40</f>
        <v>MATERIE PRIME E MERCI</v>
      </c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>
        <v>4983.3299999999999</v>
      </c>
    </row>
    <row r="42" ht="14.5">
      <c r="B42" s="31" t="str">
        <f>+SW_CE_CONTI!B41</f>
        <v>605000</v>
      </c>
      <c r="C42" s="31" t="str">
        <f>+SW_CE_CONTI!C41</f>
        <v>MERCI C/ACQUISTI</v>
      </c>
      <c r="D42" s="31" t="str">
        <f>+SW_CE_CONTI!D41</f>
        <v>MATERIE PRIME E MERCI</v>
      </c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>
        <v>0</v>
      </c>
    </row>
    <row r="43" ht="14.5">
      <c r="B43" s="31" t="str">
        <f>+SW_CE_CONTI!B42</f>
        <v>606000</v>
      </c>
      <c r="C43" s="31" t="str">
        <f>+SW_CE_CONTI!C42</f>
        <v>IMBALLAGGI C/ACQUISTI</v>
      </c>
      <c r="D43" s="31" t="str">
        <f>+SW_CE_CONTI!D42</f>
        <v>MATERIE PRIME E MERCI</v>
      </c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>
        <v>0</v>
      </c>
    </row>
    <row r="44" ht="14.5">
      <c r="B44" s="31" t="str">
        <f>+SW_CE_CONTI!B43</f>
        <v>650000</v>
      </c>
      <c r="C44" s="31" t="str">
        <f>+SW_CE_CONTI!C43</f>
        <v>TRASPORTI SU ACQUISTI E VENDITE</v>
      </c>
      <c r="D44" s="31" t="str">
        <f>+SW_CE_CONTI!D43</f>
        <v>SERVIZI</v>
      </c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>
        <v>990</v>
      </c>
    </row>
    <row r="45" ht="14.5">
      <c r="B45" s="31" t="str">
        <f>+SW_CE_CONTI!B44</f>
        <v>651000</v>
      </c>
      <c r="C45" s="31" t="str">
        <f>+SW_CE_CONTI!C44</f>
        <v>DAZI E ONERI SU ACQUISTI</v>
      </c>
      <c r="D45" s="31" t="str">
        <f>+SW_CE_CONTI!D44</f>
        <v>SERVIZI</v>
      </c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>
        <v>0</v>
      </c>
    </row>
    <row r="46" ht="14.5">
      <c r="B46" s="31" t="str">
        <f>+SW_CE_CONTI!B45</f>
        <v>652000</v>
      </c>
      <c r="C46" s="31" t="str">
        <f>+SW_CE_CONTI!C45</f>
        <v>LAVOR.DI TERZI P/PROD.DI BENI E SERVIZI</v>
      </c>
      <c r="D46" s="31" t="str">
        <f>+SW_CE_CONTI!D45</f>
        <v>SERVIZI</v>
      </c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>
        <v>771.5</v>
      </c>
    </row>
    <row r="47" ht="14.5">
      <c r="B47" s="31" t="str">
        <f>+SW_CE_CONTI!B46</f>
        <v>653000</v>
      </c>
      <c r="C47" s="31" t="str">
        <f>+SW_CE_CONTI!C46</f>
        <v>ABBUONI E SCONTI PASSIVI</v>
      </c>
      <c r="D47" s="31" t="str">
        <f>+SW_CE_CONTI!D46</f>
        <v>MATERIE PRIME E MERCI</v>
      </c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>
        <v>0</v>
      </c>
    </row>
    <row r="48" ht="14.5">
      <c r="B48" s="31" t="str">
        <f>+SW_CE_CONTI!B47</f>
        <v>654000</v>
      </c>
      <c r="C48" s="31" t="str">
        <f>+SW_CE_CONTI!C47</f>
        <v>ENERGIA ELETTRICA FORZA MOTRICE</v>
      </c>
      <c r="D48" s="31" t="str">
        <f>+SW_CE_CONTI!D47</f>
        <v>SERVIZI</v>
      </c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>
        <v>0</v>
      </c>
    </row>
    <row r="49" ht="14.5">
      <c r="B49" s="31" t="str">
        <f>+SW_CE_CONTI!B48</f>
        <v>655000</v>
      </c>
      <c r="C49" s="31" t="str">
        <f>+SW_CE_CONTI!C48</f>
        <v>ENERGIA ELETTRICA ALTRI UTILIZZI</v>
      </c>
      <c r="D49" s="31" t="str">
        <f>+SW_CE_CONTI!D48</f>
        <v>SERVIZI</v>
      </c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>
        <v>0</v>
      </c>
    </row>
    <row r="50" ht="14.5">
      <c r="B50" s="31" t="str">
        <f>+SW_CE_CONTI!B49</f>
        <v>656000</v>
      </c>
      <c r="C50" s="31" t="str">
        <f>+SW_CE_CONTI!C49</f>
        <v>UTENZE GAS</v>
      </c>
      <c r="D50" s="31" t="str">
        <f>+SW_CE_CONTI!D49</f>
        <v>SERVIZI</v>
      </c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>
        <v>1753.5999999999999</v>
      </c>
    </row>
    <row r="51" ht="14.5">
      <c r="B51" s="31" t="str">
        <f>+SW_CE_CONTI!B50</f>
        <v>657000</v>
      </c>
      <c r="C51" s="31" t="str">
        <f>+SW_CE_CONTI!C50</f>
        <v>UTENZE CARBURANTI E LUBRIFICANTI NON PER TRAZIONE</v>
      </c>
      <c r="D51" s="31" t="str">
        <f>+SW_CE_CONTI!D50</f>
        <v>SERVIZI</v>
      </c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>
        <v>0</v>
      </c>
    </row>
    <row r="52" ht="14.5">
      <c r="B52" s="31" t="str">
        <f>+SW_CE_CONTI!B51</f>
        <v>658000</v>
      </c>
      <c r="C52" s="31" t="str">
        <f>+SW_CE_CONTI!C51</f>
        <v>ALTRE UTENZE</v>
      </c>
      <c r="D52" s="31" t="str">
        <f>+SW_CE_CONTI!D51</f>
        <v>SERVIZI</v>
      </c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>
        <v>9607.0499999999993</v>
      </c>
    </row>
    <row r="53" ht="14.5">
      <c r="B53" s="31" t="str">
        <f>+SW_CE_CONTI!B52</f>
        <v>659000</v>
      </c>
      <c r="C53" s="31" t="str">
        <f>+SW_CE_CONTI!C52</f>
        <v>CANONI DI MANUTENZIONE PERIODICA</v>
      </c>
      <c r="D53" s="31" t="str">
        <f>+SW_CE_CONTI!D52</f>
        <v>SERVIZI</v>
      </c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>
        <v>2382.3099999999999</v>
      </c>
    </row>
    <row r="54" ht="14.5">
      <c r="B54" s="31" t="str">
        <f>+SW_CE_CONTI!B53</f>
        <v>660000</v>
      </c>
      <c r="C54" s="31" t="str">
        <f>+SW_CE_CONTI!C53</f>
        <v>MANUTENZIONE BENI PROPRI MOBILI</v>
      </c>
      <c r="D54" s="31" t="str">
        <f>+SW_CE_CONTI!D53</f>
        <v>SERVIZI</v>
      </c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>
        <v>3683.7399999999998</v>
      </c>
    </row>
    <row r="55" ht="14.5">
      <c r="B55" s="31" t="str">
        <f>+SW_CE_CONTI!B54</f>
        <v>661000</v>
      </c>
      <c r="C55" s="31" t="str">
        <f>+SW_CE_CONTI!C54</f>
        <v>MANUTENZIONE BENI PROPRI IMMOBILI</v>
      </c>
      <c r="D55" s="31" t="str">
        <f>+SW_CE_CONTI!D54</f>
        <v>SERVIZI</v>
      </c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>
        <v>0</v>
      </c>
    </row>
    <row r="56" ht="14.5">
      <c r="B56" s="31" t="str">
        <f>+SW_CE_CONTI!B55</f>
        <v>662000</v>
      </c>
      <c r="C56" s="31" t="str">
        <f>+SW_CE_CONTI!C55</f>
        <v>MANUTENZIONE BENI TERZI MOBILI</v>
      </c>
      <c r="D56" s="31" t="str">
        <f>+SW_CE_CONTI!D55</f>
        <v>SERVIZI</v>
      </c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>
        <v>0</v>
      </c>
    </row>
    <row r="57" ht="14.5">
      <c r="B57" s="31" t="str">
        <f>+SW_CE_CONTI!B56</f>
        <v>663000</v>
      </c>
      <c r="C57" s="31" t="str">
        <f>+SW_CE_CONTI!C56</f>
        <v>MANUTENZIONE BENI TERZI IMMOBILI</v>
      </c>
      <c r="D57" s="31" t="str">
        <f>+SW_CE_CONTI!D56</f>
        <v>SERVIZI</v>
      </c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>
        <v>120</v>
      </c>
    </row>
    <row r="58" ht="14.5">
      <c r="B58" s="31" t="str">
        <f>+SW_CE_CONTI!B57</f>
        <v>664000</v>
      </c>
      <c r="C58" s="31" t="str">
        <f>+SW_CE_CONTI!C57</f>
        <v>CONAI E COSTI DI SMALTIMENTO</v>
      </c>
      <c r="D58" s="31" t="str">
        <f>+SW_CE_CONTI!D57</f>
        <v>SERVIZI</v>
      </c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>
        <v>0</v>
      </c>
    </row>
    <row r="59" ht="14.5">
      <c r="B59" s="31" t="str">
        <f>+SW_CE_CONTI!B58</f>
        <v>664010</v>
      </c>
      <c r="C59" s="31" t="str">
        <f>+SW_CE_CONTI!C58</f>
        <v>ALTRE MANUTENZIONI</v>
      </c>
      <c r="D59" s="31" t="str">
        <f>+SW_CE_CONTI!D58</f>
        <v>SERVIZI</v>
      </c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>
        <v>0</v>
      </c>
    </row>
    <row r="60" ht="14.5">
      <c r="B60" s="31" t="str">
        <f>+SW_CE_CONTI!B59</f>
        <v>665000</v>
      </c>
      <c r="C60" s="31" t="str">
        <f>+SW_CE_CONTI!C59</f>
        <v>ASSICURAZIONI NON OBBLIGATORIE</v>
      </c>
      <c r="D60" s="31" t="str">
        <f>+SW_CE_CONTI!D59</f>
        <v>SERVIZI</v>
      </c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>
        <v>0</v>
      </c>
    </row>
    <row r="61" ht="14.5">
      <c r="B61" s="31" t="str">
        <f>+SW_CE_CONTI!B60</f>
        <v>666000</v>
      </c>
      <c r="C61" s="31" t="str">
        <f>+SW_CE_CONTI!C60</f>
        <v>ASSICURAZIONI OBBLIGATORIE</v>
      </c>
      <c r="D61" s="31" t="str">
        <f>+SW_CE_CONTI!D60</f>
        <v>SERVIZI</v>
      </c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>
        <v>1824.96</v>
      </c>
    </row>
    <row r="62" ht="14.5">
      <c r="B62" s="31" t="str">
        <f>+SW_CE_CONTI!B61</f>
        <v>667000</v>
      </c>
      <c r="C62" s="31" t="str">
        <f>+SW_CE_CONTI!C61</f>
        <v>VIGILANZA</v>
      </c>
      <c r="D62" s="31" t="str">
        <f>+SW_CE_CONTI!D61</f>
        <v>SERVIZI</v>
      </c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>
        <v>0</v>
      </c>
    </row>
    <row r="63" ht="14.5">
      <c r="B63" s="31" t="str">
        <f>+SW_CE_CONTI!B62</f>
        <v>668000</v>
      </c>
      <c r="C63" s="31" t="str">
        <f>+SW_CE_CONTI!C62</f>
        <v>COSTI PER SERVIZI DI PULIZIA</v>
      </c>
      <c r="D63" s="31" t="str">
        <f>+SW_CE_CONTI!D62</f>
        <v>SERVIZI</v>
      </c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>
        <v>0</v>
      </c>
    </row>
    <row r="64" ht="14.5">
      <c r="B64" s="31" t="str">
        <f>+SW_CE_CONTI!B63</f>
        <v>669000</v>
      </c>
      <c r="C64" s="31" t="str">
        <f>+SW_CE_CONTI!C63</f>
        <v xml:space="preserve">COMPENSI AMMINISTRATORI </v>
      </c>
      <c r="D64" s="31" t="str">
        <f>+SW_CE_CONTI!D63</f>
        <v>SERVIZI</v>
      </c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>
        <v>0</v>
      </c>
    </row>
    <row r="65" ht="14.5">
      <c r="B65" s="31" t="str">
        <f>+SW_CE_CONTI!B64</f>
        <v>670000</v>
      </c>
      <c r="C65" s="31" t="str">
        <f>+SW_CE_CONTI!C64</f>
        <v xml:space="preserve">COMPENSI SINDACI </v>
      </c>
      <c r="D65" s="31" t="str">
        <f>+SW_CE_CONTI!D64</f>
        <v>SERVIZI</v>
      </c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>
        <v>0</v>
      </c>
    </row>
    <row r="66" ht="14.5">
      <c r="B66" s="31" t="str">
        <f>+SW_CE_CONTI!B65</f>
        <v>671000</v>
      </c>
      <c r="C66" s="31" t="str">
        <f>+SW_CE_CONTI!C65</f>
        <v>COMPENSI REVISORI</v>
      </c>
      <c r="D66" s="31" t="str">
        <f>+SW_CE_CONTI!D65</f>
        <v>SERVIZI</v>
      </c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>
        <v>0</v>
      </c>
    </row>
    <row r="67" ht="14.5">
      <c r="B67" s="31" t="str">
        <f>+SW_CE_CONTI!B66</f>
        <v>672000</v>
      </c>
      <c r="C67" s="31" t="str">
        <f>+SW_CE_CONTI!C66</f>
        <v>COMPENSI COLLAB.COORD.</v>
      </c>
      <c r="D67" s="31" t="str">
        <f>+SW_CE_CONTI!D66</f>
        <v>SERVIZI</v>
      </c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>
        <v>0</v>
      </c>
    </row>
    <row r="68" ht="14.5">
      <c r="B68" s="31" t="str">
        <f>+SW_CE_CONTI!B67</f>
        <v>673000</v>
      </c>
      <c r="C68" s="31" t="str">
        <f>+SW_CE_CONTI!C67</f>
        <v xml:space="preserve">COMPENSI LAVORO OCCASIONALE </v>
      </c>
      <c r="D68" s="31" t="str">
        <f>+SW_CE_CONTI!D67</f>
        <v>SERVIZI</v>
      </c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>
        <v>0</v>
      </c>
    </row>
    <row r="69" ht="14.5">
      <c r="B69" s="31" t="str">
        <f>+SW_CE_CONTI!B68</f>
        <v>674000</v>
      </c>
      <c r="C69" s="31" t="str">
        <f>+SW_CE_CONTI!C68</f>
        <v>COSTI TRASFERTE E PEDAGGI AUTOSTRADALI</v>
      </c>
      <c r="D69" s="31" t="str">
        <f>+SW_CE_CONTI!D68</f>
        <v>SERVIZI</v>
      </c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>
        <v>14514.83</v>
      </c>
    </row>
    <row r="70" ht="14.5">
      <c r="B70" s="31" t="str">
        <f>+SW_CE_CONTI!B69</f>
        <v>675000</v>
      </c>
      <c r="C70" s="31" t="str">
        <f>+SW_CE_CONTI!C69</f>
        <v>COMPENSI PROFESSIONALI (ALTRI)</v>
      </c>
      <c r="D70" s="31" t="str">
        <f>+SW_CE_CONTI!D69</f>
        <v>SERVIZI</v>
      </c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>
        <v>0</v>
      </c>
    </row>
    <row r="71" ht="14.5">
      <c r="B71" s="31" t="str">
        <f>+SW_CE_CONTI!B70</f>
        <v>676000</v>
      </c>
      <c r="C71" s="31" t="str">
        <f>+SW_CE_CONTI!C70</f>
        <v>PROVVIGIONI A INTERMEDIARI</v>
      </c>
      <c r="D71" s="31" t="str">
        <f>+SW_CE_CONTI!D70</f>
        <v>SERVIZI</v>
      </c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>
        <v>0</v>
      </c>
    </row>
    <row r="72" ht="14.5">
      <c r="B72" s="31" t="str">
        <f>+SW_CE_CONTI!B71</f>
        <v>677000</v>
      </c>
      <c r="C72" s="31" t="str">
        <f>+SW_CE_CONTI!C71</f>
        <v>PUBBLICITA' E FIERE</v>
      </c>
      <c r="D72" s="31" t="str">
        <f>+SW_CE_CONTI!D71</f>
        <v>SERVIZI</v>
      </c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>
        <v>0</v>
      </c>
    </row>
    <row r="73" ht="14.5">
      <c r="B73" s="31" t="str">
        <f>+SW_CE_CONTI!B72</f>
        <v>678000</v>
      </c>
      <c r="C73" s="31" t="str">
        <f>+SW_CE_CONTI!C72</f>
        <v>CONSULENZE FISCALI E CONTABILI</v>
      </c>
      <c r="D73" s="31" t="str">
        <f>+SW_CE_CONTI!D72</f>
        <v>SERVIZI</v>
      </c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>
        <v>3112</v>
      </c>
    </row>
    <row r="74" ht="14.5">
      <c r="B74" s="31" t="str">
        <f>+SW_CE_CONTI!B73</f>
        <v>679000</v>
      </c>
      <c r="C74" s="31" t="str">
        <f>+SW_CE_CONTI!C73</f>
        <v>CONSULENZE LEGALI</v>
      </c>
      <c r="D74" s="31" t="str">
        <f>+SW_CE_CONTI!D73</f>
        <v>SERVIZI</v>
      </c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>
        <v>31148.07</v>
      </c>
    </row>
    <row r="75" ht="14.5">
      <c r="B75" s="31" t="str">
        <f>+SW_CE_CONTI!B74</f>
        <v>680000</v>
      </c>
      <c r="C75" s="31" t="str">
        <f>+SW_CE_CONTI!C74</f>
        <v>UTENZE TELEFONICHE E CELLULARI</v>
      </c>
      <c r="D75" s="31" t="str">
        <f>+SW_CE_CONTI!D74</f>
        <v>SERVIZI</v>
      </c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>
        <v>1440.31</v>
      </c>
    </row>
    <row r="76" ht="14.5">
      <c r="B76" s="31" t="str">
        <f>+SW_CE_CONTI!B75</f>
        <v>681000</v>
      </c>
      <c r="C76" s="31" t="str">
        <f>+SW_CE_CONTI!C75</f>
        <v xml:space="preserve">SPESE DI RAPPRESENTANZA </v>
      </c>
      <c r="D76" s="31" t="str">
        <f>+SW_CE_CONTI!D75</f>
        <v>SERVIZI</v>
      </c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>
        <v>0</v>
      </c>
    </row>
    <row r="77" ht="14.5">
      <c r="B77" s="31" t="str">
        <f>+SW_CE_CONTI!B76</f>
        <v>682000</v>
      </c>
      <c r="C77" s="31" t="str">
        <f>+SW_CE_CONTI!C76</f>
        <v>PASTI, SOGGIORNI E VIAGGI</v>
      </c>
      <c r="D77" s="31" t="str">
        <f>+SW_CE_CONTI!D76</f>
        <v>SERVIZI</v>
      </c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>
        <v>1454.6099999999999</v>
      </c>
    </row>
    <row r="78" ht="14.5">
      <c r="B78" s="31" t="str">
        <f>+SW_CE_CONTI!B77</f>
        <v>683000</v>
      </c>
      <c r="C78" s="31" t="str">
        <f>+SW_CE_CONTI!C77</f>
        <v>CARBURANTI PER AUTOMEZZI</v>
      </c>
      <c r="D78" s="31" t="str">
        <f>+SW_CE_CONTI!D77</f>
        <v>SERVIZI</v>
      </c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>
        <v>404.91000000000002</v>
      </c>
    </row>
    <row r="79" ht="14.5">
      <c r="B79" s="31" t="str">
        <f>+SW_CE_CONTI!B78</f>
        <v>684000</v>
      </c>
      <c r="C79" s="31" t="str">
        <f>+SW_CE_CONTI!C78</f>
        <v>ALTRE CONSULENZA TECNICHE</v>
      </c>
      <c r="D79" s="31" t="str">
        <f>+SW_CE_CONTI!D78</f>
        <v>SERVIZI</v>
      </c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>
        <v>0</v>
      </c>
    </row>
    <row r="80" ht="14.5">
      <c r="B80" s="31" t="str">
        <f>+SW_CE_CONTI!B79</f>
        <v>685000</v>
      </c>
      <c r="C80" s="31" t="str">
        <f>+SW_CE_CONTI!C79</f>
        <v>ONERI BANCARI</v>
      </c>
      <c r="D80" s="31" t="str">
        <f>+SW_CE_CONTI!D79</f>
        <v>SERVIZI</v>
      </c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>
        <v>940.60000000000002</v>
      </c>
    </row>
    <row r="81" ht="14.5">
      <c r="B81" s="31" t="str">
        <f>+SW_CE_CONTI!B80</f>
        <v>686000</v>
      </c>
      <c r="C81" s="31" t="str">
        <f>+SW_CE_CONTI!C80</f>
        <v>ONERI DI FACTORING</v>
      </c>
      <c r="D81" s="31" t="str">
        <f>+SW_CE_CONTI!D80</f>
        <v>SERVIZI</v>
      </c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>
        <v>0</v>
      </c>
    </row>
    <row r="82" ht="14.5">
      <c r="B82" s="31" t="str">
        <f>+SW_CE_CONTI!B81</f>
        <v>687000</v>
      </c>
      <c r="C82" s="31" t="str">
        <f>+SW_CE_CONTI!C81</f>
        <v>CANONE INTERNET E SOFTWARE</v>
      </c>
      <c r="D82" s="31" t="str">
        <f>+SW_CE_CONTI!D81</f>
        <v>SERVIZI</v>
      </c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>
        <v>0</v>
      </c>
    </row>
    <row r="83" ht="14.5">
      <c r="B83" s="31" t="str">
        <f>+SW_CE_CONTI!B82</f>
        <v>688000</v>
      </c>
      <c r="C83" s="31" t="str">
        <f>+SW_CE_CONTI!C82</f>
        <v>CANONE ASSISTENZA</v>
      </c>
      <c r="D83" s="31" t="str">
        <f>+SW_CE_CONTI!D82</f>
        <v>SERVIZI</v>
      </c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>
        <v>0</v>
      </c>
    </row>
    <row r="84" ht="14.5">
      <c r="B84" s="31" t="str">
        <f>+SW_CE_CONTI!B83</f>
        <v>689000</v>
      </c>
      <c r="C84" s="31" t="str">
        <f>+SW_CE_CONTI!C83</f>
        <v>ALTRI ACQUISTI DI MERCI E SIMILI</v>
      </c>
      <c r="D84" s="31" t="str">
        <f>+SW_CE_CONTI!D83</f>
        <v>MATERIE PRIME E MERCI</v>
      </c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>
        <v>0</v>
      </c>
    </row>
    <row r="85" ht="14.5">
      <c r="B85" s="31" t="str">
        <f>+SW_CE_CONTI!B84</f>
        <v>690000</v>
      </c>
      <c r="C85" s="31" t="str">
        <f>+SW_CE_CONTI!C84</f>
        <v>FITTI ATTIVI</v>
      </c>
      <c r="D85" s="31" t="str">
        <f>+SW_CE_CONTI!D84</f>
        <v>RICAVI</v>
      </c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>
        <v>0</v>
      </c>
    </row>
    <row r="86" ht="14.5">
      <c r="B86" s="31" t="str">
        <f>+SW_CE_CONTI!B85</f>
        <v>691000</v>
      </c>
      <c r="C86" s="31" t="str">
        <f>+SW_CE_CONTI!C85</f>
        <v>CONSULENZE AMM.VE</v>
      </c>
      <c r="D86" s="31" t="str">
        <f>+SW_CE_CONTI!D85</f>
        <v>SERVIZI</v>
      </c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>
        <v>40</v>
      </c>
    </row>
    <row r="87" ht="14.5">
      <c r="B87" s="31" t="str">
        <f>+SW_CE_CONTI!B86</f>
        <v>692000</v>
      </c>
      <c r="C87" s="31" t="str">
        <f>+SW_CE_CONTI!C86</f>
        <v>CONSULENZE TECNICHE</v>
      </c>
      <c r="D87" s="31" t="str">
        <f>+SW_CE_CONTI!D86</f>
        <v>SERVIZI</v>
      </c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>
        <v>0</v>
      </c>
    </row>
    <row r="88" ht="14.5">
      <c r="B88" s="31" t="str">
        <f>+SW_CE_CONTI!B87</f>
        <v>693000</v>
      </c>
      <c r="C88" s="31" t="str">
        <f>+SW_CE_CONTI!C87</f>
        <v>PLUSVALENZE ORDINARIE</v>
      </c>
      <c r="D88" s="31" t="str">
        <f>+SW_CE_CONTI!D87</f>
        <v>RICAVI</v>
      </c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>
        <v>0</v>
      </c>
    </row>
    <row r="89" ht="14.5">
      <c r="B89" s="31" t="str">
        <f>+SW_CE_CONTI!B88</f>
        <v>694000</v>
      </c>
      <c r="C89" s="31" t="str">
        <f>+SW_CE_CONTI!C88</f>
        <v>CANCELLERIA</v>
      </c>
      <c r="D89" s="31" t="str">
        <f>+SW_CE_CONTI!D88</f>
        <v>SERVIZI</v>
      </c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>
        <v>0</v>
      </c>
    </row>
    <row r="90" ht="14.5">
      <c r="B90" s="31" t="str">
        <f>+SW_CE_CONTI!B89</f>
        <v>695000</v>
      </c>
      <c r="C90" s="31" t="str">
        <f>+SW_CE_CONTI!C89</f>
        <v>MATERIALE PUBBLICITARIO</v>
      </c>
      <c r="D90" s="31" t="str">
        <f>+SW_CE_CONTI!D89</f>
        <v>SERVIZI</v>
      </c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>
        <v>0</v>
      </c>
    </row>
    <row r="91" ht="14.5">
      <c r="B91" s="31" t="str">
        <f>+SW_CE_CONTI!B90</f>
        <v>696000</v>
      </c>
      <c r="C91" s="31" t="str">
        <f>+SW_CE_CONTI!C90</f>
        <v>ALTRI COSTI PER SERVIZI</v>
      </c>
      <c r="D91" s="31" t="str">
        <f>+SW_CE_CONTI!D90</f>
        <v>SERVIZI</v>
      </c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>
        <v>33.640000000000001</v>
      </c>
    </row>
    <row r="92" ht="14.5">
      <c r="B92" s="31" t="str">
        <f>+SW_CE_CONTI!B91</f>
        <v>697000</v>
      </c>
      <c r="C92" s="31" t="str">
        <f>+SW_CE_CONTI!C91</f>
        <v xml:space="preserve">CARBURANTI E LUBRIFICANTI AUTOVETTURE </v>
      </c>
      <c r="D92" s="31" t="str">
        <f>+SW_CE_CONTI!D91</f>
        <v>SERVIZI</v>
      </c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>
        <v>1995.9400000000001</v>
      </c>
    </row>
    <row r="93" ht="14.5">
      <c r="B93" s="31" t="str">
        <f>+SW_CE_CONTI!B92</f>
        <v>698000</v>
      </c>
      <c r="C93" s="31" t="str">
        <f>+SW_CE_CONTI!C92</f>
        <v>CONTRIBUTI IN CONTO ESERCIZIO</v>
      </c>
      <c r="D93" s="31" t="str">
        <f>+SW_CE_CONTI!D92</f>
        <v>RICAVI</v>
      </c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>
        <v>0</v>
      </c>
    </row>
    <row r="94" ht="14.5">
      <c r="B94" s="31" t="str">
        <f>+SW_CE_CONTI!B93</f>
        <v>700000</v>
      </c>
      <c r="C94" s="31" t="str">
        <f>+SW_CE_CONTI!C93</f>
        <v>SPESE CONDOMINIALI E FACILITY</v>
      </c>
      <c r="D94" s="31" t="str">
        <f>+SW_CE_CONTI!D93</f>
        <v>GODIMENTO BENI TERZI</v>
      </c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>
        <v>280</v>
      </c>
    </row>
    <row r="95" ht="14.5">
      <c r="B95" s="31" t="str">
        <f>+SW_CE_CONTI!B94</f>
        <v>701000</v>
      </c>
      <c r="C95" s="31" t="str">
        <f>+SW_CE_CONTI!C94</f>
        <v>FITTI PASSIVI (BENI IMMOBILI)</v>
      </c>
      <c r="D95" s="31" t="str">
        <f>+SW_CE_CONTI!D94</f>
        <v>GODIMENTO BENI TERZI</v>
      </c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>
        <v>0</v>
      </c>
    </row>
    <row r="96" ht="14.5">
      <c r="B96" s="31" t="str">
        <f>+SW_CE_CONTI!B95</f>
        <v>702000</v>
      </c>
      <c r="C96" s="31" t="str">
        <f>+SW_CE_CONTI!C95</f>
        <v>CANONI AFFITTO D'AZIENDA</v>
      </c>
      <c r="D96" s="31" t="str">
        <f>+SW_CE_CONTI!D95</f>
        <v>GODIMENTO BENI TERZI</v>
      </c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>
        <v>0</v>
      </c>
    </row>
    <row r="97" ht="14.5">
      <c r="B97" s="31" t="str">
        <f>+SW_CE_CONTI!B96</f>
        <v>703000</v>
      </c>
      <c r="C97" s="31" t="str">
        <f>+SW_CE_CONTI!C96</f>
        <v>NOLEGGIO ATTREZZATURE</v>
      </c>
      <c r="D97" s="31" t="str">
        <f>+SW_CE_CONTI!D96</f>
        <v>GODIMENTO BENI TERZI</v>
      </c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>
        <v>0</v>
      </c>
    </row>
    <row r="98" ht="14.5">
      <c r="B98" s="31" t="str">
        <f>+SW_CE_CONTI!B97</f>
        <v>704000</v>
      </c>
      <c r="C98" s="31" t="str">
        <f>+SW_CE_CONTI!C97</f>
        <v>NOLEGGIO IMPIANTI</v>
      </c>
      <c r="D98" s="31" t="str">
        <f>+SW_CE_CONTI!D97</f>
        <v>GODIMENTO BENI TERZI</v>
      </c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>
        <v>0</v>
      </c>
    </row>
    <row r="99" ht="14.5">
      <c r="B99" s="31" t="str">
        <f>+SW_CE_CONTI!B98</f>
        <v>705000</v>
      </c>
      <c r="C99" s="31" t="str">
        <f>+SW_CE_CONTI!C98</f>
        <v>NOLEGGIO AUTO</v>
      </c>
      <c r="D99" s="31" t="str">
        <f>+SW_CE_CONTI!D98</f>
        <v>GODIMENTO BENI TERZI</v>
      </c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>
        <v>0</v>
      </c>
    </row>
    <row r="100" ht="14.5">
      <c r="B100" s="31" t="str">
        <f>+SW_CE_CONTI!B99</f>
        <v>706000</v>
      </c>
      <c r="C100" s="31" t="str">
        <f>+SW_CE_CONTI!C99</f>
        <v>ALTRI NOLEGGI</v>
      </c>
      <c r="D100" s="31" t="str">
        <f>+SW_CE_CONTI!D99</f>
        <v>GODIMENTO BENI TERZI</v>
      </c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>
        <v>0</v>
      </c>
    </row>
    <row r="101" ht="14.5">
      <c r="B101" s="31" t="str">
        <f>+SW_CE_CONTI!B100</f>
        <v>707000</v>
      </c>
      <c r="C101" s="31" t="str">
        <f>+SW_CE_CONTI!C100</f>
        <v>LOCAZIONI PASSIVI (ALTRE)</v>
      </c>
      <c r="D101" s="31" t="str">
        <f>+SW_CE_CONTI!D100</f>
        <v>GODIMENTO BENI TERZI</v>
      </c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>
        <v>0</v>
      </c>
    </row>
    <row r="102" ht="14.5">
      <c r="B102" s="31" t="str">
        <f>+SW_CE_CONTI!B101</f>
        <v>708000</v>
      </c>
      <c r="C102" s="31" t="str">
        <f>+SW_CE_CONTI!C101</f>
        <v>ONERI DIVERSI DI GESTIONE</v>
      </c>
      <c r="D102" s="31" t="str">
        <f>+SW_CE_CONTI!D101</f>
        <v>ONERI DIVERSI DI GESTIONE</v>
      </c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>
        <v>2453.4400000000001</v>
      </c>
    </row>
    <row r="103" ht="14.5">
      <c r="B103" s="31" t="str">
        <f>+SW_CE_CONTI!B102</f>
        <v>709000</v>
      </c>
      <c r="C103" s="31" t="str">
        <f>+SW_CE_CONTI!C102</f>
        <v>MINUSVALENZE ORDINARIE</v>
      </c>
      <c r="D103" s="31" t="str">
        <f>+SW_CE_CONTI!D102</f>
        <v>ONERI DIVERSI DI GESTIONE</v>
      </c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>
        <v>33004.400000000001</v>
      </c>
    </row>
    <row r="104" ht="14.5">
      <c r="B104" s="31" t="str">
        <f>+SW_CE_CONTI!B103</f>
        <v>710000</v>
      </c>
      <c r="C104" s="31" t="str">
        <f>+SW_CE_CONTI!C103</f>
        <v xml:space="preserve">CANONI DI LEASING </v>
      </c>
      <c r="D104" s="31" t="str">
        <f>+SW_CE_CONTI!D103</f>
        <v>GODIMENTO BENI TERZI</v>
      </c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>
        <v>0</v>
      </c>
    </row>
    <row r="105" ht="14.5">
      <c r="B105" s="31" t="str">
        <f>+SW_CE_CONTI!B104</f>
        <v>711000</v>
      </c>
      <c r="C105" s="31" t="str">
        <f>+SW_CE_CONTI!C104</f>
        <v>ALTRI COST.PER GOD.BENI DI TERZI</v>
      </c>
      <c r="D105" s="31" t="str">
        <f>+SW_CE_CONTI!D104</f>
        <v>GODIMENTO BENI TERZI</v>
      </c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>
        <v>0</v>
      </c>
    </row>
    <row r="106" ht="14.5">
      <c r="B106" s="31" t="str">
        <f>+SW_CE_CONTI!B105</f>
        <v>750000</v>
      </c>
      <c r="C106" s="31" t="str">
        <f>+SW_CE_CONTI!C105</f>
        <v>SALARI E STIPENDI</v>
      </c>
      <c r="D106" s="31" t="str">
        <f>+SW_CE_CONTI!D105</f>
        <v>COSTI PERSONALE</v>
      </c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>
        <v>60251.32</v>
      </c>
    </row>
    <row r="107" ht="14.5">
      <c r="B107" s="31" t="str">
        <f>+SW_CE_CONTI!B106</f>
        <v>751000</v>
      </c>
      <c r="C107" s="31" t="str">
        <f>+SW_CE_CONTI!C106</f>
        <v xml:space="preserve">STIP.AMM.SOCI </v>
      </c>
      <c r="D107" s="31" t="str">
        <f>+SW_CE_CONTI!D106</f>
        <v>COSTI PERSONALE</v>
      </c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>
        <v>0</v>
      </c>
    </row>
    <row r="108" ht="14.5">
      <c r="B108" s="31" t="str">
        <f>+SW_CE_CONTI!B107</f>
        <v>752000</v>
      </c>
      <c r="C108" s="31" t="str">
        <f>+SW_CE_CONTI!C107</f>
        <v>ONERI SOCIALI INPS</v>
      </c>
      <c r="D108" s="31" t="str">
        <f>+SW_CE_CONTI!D107</f>
        <v>COSTI PERSONALE</v>
      </c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>
        <v>19461.080000000002</v>
      </c>
    </row>
    <row r="109" ht="14.5">
      <c r="B109" s="31" t="str">
        <f>+SW_CE_CONTI!B108</f>
        <v>753000</v>
      </c>
      <c r="C109" s="31" t="str">
        <f>+SW_CE_CONTI!C108</f>
        <v>ONERI SOCIALI INAIL</v>
      </c>
      <c r="D109" s="31" t="str">
        <f>+SW_CE_CONTI!D108</f>
        <v>COSTI PERSONALE</v>
      </c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>
        <v>5227.8599999999997</v>
      </c>
    </row>
    <row r="110" ht="14.5">
      <c r="B110" s="31" t="str">
        <f>+SW_CE_CONTI!B109</f>
        <v>754000</v>
      </c>
      <c r="C110" s="31" t="str">
        <f>+SW_CE_CONTI!C109</f>
        <v>ALTRI ONERI SOCIALI</v>
      </c>
      <c r="D110" s="31" t="str">
        <f>+SW_CE_CONTI!D109</f>
        <v>COSTI PERSONALE</v>
      </c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>
        <v>317.63</v>
      </c>
    </row>
    <row r="111" ht="14.5">
      <c r="B111" s="31" t="str">
        <f>+SW_CE_CONTI!B110</f>
        <v>755000</v>
      </c>
      <c r="C111" s="31" t="str">
        <f>+SW_CE_CONTI!C110</f>
        <v>TFR</v>
      </c>
      <c r="D111" s="31" t="str">
        <f>+SW_CE_CONTI!D110</f>
        <v>COSTI PERSONALE</v>
      </c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>
        <v>0</v>
      </c>
    </row>
    <row r="112" ht="14.5">
      <c r="B112" s="31" t="str">
        <f>+SW_CE_CONTI!B111</f>
        <v>756000</v>
      </c>
      <c r="C112" s="31" t="str">
        <f>+SW_CE_CONTI!C111</f>
        <v>TRATTAMENTO DI QUIESC.E SIMILI</v>
      </c>
      <c r="D112" s="31" t="str">
        <f>+SW_CE_CONTI!D111</f>
        <v>COSTI PERSONALE</v>
      </c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>
        <v>0</v>
      </c>
    </row>
    <row r="113" ht="14.5">
      <c r="B113" s="31" t="str">
        <f>+SW_CE_CONTI!B112</f>
        <v>757000</v>
      </c>
      <c r="C113" s="31" t="str">
        <f>+SW_CE_CONTI!C112</f>
        <v>INDUMENTI DI LAVORO</v>
      </c>
      <c r="D113" s="31" t="str">
        <f>+SW_CE_CONTI!D112</f>
        <v>COSTI PERSONALE</v>
      </c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>
        <v>0</v>
      </c>
    </row>
    <row r="114" ht="14.5">
      <c r="B114" s="31" t="str">
        <f>+SW_CE_CONTI!B113</f>
        <v>758000</v>
      </c>
      <c r="C114" s="31" t="str">
        <f>+SW_CE_CONTI!C113</f>
        <v>ALTRI COSTI DEL PERSONALE</v>
      </c>
      <c r="D114" s="31" t="str">
        <f>+SW_CE_CONTI!D113</f>
        <v>COSTI PERSONALE</v>
      </c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>
        <v>0</v>
      </c>
    </row>
    <row r="115" ht="14.5">
      <c r="B115" s="31" t="str">
        <f>+SW_CE_CONTI!B114</f>
        <v>770000</v>
      </c>
      <c r="C115" s="31" t="str">
        <f>+SW_CE_CONTI!C114</f>
        <v>AMM.TO COSTI D'IMPIANTO</v>
      </c>
      <c r="D115" s="31" t="str">
        <f>+SW_CE_CONTI!D114</f>
        <v>AMMORTAMENTI IMMATERIALI</v>
      </c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>
        <v>0</v>
      </c>
    </row>
    <row r="116" ht="14.5">
      <c r="B116" s="31" t="str">
        <f>+SW_CE_CONTI!B115</f>
        <v>771000</v>
      </c>
      <c r="C116" s="31" t="str">
        <f>+SW_CE_CONTI!C115</f>
        <v>AMM.TO COSTI DI AMPLIAMENTO</v>
      </c>
      <c r="D116" s="31" t="str">
        <f>+SW_CE_CONTI!D115</f>
        <v>AMMORTAMENTI IMMATERIALI</v>
      </c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>
        <v>0</v>
      </c>
    </row>
    <row r="117" ht="14.5">
      <c r="B117" s="31" t="str">
        <f>+SW_CE_CONTI!B116</f>
        <v>772000</v>
      </c>
      <c r="C117" s="31" t="str">
        <f>+SW_CE_CONTI!C116</f>
        <v>AMM.TO COSTI RIC. SVIL. PUBBL.</v>
      </c>
      <c r="D117" s="31" t="str">
        <f>+SW_CE_CONTI!D116</f>
        <v>AMMORTAMENTI IMMATERIALI</v>
      </c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>
        <v>0</v>
      </c>
    </row>
    <row r="118" ht="14.5">
      <c r="B118" s="31" t="str">
        <f>+SW_CE_CONTI!B117</f>
        <v>773000</v>
      </c>
      <c r="C118" s="31" t="str">
        <f>+SW_CE_CONTI!C117</f>
        <v>AMM.TO COSTI DI SVILUPPO</v>
      </c>
      <c r="D118" s="31" t="str">
        <f>+SW_CE_CONTI!D117</f>
        <v>AMMORTAMENTI IMMATERIALI</v>
      </c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>
        <v>0</v>
      </c>
    </row>
    <row r="119" ht="14.5">
      <c r="B119" s="31" t="str">
        <f>+SW_CE_CONTI!B118</f>
        <v>774000</v>
      </c>
      <c r="C119" s="31" t="str">
        <f>+SW_CE_CONTI!C118</f>
        <v>AMM.TO DIRITTI DI BREVETTO</v>
      </c>
      <c r="D119" s="31" t="str">
        <f>+SW_CE_CONTI!D118</f>
        <v>AMMORTAMENTI IMMATERIALI</v>
      </c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>
        <v>0</v>
      </c>
    </row>
    <row r="120" ht="14.5">
      <c r="B120" s="31" t="str">
        <f>+SW_CE_CONTI!B119</f>
        <v>775000</v>
      </c>
      <c r="C120" s="31" t="str">
        <f>+SW_CE_CONTI!C119</f>
        <v>AMM.TO DIR.DI UTIL.DELLE OP.ING.</v>
      </c>
      <c r="D120" s="31" t="str">
        <f>+SW_CE_CONTI!D119</f>
        <v>AMMORTAMENTI IMMATERIALI</v>
      </c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>
        <v>0</v>
      </c>
    </row>
    <row r="121" ht="14.5">
      <c r="B121" s="31" t="str">
        <f>+SW_CE_CONTI!B120</f>
        <v>776000</v>
      </c>
      <c r="C121" s="31" t="str">
        <f>+SW_CE_CONTI!C120</f>
        <v>AMM.TO LIC.USO SOFT.A TEMP.IND.</v>
      </c>
      <c r="D121" s="31" t="str">
        <f>+SW_CE_CONTI!D120</f>
        <v>AMMORTAMENTI IMMATERIALI</v>
      </c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>
        <v>0</v>
      </c>
    </row>
    <row r="122" ht="14.5">
      <c r="B122" s="31" t="str">
        <f>+SW_CE_CONTI!B121</f>
        <v>777000</v>
      </c>
      <c r="C122" s="31" t="str">
        <f>+SW_CE_CONTI!C121</f>
        <v>AMM.TO CONC.,LIC.E DIRITTI SIM.</v>
      </c>
      <c r="D122" s="31" t="str">
        <f>+SW_CE_CONTI!D121</f>
        <v>AMMORTAMENTI IMMATERIALI</v>
      </c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>
        <v>0</v>
      </c>
    </row>
    <row r="123" ht="14.5">
      <c r="B123" s="31" t="str">
        <f>+SW_CE_CONTI!B122</f>
        <v>778000</v>
      </c>
      <c r="C123" s="31" t="str">
        <f>+SW_CE_CONTI!C122</f>
        <v>AMM.TO MARCHI DI FABB.E DI COMM.</v>
      </c>
      <c r="D123" s="31" t="str">
        <f>+SW_CE_CONTI!D122</f>
        <v>AMMORTAMENTI IMMATERIALI</v>
      </c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>
        <v>0</v>
      </c>
    </row>
    <row r="124" ht="14.5">
      <c r="B124" s="31" t="str">
        <f>+SW_CE_CONTI!B123</f>
        <v>779000</v>
      </c>
      <c r="C124" s="31" t="str">
        <f>+SW_CE_CONTI!C123</f>
        <v>AMMORTAMENTO MARCHI INDEDUCIBILE</v>
      </c>
      <c r="D124" s="31" t="str">
        <f>+SW_CE_CONTI!D123</f>
        <v>AMMORTAMENTI IMMATERIALI</v>
      </c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>
        <v>0</v>
      </c>
    </row>
    <row r="125" ht="14.5">
      <c r="B125" s="31" t="str">
        <f>+SW_CE_CONTI!B124</f>
        <v>780000</v>
      </c>
      <c r="C125" s="31" t="str">
        <f>+SW_CE_CONTI!C124</f>
        <v>AMM.TO LIC.USO SOFT.A TEMP.DET.</v>
      </c>
      <c r="D125" s="31" t="str">
        <f>+SW_CE_CONTI!D124</f>
        <v>AMMORTAMENTI IMMATERIALI</v>
      </c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>
        <v>0</v>
      </c>
    </row>
    <row r="126" ht="14.5">
      <c r="B126" s="31" t="str">
        <f>+SW_CE_CONTI!B125</f>
        <v>781000</v>
      </c>
      <c r="C126" s="31" t="str">
        <f>+SW_CE_CONTI!C125</f>
        <v>AMM.TO AVVIAMENTO</v>
      </c>
      <c r="D126" s="31" t="str">
        <f>+SW_CE_CONTI!D125</f>
        <v>AMMORTAMENTI IMMATERIALI</v>
      </c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>
        <v>0</v>
      </c>
    </row>
    <row r="127" ht="14.5">
      <c r="B127" s="31" t="str">
        <f>+SW_CE_CONTI!B126</f>
        <v>782000</v>
      </c>
      <c r="C127" s="31" t="str">
        <f>+SW_CE_CONTI!C126</f>
        <v>AMM.TO ALTRE IMM.IMMATERIALI</v>
      </c>
      <c r="D127" s="31" t="str">
        <f>+SW_CE_CONTI!D126</f>
        <v>AMMORTAMENTI IMMATERIALI</v>
      </c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>
        <v>0</v>
      </c>
    </row>
    <row r="128" ht="14.5">
      <c r="B128" s="31" t="str">
        <f>+SW_CE_CONTI!B127</f>
        <v>790000</v>
      </c>
      <c r="C128" s="31" t="str">
        <f>+SW_CE_CONTI!C127</f>
        <v>AMM.TO ORDINARIO TERRENI</v>
      </c>
      <c r="D128" s="31" t="str">
        <f>+SW_CE_CONTI!D127</f>
        <v>AMMORTAMENTI MATERIALI</v>
      </c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>
        <v>0</v>
      </c>
    </row>
    <row r="129" ht="14.5">
      <c r="B129" s="31" t="str">
        <f>+SW_CE_CONTI!B128</f>
        <v>791000</v>
      </c>
      <c r="C129" s="31" t="str">
        <f>+SW_CE_CONTI!C128</f>
        <v xml:space="preserve">AMM.TO ORD.FABBRICATI </v>
      </c>
      <c r="D129" s="31" t="str">
        <f>+SW_CE_CONTI!D128</f>
        <v>AMMORTAMENTI MATERIALI</v>
      </c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>
        <v>0</v>
      </c>
    </row>
    <row r="130" ht="14.5">
      <c r="B130" s="31" t="str">
        <f>+SW_CE_CONTI!B129</f>
        <v>792000</v>
      </c>
      <c r="C130" s="31" t="str">
        <f>+SW_CE_CONTI!C129</f>
        <v>AMM.TO IMPIANTI E MACCHINARIO</v>
      </c>
      <c r="D130" s="31" t="str">
        <f>+SW_CE_CONTI!D129</f>
        <v>AMMORTAMENTI MATERIALI</v>
      </c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>
        <v>0</v>
      </c>
    </row>
    <row r="131" ht="14.5">
      <c r="B131" s="31" t="str">
        <f>+SW_CE_CONTI!B130</f>
        <v>793000</v>
      </c>
      <c r="C131" s="31" t="str">
        <f>+SW_CE_CONTI!C130</f>
        <v>AMM.TO ATTREZ. IND.LI E COMM.LI</v>
      </c>
      <c r="D131" s="31" t="str">
        <f>+SW_CE_CONTI!D130</f>
        <v>AMMORTAMENTI MATERIALI</v>
      </c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>
        <v>0</v>
      </c>
    </row>
    <row r="132" ht="14.5">
      <c r="B132" s="31" t="str">
        <f>+SW_CE_CONTI!B131</f>
        <v>794000</v>
      </c>
      <c r="C132" s="31" t="str">
        <f>+SW_CE_CONTI!C131</f>
        <v>AMM.TO MOBILI E MACCHINE D'UFF.</v>
      </c>
      <c r="D132" s="31" t="str">
        <f>+SW_CE_CONTI!D131</f>
        <v>AMMORTAMENTI MATERIALI</v>
      </c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>
        <v>0</v>
      </c>
    </row>
    <row r="133" ht="14.5">
      <c r="B133" s="31" t="str">
        <f>+SW_CE_CONTI!B132</f>
        <v>795000</v>
      </c>
      <c r="C133" s="31" t="str">
        <f>+SW_CE_CONTI!C132</f>
        <v>AMM.TO AUTOMEZZI (ALTRI BENI)</v>
      </c>
      <c r="D133" s="31" t="str">
        <f>+SW_CE_CONTI!D132</f>
        <v>AMMORTAMENTI MATERIALI</v>
      </c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>
        <v>0</v>
      </c>
    </row>
    <row r="134" ht="14.5">
      <c r="B134" s="31" t="str">
        <f>+SW_CE_CONTI!B133</f>
        <v>796000</v>
      </c>
      <c r="C134" s="31" t="str">
        <f>+SW_CE_CONTI!C133</f>
        <v>AMM.TO ALTRI BENI MATERIALI</v>
      </c>
      <c r="D134" s="31" t="str">
        <f>+SW_CE_CONTI!D133</f>
        <v>AMMORTAMENTI MATERIALI</v>
      </c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>
        <v>0</v>
      </c>
    </row>
    <row r="135" ht="14.5">
      <c r="B135" s="31" t="str">
        <f>+SW_CE_CONTI!B134</f>
        <v>800000</v>
      </c>
      <c r="C135" s="31" t="str">
        <f>+SW_CE_CONTI!C134</f>
        <v>ACCANTONAMENTO PER RISCHI CREDITI</v>
      </c>
      <c r="D135" s="31" t="str">
        <f>+SW_CE_CONTI!D134</f>
        <v>ACCANTONAMENTI</v>
      </c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>
        <v>0</v>
      </c>
    </row>
    <row r="136" ht="14.5">
      <c r="B136" s="31" t="str">
        <f>+SW_CE_CONTI!B135</f>
        <v>801000</v>
      </c>
      <c r="C136" s="31" t="str">
        <f>+SW_CE_CONTI!C135</f>
        <v>ALTRI ACCANTONAMENTI</v>
      </c>
      <c r="D136" s="31" t="str">
        <f>+SW_CE_CONTI!D135</f>
        <v>ACCANTONAMENTI</v>
      </c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>
        <v>0</v>
      </c>
    </row>
    <row r="137" ht="14.5">
      <c r="B137" s="31" t="str">
        <f>+SW_CE_CONTI!B136</f>
        <v>810000</v>
      </c>
      <c r="C137" s="31" t="str">
        <f>+SW_CE_CONTI!C136</f>
        <v>IMPOSTE INDIRETTE TASSE E IMPOSTE</v>
      </c>
      <c r="D137" s="31" t="str">
        <f>+SW_CE_CONTI!D136</f>
        <v>ONERI DIVERSI DI GESTIONE</v>
      </c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>
        <v>1658.7000000000001</v>
      </c>
    </row>
    <row r="138" ht="14.5">
      <c r="B138" s="31" t="str">
        <f>+SW_CE_CONTI!B137</f>
        <v>811000</v>
      </c>
      <c r="C138" s="31" t="str">
        <f>+SW_CE_CONTI!C137</f>
        <v>ALTRI ONERI DIVERSI DI GESTIONE</v>
      </c>
      <c r="D138" s="31" t="str">
        <f>+SW_CE_CONTI!D137</f>
        <v>ONERI DIVERSI DI GESTIONE</v>
      </c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>
        <v>14.9</v>
      </c>
    </row>
    <row r="139" ht="14.5">
      <c r="B139" s="31" t="str">
        <f>+SW_CE_CONTI!B138</f>
        <v>820000</v>
      </c>
      <c r="C139" s="31" t="str">
        <f>+SW_CE_CONTI!C138</f>
        <v>PROVENTI STRAORDINARI</v>
      </c>
      <c r="D139" s="31" t="str">
        <f>+SW_CE_CONTI!D138</f>
        <v>PROVENTI STRAORDINARI</v>
      </c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>
        <v>0</v>
      </c>
    </row>
    <row r="140" ht="14.5">
      <c r="B140" s="31" t="str">
        <f>+SW_CE_CONTI!B139</f>
        <v>821000</v>
      </c>
      <c r="C140" s="31" t="str">
        <f>+SW_CE_CONTI!C139</f>
        <v>RIVALUTAZIONI</v>
      </c>
      <c r="D140" s="31" t="str">
        <f>+SW_CE_CONTI!D139</f>
        <v>PROVENTI STRAORDINARI</v>
      </c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>
        <v>0</v>
      </c>
    </row>
    <row r="141" ht="14.5">
      <c r="B141" s="31" t="str">
        <f>+SW_CE_CONTI!B140</f>
        <v>822000</v>
      </c>
      <c r="C141" s="31" t="str">
        <f>+SW_CE_CONTI!C140</f>
        <v>PLUSVALENZE STRAORDINARIE</v>
      </c>
      <c r="D141" s="31" t="str">
        <f>+SW_CE_CONTI!D140</f>
        <v>PROVENTI STRAORDINARI</v>
      </c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>
        <v>0</v>
      </c>
    </row>
    <row r="142" ht="14.5">
      <c r="B142" s="31" t="str">
        <f>+SW_CE_CONTI!B141</f>
        <v>823000</v>
      </c>
      <c r="C142" s="31" t="str">
        <f>+SW_CE_CONTI!C141</f>
        <v>SOPRAVVENIENZE ORDINARIE</v>
      </c>
      <c r="D142" s="31" t="str">
        <f>+SW_CE_CONTI!D141</f>
        <v>RICAVI</v>
      </c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>
        <v>-10168.67</v>
      </c>
    </row>
    <row r="143" ht="14.5">
      <c r="B143" s="31" t="str">
        <f>+SW_CE_CONTI!B142</f>
        <v>824000</v>
      </c>
      <c r="C143" s="31" t="str">
        <f>+SW_CE_CONTI!C142</f>
        <v>ALTRI RICAVI E PROVENTI DIVERSI DALLE VENDITE E PRESTAZIONI</v>
      </c>
      <c r="D143" s="31" t="str">
        <f>+SW_CE_CONTI!D142</f>
        <v>PROVENTI STRAORDINARI</v>
      </c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>
        <v>0</v>
      </c>
    </row>
    <row r="144" ht="14.5">
      <c r="B144" s="31" t="str">
        <f>+SW_CE_CONTI!B143</f>
        <v>825000</v>
      </c>
      <c r="C144" s="31" t="str">
        <f>+SW_CE_CONTI!C143</f>
        <v>CONTRIBUTI IN CONTO IMPIANTI</v>
      </c>
      <c r="D144" s="31" t="str">
        <f>+SW_CE_CONTI!D143</f>
        <v>RICAVI</v>
      </c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>
        <v>0</v>
      </c>
    </row>
    <row r="145" ht="14.5">
      <c r="B145" s="31" t="str">
        <f>+SW_CE_CONTI!B144</f>
        <v>830000</v>
      </c>
      <c r="C145" s="31" t="str">
        <f>+SW_CE_CONTI!C144</f>
        <v>ONERI STRAORDINARI</v>
      </c>
      <c r="D145" s="31" t="str">
        <f>+SW_CE_CONTI!D144</f>
        <v>ONERI STRAORDINARI</v>
      </c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>
        <v>0</v>
      </c>
    </row>
    <row r="146" ht="14.5">
      <c r="B146" s="31" t="str">
        <f>+SW_CE_CONTI!B145</f>
        <v>831000</v>
      </c>
      <c r="C146" s="31" t="str">
        <f>+SW_CE_CONTI!C145</f>
        <v>ALTRI ONERI STRAORDINARI</v>
      </c>
      <c r="D146" s="31" t="str">
        <f>+SW_CE_CONTI!D145</f>
        <v>ONERI STRAORDINARI</v>
      </c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>
        <v>0</v>
      </c>
    </row>
    <row r="147" ht="14.5">
      <c r="B147" s="31" t="str">
        <f>+SW_CE_CONTI!B146</f>
        <v>832000</v>
      </c>
      <c r="C147" s="31" t="str">
        <f>+SW_CE_CONTI!C146</f>
        <v>MINUSVALENZE STRAORDINARIE</v>
      </c>
      <c r="D147" s="31" t="str">
        <f>+SW_CE_CONTI!D146</f>
        <v>ONERI STRAORDINARI</v>
      </c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>
        <v>0</v>
      </c>
    </row>
    <row r="148" ht="14.5">
      <c r="B148" s="31" t="str">
        <f>+SW_CE_CONTI!B147</f>
        <v>833000</v>
      </c>
      <c r="C148" s="31" t="str">
        <f>+SW_CE_CONTI!C147</f>
        <v>SOPRAVVENIENZE PASSIVE</v>
      </c>
      <c r="D148" s="31" t="str">
        <f>+SW_CE_CONTI!D147</f>
        <v>ONERI DIVERSI DI GESTIONE</v>
      </c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>
        <v>0</v>
      </c>
    </row>
    <row r="149" ht="14.5">
      <c r="B149" s="31" t="str">
        <f>+SW_CE_CONTI!B148</f>
        <v>834000</v>
      </c>
      <c r="C149" s="31" t="str">
        <f>+SW_CE_CONTI!C148</f>
        <v>PERDITE SU CREDITI</v>
      </c>
      <c r="D149" s="31" t="str">
        <f>+SW_CE_CONTI!D148</f>
        <v>ONERI DIVERSI DI GESTIONE</v>
      </c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>
        <v>0</v>
      </c>
    </row>
    <row r="150" ht="14.5">
      <c r="B150" s="31" t="str">
        <f>+SW_CE_CONTI!B149</f>
        <v>835000</v>
      </c>
      <c r="C150" s="31" t="str">
        <f>+SW_CE_CONTI!C149</f>
        <v>SVALUTAZIONE MAGAZZINO</v>
      </c>
      <c r="D150" s="31" t="str">
        <f>+SW_CE_CONTI!D149</f>
        <v>ONERI STRAORDINARI</v>
      </c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>
        <v>0</v>
      </c>
    </row>
    <row r="151" ht="14.5">
      <c r="B151" s="31" t="str">
        <f>+SW_CE_CONTI!B150</f>
        <v>836000</v>
      </c>
      <c r="C151" s="31" t="str">
        <f>+SW_CE_CONTI!C150</f>
        <v>SVALUTAZIONE CREDITI FINANZIARI</v>
      </c>
      <c r="D151" s="31" t="str">
        <f>+SW_CE_CONTI!D150</f>
        <v>ONERI STRAORDINARI</v>
      </c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>
        <v>0</v>
      </c>
    </row>
    <row r="152" ht="14.5">
      <c r="B152" s="31" t="str">
        <f>+SW_CE_CONTI!B151</f>
        <v>837000</v>
      </c>
      <c r="C152" s="31" t="str">
        <f>+SW_CE_CONTI!C151</f>
        <v>ALTRE SVALUTAZIONI</v>
      </c>
      <c r="D152" s="31" t="str">
        <f>+SW_CE_CONTI!D151</f>
        <v>ONERI STRAORDINARI</v>
      </c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>
        <v>0</v>
      </c>
    </row>
    <row r="153" ht="14.5">
      <c r="B153" s="31" t="str">
        <f>+SW_CE_CONTI!B152</f>
        <v>840000</v>
      </c>
      <c r="C153" s="31" t="str">
        <f>+SW_CE_CONTI!C152</f>
        <v>PROVENTI DA PARTECIPAZIONI</v>
      </c>
      <c r="D153" s="31" t="str">
        <f>+SW_CE_CONTI!D152</f>
        <v>PROVENTI FINANZIARI</v>
      </c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>
        <v>0</v>
      </c>
    </row>
    <row r="154" ht="14.5">
      <c r="B154" s="31" t="str">
        <f>+SW_CE_CONTI!B153</f>
        <v>841000</v>
      </c>
      <c r="C154" s="31" t="str">
        <f>+SW_CE_CONTI!C153</f>
        <v>INTERESSI ATTIVI FINANZIARI</v>
      </c>
      <c r="D154" s="31" t="str">
        <f>+SW_CE_CONTI!D153</f>
        <v>PROVENTI FINANZIARI</v>
      </c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>
        <v>0</v>
      </c>
    </row>
    <row r="155" ht="14.5">
      <c r="B155" s="31" t="str">
        <f>+SW_CE_CONTI!B154</f>
        <v>842000</v>
      </c>
      <c r="C155" s="31" t="str">
        <f>+SW_CE_CONTI!C154</f>
        <v>UTILI SU CAMBI</v>
      </c>
      <c r="D155" s="31" t="str">
        <f>+SW_CE_CONTI!D154</f>
        <v>PROVENTI FINANZIARI</v>
      </c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>
        <v>0</v>
      </c>
    </row>
    <row r="156" ht="14.5">
      <c r="B156" s="31" t="str">
        <f>+SW_CE_CONTI!B155</f>
        <v>843000</v>
      </c>
      <c r="C156" s="31" t="str">
        <f>+SW_CE_CONTI!C155</f>
        <v>ALTRI PROVENTI FINANZIARI</v>
      </c>
      <c r="D156" s="31" t="str">
        <f>+SW_CE_CONTI!D155</f>
        <v>PROVENTI FINANZIARI</v>
      </c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>
        <v>-19.920000000000002</v>
      </c>
    </row>
    <row r="157" ht="14.5">
      <c r="B157" s="31" t="str">
        <f>+SW_CE_CONTI!B156</f>
        <v>850000</v>
      </c>
      <c r="C157" s="31" t="str">
        <f>+SW_CE_CONTI!C156</f>
        <v>INTERESSI PASSIVI C/C Bancari</v>
      </c>
      <c r="D157" s="31" t="str">
        <f>+SW_CE_CONTI!D156</f>
        <v>ONERI FINANZIARI</v>
      </c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>
        <v>5350.1700000000001</v>
      </c>
    </row>
    <row r="158" ht="14.5">
      <c r="B158" s="31" t="str">
        <f>+SW_CE_CONTI!B157</f>
        <v>851000</v>
      </c>
      <c r="C158" s="31" t="str">
        <f>+SW_CE_CONTI!C157</f>
        <v>INTERESSI PASSIVI Mutui e Finanziamenti</v>
      </c>
      <c r="D158" s="31" t="str">
        <f>+SW_CE_CONTI!D157</f>
        <v>ONERI FINANZIARI</v>
      </c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>
        <v>5381.75</v>
      </c>
    </row>
    <row r="159" ht="14.5">
      <c r="B159" s="31" t="str">
        <f>+SW_CE_CONTI!B158</f>
        <v>852000</v>
      </c>
      <c r="C159" s="31" t="str">
        <f>+SW_CE_CONTI!C158</f>
        <v>PERDITE SU CAMBI</v>
      </c>
      <c r="D159" s="31" t="str">
        <f>+SW_CE_CONTI!D158</f>
        <v>ONERI FINANZIARI</v>
      </c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>
        <v>0</v>
      </c>
    </row>
    <row r="160" ht="14.5">
      <c r="B160" s="31" t="str">
        <f>+SW_CE_CONTI!B159</f>
        <v>853000</v>
      </c>
      <c r="C160" s="31" t="str">
        <f>+SW_CE_CONTI!C159</f>
        <v>MULTE, AMMENDE E SANZIONI</v>
      </c>
      <c r="D160" s="31" t="str">
        <f>+SW_CE_CONTI!D159</f>
        <v>ONERI STRAORDINARI</v>
      </c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>
        <v>0</v>
      </c>
    </row>
    <row r="161" ht="14.5">
      <c r="B161" s="31" t="str">
        <f>+SW_CE_CONTI!B160</f>
        <v>854000</v>
      </c>
      <c r="C161" s="31" t="str">
        <f>+SW_CE_CONTI!C160</f>
        <v>ALTRI ONERI FINANZIARI</v>
      </c>
      <c r="D161" s="31" t="str">
        <f>+SW_CE_CONTI!D160</f>
        <v>ONERI FINANZIARI</v>
      </c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>
        <v>0</v>
      </c>
    </row>
    <row r="162" ht="14.5">
      <c r="B162" s="31" t="str">
        <f>+SW_CE_CONTI!B161</f>
        <v>860000</v>
      </c>
      <c r="C162" s="31" t="str">
        <f>+SW_CE_CONTI!C161</f>
        <v>ALTRE IMPOSTE (IRPEF)</v>
      </c>
      <c r="D162" s="31" t="str">
        <f>+SW_CE_CONTI!D161</f>
        <v>IMPOSTE</v>
      </c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>
        <v>0</v>
      </c>
    </row>
    <row r="163" ht="14.5">
      <c r="B163" s="31" t="str">
        <f>+SW_CE_CONTI!B162</f>
        <v>861000</v>
      </c>
      <c r="C163" s="31" t="str">
        <f>+SW_CE_CONTI!C162</f>
        <v>IRAP DELL'ESERCIZIO</v>
      </c>
      <c r="D163" s="31" t="str">
        <f>+SW_CE_CONTI!D162</f>
        <v>IMPOSTE</v>
      </c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>
        <v>0</v>
      </c>
    </row>
    <row r="164" ht="14.5">
      <c r="B164" s="31" t="str">
        <f>+SW_CE_CONTI!B163</f>
        <v>862000</v>
      </c>
      <c r="C164" s="31" t="str">
        <f>+SW_CE_CONTI!C163</f>
        <v>IRES DELL'ESERCIZIO</v>
      </c>
      <c r="D164" s="31" t="str">
        <f>+SW_CE_CONTI!D163</f>
        <v>IMPOSTE</v>
      </c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>
        <v>0</v>
      </c>
    </row>
    <row r="165" ht="14.5">
      <c r="B165" s="31">
        <f>+SW_CE_CONTI!B164</f>
        <v>0</v>
      </c>
      <c r="C165" s="31">
        <f>+SW_CE_CONTI!C164</f>
        <v>0</v>
      </c>
      <c r="D165" s="31">
        <f>+SW_CE_CONTI!D164</f>
        <v>0</v>
      </c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</row>
    <row r="166" ht="14.5">
      <c r="B166" s="31">
        <f>+SW_CE_CONTI!B165</f>
        <v>0</v>
      </c>
      <c r="C166" s="31">
        <f>+SW_CE_CONTI!C165</f>
        <v>0</v>
      </c>
      <c r="D166" s="31">
        <f>+SW_CE_CONTI!D165</f>
        <v>0</v>
      </c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</row>
    <row r="167" ht="14.5">
      <c r="B167" s="31">
        <f>+SW_CE_CONTI!B166</f>
        <v>0</v>
      </c>
      <c r="C167" s="31">
        <f>+SW_CE_CONTI!C166</f>
        <v>0</v>
      </c>
      <c r="D167" s="31">
        <f>+SW_CE_CONTI!D166</f>
        <v>0</v>
      </c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</row>
    <row r="168" ht="14.5">
      <c r="B168" s="31">
        <f>+SW_CE_CONTI!B167</f>
        <v>0</v>
      </c>
      <c r="C168" s="31">
        <f>+SW_CE_CONTI!C167</f>
        <v>0</v>
      </c>
      <c r="D168" s="31">
        <f>+SW_CE_CONTI!D167</f>
        <v>0</v>
      </c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</row>
    <row r="169" ht="14.5">
      <c r="B169" s="31">
        <f>+SW_CE_CONTI!B168</f>
        <v>0</v>
      </c>
      <c r="C169" s="31">
        <f>+SW_CE_CONTI!C168</f>
        <v>0</v>
      </c>
      <c r="D169" s="31">
        <f>+SW_CE_CONTI!D168</f>
        <v>0</v>
      </c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</row>
    <row r="170" ht="14.5">
      <c r="B170" s="31">
        <f>+SW_CE_CONTI!B169</f>
        <v>0</v>
      </c>
      <c r="C170" s="31">
        <f>+SW_CE_CONTI!C169</f>
        <v>0</v>
      </c>
      <c r="D170" s="31">
        <f>+SW_CE_CONTI!D169</f>
        <v>0</v>
      </c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</row>
    <row r="171" ht="14.5">
      <c r="B171" s="31">
        <f>+SW_CE_CONTI!B170</f>
        <v>0</v>
      </c>
      <c r="C171" s="31">
        <f>+SW_CE_CONTI!C170</f>
        <v>0</v>
      </c>
      <c r="D171" s="31">
        <f>+SW_CE_CONTI!D170</f>
        <v>0</v>
      </c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</row>
    <row r="172" ht="14.5">
      <c r="B172" s="31">
        <f>+SW_CE_CONTI!B171</f>
        <v>0</v>
      </c>
      <c r="C172" s="31">
        <f>+SW_CE_CONTI!C171</f>
        <v>0</v>
      </c>
      <c r="D172" s="31">
        <f>+SW_CE_CONTI!D171</f>
        <v>0</v>
      </c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</row>
    <row r="173" ht="14.5">
      <c r="B173" s="31">
        <f>+SW_CE_CONTI!B172</f>
        <v>0</v>
      </c>
      <c r="C173" s="31">
        <f>+SW_CE_CONTI!C172</f>
        <v>0</v>
      </c>
      <c r="D173" s="31">
        <f>+SW_CE_CONTI!D172</f>
        <v>0</v>
      </c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</row>
    <row r="174" ht="14.5">
      <c r="B174" s="31">
        <f>+SW_CE_CONTI!B173</f>
        <v>0</v>
      </c>
      <c r="C174" s="31">
        <f>+SW_CE_CONTI!C173</f>
        <v>0</v>
      </c>
      <c r="D174" s="31">
        <f>+SW_CE_CONTI!D173</f>
        <v>0</v>
      </c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</row>
    <row r="175" ht="14.5">
      <c r="B175" s="31">
        <f>+SW_CE_CONTI!B174</f>
        <v>0</v>
      </c>
      <c r="C175" s="31">
        <f>+SW_CE_CONTI!C174</f>
        <v>0</v>
      </c>
      <c r="D175" s="31">
        <f>+SW_CE_CONTI!D174</f>
        <v>0</v>
      </c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</row>
    <row r="176" ht="14.5">
      <c r="B176" s="31">
        <f>+SW_CE_CONTI!B175</f>
        <v>0</v>
      </c>
      <c r="C176" s="31">
        <f>+SW_CE_CONTI!C175</f>
        <v>0</v>
      </c>
      <c r="D176" s="31">
        <f>+SW_CE_CONTI!D175</f>
        <v>0</v>
      </c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</row>
    <row r="177" ht="14.5">
      <c r="B177" s="31">
        <f>+SW_CE_CONTI!B176</f>
        <v>0</v>
      </c>
      <c r="C177" s="31">
        <f>+SW_CE_CONTI!C176</f>
        <v>0</v>
      </c>
      <c r="D177" s="31">
        <f>+SW_CE_CONTI!D176</f>
        <v>0</v>
      </c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</row>
    <row r="178" ht="14.5">
      <c r="B178" s="31">
        <f>+SW_CE_CONTI!B177</f>
        <v>0</v>
      </c>
      <c r="C178" s="31">
        <f>+SW_CE_CONTI!C177</f>
        <v>0</v>
      </c>
      <c r="D178" s="31">
        <f>+SW_CE_CONTI!D177</f>
        <v>0</v>
      </c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</row>
    <row r="179" ht="14.5">
      <c r="B179" s="31">
        <f>+SW_CE_CONTI!B178</f>
        <v>0</v>
      </c>
      <c r="C179" s="31">
        <f>+SW_CE_CONTI!C178</f>
        <v>0</v>
      </c>
      <c r="D179" s="31">
        <f>+SW_CE_CONTI!D178</f>
        <v>0</v>
      </c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</row>
    <row r="180" ht="14.5">
      <c r="B180" s="31">
        <f>+SW_CE_CONTI!B179</f>
        <v>0</v>
      </c>
      <c r="C180" s="31">
        <f>+SW_CE_CONTI!C179</f>
        <v>0</v>
      </c>
      <c r="D180" s="31">
        <f>+SW_CE_CONTI!D179</f>
        <v>0</v>
      </c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</row>
    <row r="181" ht="14.5">
      <c r="B181" s="31">
        <f>+SW_CE_CONTI!B180</f>
        <v>0</v>
      </c>
      <c r="C181" s="31">
        <f>+SW_CE_CONTI!C180</f>
        <v>0</v>
      </c>
      <c r="D181" s="31">
        <f>+SW_CE_CONTI!D180</f>
        <v>0</v>
      </c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</row>
    <row r="182" ht="14.5">
      <c r="B182" s="31">
        <f>+SW_CE_CONTI!B181</f>
        <v>0</v>
      </c>
      <c r="C182" s="31">
        <f>+SW_CE_CONTI!C181</f>
        <v>0</v>
      </c>
      <c r="D182" s="31">
        <f>+SW_CE_CONTI!D181</f>
        <v>0</v>
      </c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</row>
    <row r="183" ht="14.5">
      <c r="B183" s="31">
        <f>+SW_CE_CONTI!B182</f>
        <v>0</v>
      </c>
      <c r="C183" s="31">
        <f>+SW_CE_CONTI!C182</f>
        <v>0</v>
      </c>
      <c r="D183" s="31">
        <f>+SW_CE_CONTI!D182</f>
        <v>0</v>
      </c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</row>
    <row r="184" ht="14.5">
      <c r="B184" s="31">
        <f>+SW_CE_CONTI!B183</f>
        <v>0</v>
      </c>
      <c r="C184" s="31">
        <f>+SW_CE_CONTI!C183</f>
        <v>0</v>
      </c>
      <c r="D184" s="31">
        <f>+SW_CE_CONTI!D183</f>
        <v>0</v>
      </c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</row>
    <row r="185" ht="14.5">
      <c r="B185" s="31">
        <f>+SW_CE_CONTI!B184</f>
        <v>0</v>
      </c>
      <c r="C185" s="31">
        <f>+SW_CE_CONTI!C184</f>
        <v>0</v>
      </c>
      <c r="D185" s="31">
        <f>+SW_CE_CONTI!D184</f>
        <v>0</v>
      </c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</row>
    <row r="186" ht="14.5">
      <c r="B186" s="31">
        <f>+SW_CE_CONTI!B185</f>
        <v>0</v>
      </c>
      <c r="C186" s="31">
        <f>+SW_CE_CONTI!C185</f>
        <v>0</v>
      </c>
      <c r="D186" s="31">
        <f>+SW_CE_CONTI!D185</f>
        <v>0</v>
      </c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</row>
    <row r="187" ht="14.5">
      <c r="B187" s="31">
        <f>+SW_CE_CONTI!B186</f>
        <v>0</v>
      </c>
      <c r="C187" s="31">
        <f>+SW_CE_CONTI!C186</f>
        <v>0</v>
      </c>
      <c r="D187" s="31">
        <f>+SW_CE_CONTI!D186</f>
        <v>0</v>
      </c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</row>
    <row r="188" ht="14.5">
      <c r="B188" s="31">
        <f>+SW_CE_CONTI!B187</f>
        <v>0</v>
      </c>
      <c r="C188" s="31">
        <f>+SW_CE_CONTI!C187</f>
        <v>0</v>
      </c>
      <c r="D188" s="31">
        <f>+SW_CE_CONTI!D187</f>
        <v>0</v>
      </c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</row>
    <row r="189" ht="14.5">
      <c r="B189" s="31">
        <f>+SW_CE_CONTI!B188</f>
        <v>0</v>
      </c>
      <c r="C189" s="31">
        <f>+SW_CE_CONTI!C188</f>
        <v>0</v>
      </c>
      <c r="D189" s="31">
        <f>+SW_CE_CONTI!D188</f>
        <v>0</v>
      </c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</row>
    <row r="190" ht="14.5">
      <c r="B190" s="31">
        <f>+SW_CE_CONTI!B189</f>
        <v>0</v>
      </c>
      <c r="C190" s="31">
        <f>+SW_CE_CONTI!C189</f>
        <v>0</v>
      </c>
      <c r="D190" s="31">
        <f>+SW_CE_CONTI!D189</f>
        <v>0</v>
      </c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</row>
    <row r="191" ht="14.5">
      <c r="B191" s="31">
        <f>+SW_CE_CONTI!B190</f>
        <v>0</v>
      </c>
      <c r="C191" s="31">
        <f>+SW_CE_CONTI!C190</f>
        <v>0</v>
      </c>
      <c r="D191" s="31">
        <f>+SW_CE_CONTI!D190</f>
        <v>0</v>
      </c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</row>
    <row r="192" ht="14.5">
      <c r="B192" s="31">
        <f>+SW_CE_CONTI!B191</f>
        <v>0</v>
      </c>
      <c r="C192" s="31">
        <f>+SW_CE_CONTI!C191</f>
        <v>0</v>
      </c>
      <c r="D192" s="31">
        <f>+SW_CE_CONTI!D191</f>
        <v>0</v>
      </c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</row>
    <row r="193" ht="14.5">
      <c r="B193" s="31">
        <f>+SW_CE_CONTI!B192</f>
        <v>0</v>
      </c>
      <c r="C193" s="31">
        <f>+SW_CE_CONTI!C192</f>
        <v>0</v>
      </c>
      <c r="D193" s="31">
        <f>+SW_CE_CONTI!D192</f>
        <v>0</v>
      </c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</row>
    <row r="194" ht="14.5">
      <c r="B194" s="31">
        <f>+SW_CE_CONTI!B193</f>
        <v>0</v>
      </c>
      <c r="C194" s="31">
        <f>+SW_CE_CONTI!C193</f>
        <v>0</v>
      </c>
      <c r="D194" s="31">
        <f>+SW_CE_CONTI!D193</f>
        <v>0</v>
      </c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</row>
    <row r="195" ht="14.5">
      <c r="B195" s="31">
        <f>+SW_CE_CONTI!B194</f>
        <v>0</v>
      </c>
      <c r="C195" s="31">
        <f>+SW_CE_CONTI!C194</f>
        <v>0</v>
      </c>
      <c r="D195" s="31">
        <f>+SW_CE_CONTI!D194</f>
        <v>0</v>
      </c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</row>
    <row r="196" ht="14.5">
      <c r="B196" s="31">
        <f>+SW_CE_CONTI!B195</f>
        <v>0</v>
      </c>
      <c r="C196" s="31">
        <f>+SW_CE_CONTI!C195</f>
        <v>0</v>
      </c>
      <c r="D196" s="31">
        <f>+SW_CE_CONTI!D195</f>
        <v>0</v>
      </c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</row>
    <row r="197" ht="14.5">
      <c r="B197" s="31">
        <f>+SW_CE_CONTI!B196</f>
        <v>0</v>
      </c>
      <c r="C197" s="31">
        <f>+SW_CE_CONTI!C196</f>
        <v>0</v>
      </c>
      <c r="D197" s="31">
        <f>+SW_CE_CONTI!D196</f>
        <v>0</v>
      </c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</row>
    <row r="198" ht="14.5">
      <c r="B198" s="31">
        <f>+SW_CE_CONTI!B197</f>
        <v>0</v>
      </c>
      <c r="C198" s="31">
        <f>+SW_CE_CONTI!C197</f>
        <v>0</v>
      </c>
      <c r="D198" s="31">
        <f>+SW_CE_CONTI!D197</f>
        <v>0</v>
      </c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</row>
    <row r="199" ht="14.5">
      <c r="B199" s="31">
        <f>+SW_CE_CONTI!B198</f>
        <v>0</v>
      </c>
      <c r="C199" s="31">
        <f>+SW_CE_CONTI!C198</f>
        <v>0</v>
      </c>
      <c r="D199" s="31">
        <f>+SW_CE_CONTI!D198</f>
        <v>0</v>
      </c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</row>
    <row r="200" ht="14.5">
      <c r="B200" s="31">
        <f>+SW_CE_CONTI!B199</f>
        <v>0</v>
      </c>
      <c r="C200" s="31">
        <f>+SW_CE_CONTI!C199</f>
        <v>0</v>
      </c>
      <c r="D200" s="31">
        <f>+SW_CE_CONTI!D199</f>
        <v>0</v>
      </c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</row>
    <row r="201" ht="14.5">
      <c r="B201" s="31">
        <f>+SW_CE_CONTI!B200</f>
        <v>0</v>
      </c>
      <c r="C201" s="31">
        <f>+SW_CE_CONTI!C200</f>
        <v>0</v>
      </c>
      <c r="D201" s="31">
        <f>+SW_CE_CONTI!D200</f>
        <v>0</v>
      </c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</row>
    <row r="202" ht="14.5">
      <c r="B202" s="31">
        <f>+SW_CE_CONTI!B201</f>
        <v>0</v>
      </c>
      <c r="C202" s="31">
        <f>+SW_CE_CONTI!C201</f>
        <v>0</v>
      </c>
      <c r="D202" s="31">
        <f>+SW_CE_CONTI!D201</f>
        <v>0</v>
      </c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</row>
    <row r="203" ht="14.5">
      <c r="B203" s="31">
        <f>+SW_CE_CONTI!B202</f>
        <v>0</v>
      </c>
      <c r="C203" s="31">
        <f>+SW_CE_CONTI!C202</f>
        <v>0</v>
      </c>
      <c r="D203" s="31">
        <f>+SW_CE_CONTI!D202</f>
        <v>0</v>
      </c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</row>
    <row r="204" ht="14.5">
      <c r="B204" s="31">
        <f>+SW_CE_CONTI!B203</f>
        <v>0</v>
      </c>
      <c r="C204" s="31">
        <f>+SW_CE_CONTI!C203</f>
        <v>0</v>
      </c>
      <c r="D204" s="31">
        <f>+SW_CE_CONTI!D203</f>
        <v>0</v>
      </c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</row>
    <row r="205" ht="14.5">
      <c r="B205" s="31">
        <f>+SW_CE_CONTI!B204</f>
        <v>0</v>
      </c>
      <c r="C205" s="31">
        <f>+SW_CE_CONTI!C204</f>
        <v>0</v>
      </c>
      <c r="D205" s="31">
        <f>+SW_CE_CONTI!D204</f>
        <v>0</v>
      </c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</row>
    <row r="206" ht="14.5">
      <c r="B206" s="31">
        <f>+SW_CE_CONTI!B205</f>
        <v>0</v>
      </c>
      <c r="C206" s="31">
        <f>+SW_CE_CONTI!C205</f>
        <v>0</v>
      </c>
      <c r="D206" s="31">
        <f>+SW_CE_CONTI!D205</f>
        <v>0</v>
      </c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</row>
    <row r="207" ht="14.5">
      <c r="B207" s="31">
        <f>+SW_CE_CONTI!B206</f>
        <v>0</v>
      </c>
      <c r="C207" s="31">
        <f>+SW_CE_CONTI!C206</f>
        <v>0</v>
      </c>
      <c r="D207" s="31">
        <f>+SW_CE_CONTI!D206</f>
        <v>0</v>
      </c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</row>
    <row r="208" ht="14.5">
      <c r="B208" s="31">
        <f>+SW_CE_CONTI!B207</f>
        <v>0</v>
      </c>
      <c r="C208" s="31">
        <f>+SW_CE_CONTI!C207</f>
        <v>0</v>
      </c>
      <c r="D208" s="31">
        <f>+SW_CE_CONTI!D207</f>
        <v>0</v>
      </c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</row>
    <row r="209" ht="14.5">
      <c r="B209" s="31">
        <f>+SW_CE_CONTI!B208</f>
        <v>0</v>
      </c>
      <c r="C209" s="31">
        <f>+SW_CE_CONTI!C208</f>
        <v>0</v>
      </c>
      <c r="D209" s="31">
        <f>+SW_CE_CONTI!D208</f>
        <v>0</v>
      </c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</row>
    <row r="210" ht="14.5">
      <c r="B210" s="31">
        <f>+SW_CE_CONTI!B209</f>
        <v>0</v>
      </c>
      <c r="C210" s="31">
        <f>+SW_CE_CONTI!C209</f>
        <v>0</v>
      </c>
      <c r="D210" s="31">
        <f>+SW_CE_CONTI!D209</f>
        <v>0</v>
      </c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</row>
    <row r="211" ht="14.5">
      <c r="B211" s="31">
        <f>+SW_CE_CONTI!B210</f>
        <v>0</v>
      </c>
      <c r="C211" s="31">
        <f>+SW_CE_CONTI!C210</f>
        <v>0</v>
      </c>
      <c r="D211" s="31">
        <f>+SW_CE_CONTI!D210</f>
        <v>0</v>
      </c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</row>
    <row r="212" ht="14.5">
      <c r="B212" s="31">
        <f>+SW_CE_CONTI!B211</f>
        <v>0</v>
      </c>
      <c r="C212" s="31">
        <f>+SW_CE_CONTI!C211</f>
        <v>0</v>
      </c>
      <c r="D212" s="31">
        <f>+SW_CE_CONTI!D211</f>
        <v>0</v>
      </c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</row>
    <row r="213" ht="14.5">
      <c r="B213" s="31">
        <f>+SW_CE_CONTI!B212</f>
        <v>0</v>
      </c>
      <c r="C213" s="31">
        <f>+SW_CE_CONTI!C212</f>
        <v>0</v>
      </c>
      <c r="D213" s="31">
        <f>+SW_CE_CONTI!D212</f>
        <v>0</v>
      </c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</row>
    <row r="214" ht="14.5">
      <c r="B214" s="31">
        <f>+SW_CE_CONTI!B213</f>
        <v>0</v>
      </c>
      <c r="C214" s="31">
        <f>+SW_CE_CONTI!C213</f>
        <v>0</v>
      </c>
      <c r="D214" s="31">
        <f>+SW_CE_CONTI!D213</f>
        <v>0</v>
      </c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</row>
    <row r="215" ht="14.5">
      <c r="B215" s="31">
        <f>+SW_CE_CONTI!B214</f>
        <v>0</v>
      </c>
      <c r="C215" s="31">
        <f>+SW_CE_CONTI!C214</f>
        <v>0</v>
      </c>
      <c r="D215" s="31">
        <f>+SW_CE_CONTI!D214</f>
        <v>0</v>
      </c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</row>
    <row r="216" ht="14.5">
      <c r="B216" s="31">
        <f>+SW_CE_CONTI!B215</f>
        <v>0</v>
      </c>
      <c r="C216" s="31">
        <f>+SW_CE_CONTI!C215</f>
        <v>0</v>
      </c>
      <c r="D216" s="31">
        <f>+SW_CE_CONTI!D215</f>
        <v>0</v>
      </c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</row>
    <row r="217" ht="14.5">
      <c r="B217" s="31">
        <f>+SW_CE_CONTI!B216</f>
        <v>0</v>
      </c>
      <c r="C217" s="31">
        <f>+SW_CE_CONTI!C216</f>
        <v>0</v>
      </c>
      <c r="D217" s="31">
        <f>+SW_CE_CONTI!D216</f>
        <v>0</v>
      </c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</row>
    <row r="218" ht="14.5">
      <c r="B218" s="31">
        <f>+SW_CE_CONTI!B217</f>
        <v>0</v>
      </c>
      <c r="C218" s="31">
        <f>+SW_CE_CONTI!C217</f>
        <v>0</v>
      </c>
      <c r="D218" s="31">
        <f>+SW_CE_CONTI!D217</f>
        <v>0</v>
      </c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</row>
    <row r="219" ht="14.5">
      <c r="B219" s="31">
        <f>+SW_CE_CONTI!B218</f>
        <v>0</v>
      </c>
      <c r="C219" s="31">
        <f>+SW_CE_CONTI!C218</f>
        <v>0</v>
      </c>
      <c r="D219" s="31">
        <f>+SW_CE_CONTI!D218</f>
        <v>0</v>
      </c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</row>
    <row r="220" ht="14.5">
      <c r="B220" s="31">
        <f>+SW_CE_CONTI!B219</f>
        <v>0</v>
      </c>
      <c r="C220" s="31">
        <f>+SW_CE_CONTI!C219</f>
        <v>0</v>
      </c>
      <c r="D220" s="31">
        <f>+SW_CE_CONTI!D219</f>
        <v>0</v>
      </c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</row>
    <row r="221" ht="14.5">
      <c r="B221" s="31">
        <f>+SW_CE_CONTI!B220</f>
        <v>0</v>
      </c>
      <c r="C221" s="31">
        <f>+SW_CE_CONTI!C220</f>
        <v>0</v>
      </c>
      <c r="D221" s="31">
        <f>+SW_CE_CONTI!D220</f>
        <v>0</v>
      </c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</row>
    <row r="222" ht="14.5">
      <c r="B222" s="31">
        <f>+SW_CE_CONTI!B221</f>
        <v>0</v>
      </c>
      <c r="C222" s="31">
        <f>+SW_CE_CONTI!C221</f>
        <v>0</v>
      </c>
      <c r="D222" s="31">
        <f>+SW_CE_CONTI!D221</f>
        <v>0</v>
      </c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</row>
    <row r="223" ht="14.5">
      <c r="B223" s="31">
        <f>+SW_CE_CONTI!B222</f>
        <v>0</v>
      </c>
      <c r="C223" s="31">
        <f>+SW_CE_CONTI!C222</f>
        <v>0</v>
      </c>
      <c r="D223" s="31">
        <f>+SW_CE_CONTI!D222</f>
        <v>0</v>
      </c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</row>
    <row r="224" ht="14.5">
      <c r="B224" s="31">
        <f>+SW_CE_CONTI!B223</f>
        <v>0</v>
      </c>
      <c r="C224" s="31">
        <f>+SW_CE_CONTI!C223</f>
        <v>0</v>
      </c>
      <c r="D224" s="31">
        <f>+SW_CE_CONTI!D223</f>
        <v>0</v>
      </c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</row>
    <row r="225" ht="14.5">
      <c r="B225" s="31">
        <f>+SW_CE_CONTI!B224</f>
        <v>0</v>
      </c>
      <c r="C225" s="31">
        <f>+SW_CE_CONTI!C224</f>
        <v>0</v>
      </c>
      <c r="D225" s="31">
        <f>+SW_CE_CONTI!D224</f>
        <v>0</v>
      </c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</row>
    <row r="226" ht="14.5">
      <c r="B226" s="31">
        <f>+SW_CE_CONTI!B225</f>
        <v>0</v>
      </c>
      <c r="C226" s="31">
        <f>+SW_CE_CONTI!C225</f>
        <v>0</v>
      </c>
      <c r="D226" s="31">
        <f>+SW_CE_CONTI!D225</f>
        <v>0</v>
      </c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</row>
    <row r="227" ht="14.5">
      <c r="B227" s="31">
        <f>+SW_CE_CONTI!B226</f>
        <v>0</v>
      </c>
      <c r="C227" s="31">
        <f>+SW_CE_CONTI!C226</f>
        <v>0</v>
      </c>
      <c r="D227" s="31">
        <f>+SW_CE_CONTI!D226</f>
        <v>0</v>
      </c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</row>
    <row r="228" ht="14.5">
      <c r="B228" s="31">
        <f>+SW_CE_CONTI!B227</f>
        <v>0</v>
      </c>
      <c r="C228" s="31">
        <f>+SW_CE_CONTI!C227</f>
        <v>0</v>
      </c>
      <c r="D228" s="31">
        <f>+SW_CE_CONTI!D227</f>
        <v>0</v>
      </c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</row>
    <row r="229" ht="14.5">
      <c r="B229" s="31">
        <f>+SW_CE_CONTI!B228</f>
        <v>0</v>
      </c>
      <c r="C229" s="31">
        <f>+SW_CE_CONTI!C228</f>
        <v>0</v>
      </c>
      <c r="D229" s="31">
        <f>+SW_CE_CONTI!D228</f>
        <v>0</v>
      </c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</row>
    <row r="230" ht="14.5">
      <c r="B230" s="31">
        <f>+SW_CE_CONTI!B229</f>
        <v>0</v>
      </c>
      <c r="C230" s="31">
        <f>+SW_CE_CONTI!C229</f>
        <v>0</v>
      </c>
      <c r="D230" s="31">
        <f>+SW_CE_CONTI!D229</f>
        <v>0</v>
      </c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</row>
    <row r="231" ht="14.5">
      <c r="B231" s="31">
        <f>+SW_CE_CONTI!B230</f>
        <v>0</v>
      </c>
      <c r="C231" s="31">
        <f>+SW_CE_CONTI!C230</f>
        <v>0</v>
      </c>
      <c r="D231" s="31">
        <f>+SW_CE_CONTI!D230</f>
        <v>0</v>
      </c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</row>
    <row r="232" ht="14.5">
      <c r="B232" s="31">
        <f>+SW_CE_CONTI!B231</f>
        <v>0</v>
      </c>
      <c r="C232" s="31">
        <f>+SW_CE_CONTI!C231</f>
        <v>0</v>
      </c>
      <c r="D232" s="31">
        <f>+SW_CE_CONTI!D231</f>
        <v>0</v>
      </c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</row>
    <row r="233" ht="14.5">
      <c r="B233" s="31">
        <f>+SW_CE_CONTI!B232</f>
        <v>0</v>
      </c>
      <c r="C233" s="31">
        <f>+SW_CE_CONTI!C232</f>
        <v>0</v>
      </c>
      <c r="D233" s="31">
        <f>+SW_CE_CONTI!D232</f>
        <v>0</v>
      </c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</row>
    <row r="234" ht="14.5">
      <c r="B234" s="31">
        <f>+SW_CE_CONTI!B233</f>
        <v>0</v>
      </c>
      <c r="C234" s="31">
        <f>+SW_CE_CONTI!C233</f>
        <v>0</v>
      </c>
      <c r="D234" s="31">
        <f>+SW_CE_CONTI!D233</f>
        <v>0</v>
      </c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</row>
    <row r="235" ht="14.5">
      <c r="B235" s="31">
        <f>+SW_CE_CONTI!B234</f>
        <v>0</v>
      </c>
      <c r="C235" s="31">
        <f>+SW_CE_CONTI!C234</f>
        <v>0</v>
      </c>
      <c r="D235" s="31">
        <f>+SW_CE_CONTI!D234</f>
        <v>0</v>
      </c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</row>
    <row r="236" ht="14.5">
      <c r="B236" s="31">
        <f>+SW_CE_CONTI!B235</f>
        <v>0</v>
      </c>
      <c r="C236" s="31">
        <f>+SW_CE_CONTI!C235</f>
        <v>0</v>
      </c>
      <c r="D236" s="31">
        <f>+SW_CE_CONTI!D235</f>
        <v>0</v>
      </c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</row>
    <row r="237" ht="14.5">
      <c r="B237" s="31">
        <f>+SW_CE_CONTI!B236</f>
        <v>0</v>
      </c>
      <c r="C237" s="31">
        <f>+SW_CE_CONTI!C236</f>
        <v>0</v>
      </c>
      <c r="D237" s="31">
        <f>+SW_CE_CONTI!D236</f>
        <v>0</v>
      </c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</row>
    <row r="238" ht="14.5">
      <c r="B238" s="31">
        <f>+SW_CE_CONTI!B237</f>
        <v>0</v>
      </c>
      <c r="C238" s="31">
        <f>+SW_CE_CONTI!C237</f>
        <v>0</v>
      </c>
      <c r="D238" s="31">
        <f>+SW_CE_CONTI!D237</f>
        <v>0</v>
      </c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</row>
    <row r="239" ht="14.5">
      <c r="B239" s="31">
        <f>+SW_CE_CONTI!B238</f>
        <v>0</v>
      </c>
      <c r="C239" s="31">
        <f>+SW_CE_CONTI!C238</f>
        <v>0</v>
      </c>
      <c r="D239" s="31">
        <f>+SW_CE_CONTI!D238</f>
        <v>0</v>
      </c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</row>
    <row r="240" ht="14.5">
      <c r="B240" s="31">
        <f>+SW_CE_CONTI!B239</f>
        <v>0</v>
      </c>
      <c r="C240" s="31">
        <f>+SW_CE_CONTI!C239</f>
        <v>0</v>
      </c>
      <c r="D240" s="31">
        <f>+SW_CE_CONTI!D239</f>
        <v>0</v>
      </c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</row>
    <row r="241" ht="14.5">
      <c r="B241" s="31">
        <f>+SW_CE_CONTI!B240</f>
        <v>0</v>
      </c>
      <c r="C241" s="31">
        <f>+SW_CE_CONTI!C240</f>
        <v>0</v>
      </c>
      <c r="D241" s="31">
        <f>+SW_CE_CONTI!D240</f>
        <v>0</v>
      </c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</row>
    <row r="242" ht="14.5">
      <c r="B242" s="31">
        <f>+SW_CE_CONTI!B241</f>
        <v>0</v>
      </c>
      <c r="C242" s="31">
        <f>+SW_CE_CONTI!C241</f>
        <v>0</v>
      </c>
      <c r="D242" s="31">
        <f>+SW_CE_CONTI!D241</f>
        <v>0</v>
      </c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</row>
    <row r="243" ht="14.5">
      <c r="B243" s="31">
        <f>+SW_CE_CONTI!B242</f>
        <v>0</v>
      </c>
      <c r="C243" s="31">
        <f>+SW_CE_CONTI!C242</f>
        <v>0</v>
      </c>
      <c r="D243" s="31">
        <f>+SW_CE_CONTI!D242</f>
        <v>0</v>
      </c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</row>
    <row r="244" ht="14.5">
      <c r="B244" s="31">
        <f>+SW_CE_CONTI!B243</f>
        <v>0</v>
      </c>
      <c r="C244" s="31">
        <f>+SW_CE_CONTI!C243</f>
        <v>0</v>
      </c>
      <c r="D244" s="31">
        <f>+SW_CE_CONTI!D243</f>
        <v>0</v>
      </c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</row>
    <row r="245" ht="14.5">
      <c r="B245" s="31">
        <f>+SW_CE_CONTI!B244</f>
        <v>0</v>
      </c>
      <c r="C245" s="31">
        <f>+SW_CE_CONTI!C244</f>
        <v>0</v>
      </c>
      <c r="D245" s="31">
        <f>+SW_CE_CONTI!D244</f>
        <v>0</v>
      </c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</row>
    <row r="246" ht="14.5">
      <c r="B246" s="31">
        <f>+SW_CE_CONTI!B245</f>
        <v>0</v>
      </c>
      <c r="C246" s="31">
        <f>+SW_CE_CONTI!C245</f>
        <v>0</v>
      </c>
      <c r="D246" s="31">
        <f>+SW_CE_CONTI!D245</f>
        <v>0</v>
      </c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</row>
    <row r="247" ht="14.5">
      <c r="B247" s="31">
        <f>+SW_CE_CONTI!B246</f>
        <v>0</v>
      </c>
      <c r="C247" s="31">
        <f>+SW_CE_CONTI!C246</f>
        <v>0</v>
      </c>
      <c r="D247" s="31">
        <f>+SW_CE_CONTI!D246</f>
        <v>0</v>
      </c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</row>
    <row r="248" ht="14.5">
      <c r="B248" s="31">
        <f>+SW_CE_CONTI!B247</f>
        <v>0</v>
      </c>
      <c r="C248" s="31">
        <f>+SW_CE_CONTI!C247</f>
        <v>0</v>
      </c>
      <c r="D248" s="31">
        <f>+SW_CE_CONTI!D247</f>
        <v>0</v>
      </c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</row>
    <row r="249" ht="14.5">
      <c r="B249" s="31">
        <f>+SW_CE_CONTI!B248</f>
        <v>0</v>
      </c>
      <c r="C249" s="31">
        <f>+SW_CE_CONTI!C248</f>
        <v>0</v>
      </c>
      <c r="D249" s="31">
        <f>+SW_CE_CONTI!D248</f>
        <v>0</v>
      </c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</row>
    <row r="250" ht="14.5">
      <c r="B250" s="31">
        <f>+SW_CE_CONTI!B249</f>
        <v>0</v>
      </c>
      <c r="C250" s="31">
        <f>+SW_CE_CONTI!C249</f>
        <v>0</v>
      </c>
      <c r="D250" s="31">
        <f>+SW_CE_CONTI!D249</f>
        <v>0</v>
      </c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</row>
    <row r="251" ht="14.5">
      <c r="B251" s="31">
        <f>+SW_CE_CONTI!B250</f>
        <v>0</v>
      </c>
      <c r="C251" s="31">
        <f>+SW_CE_CONTI!C250</f>
        <v>0</v>
      </c>
      <c r="D251" s="31">
        <f>+SW_CE_CONTI!D250</f>
        <v>0</v>
      </c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</row>
    <row r="252" ht="14.5">
      <c r="B252" s="31">
        <f>+SW_CE_CONTI!B251</f>
        <v>0</v>
      </c>
      <c r="C252" s="31">
        <f>+SW_CE_CONTI!C251</f>
        <v>0</v>
      </c>
      <c r="D252" s="31">
        <f>+SW_CE_CONTI!D251</f>
        <v>0</v>
      </c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</row>
    <row r="253" ht="14.5">
      <c r="B253" s="31">
        <f>+SW_CE_CONTI!B252</f>
        <v>0</v>
      </c>
      <c r="C253" s="31">
        <f>+SW_CE_CONTI!C252</f>
        <v>0</v>
      </c>
      <c r="D253" s="31">
        <f>+SW_CE_CONTI!D252</f>
        <v>0</v>
      </c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</row>
    <row r="254" ht="14.5">
      <c r="B254" s="31">
        <f>+SW_CE_CONTI!B253</f>
        <v>0</v>
      </c>
      <c r="C254" s="31">
        <f>+SW_CE_CONTI!C253</f>
        <v>0</v>
      </c>
      <c r="D254" s="31">
        <f>+SW_CE_CONTI!D253</f>
        <v>0</v>
      </c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</row>
    <row r="255" ht="14.5">
      <c r="B255" s="31">
        <f>+SW_CE_CONTI!B254</f>
        <v>0</v>
      </c>
      <c r="C255" s="31">
        <f>+SW_CE_CONTI!C254</f>
        <v>0</v>
      </c>
      <c r="D255" s="31">
        <f>+SW_CE_CONTI!D254</f>
        <v>0</v>
      </c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</row>
    <row r="256" ht="14.5">
      <c r="B256" s="31">
        <f>+SW_CE_CONTI!B255</f>
        <v>0</v>
      </c>
      <c r="C256" s="31">
        <f>+SW_CE_CONTI!C255</f>
        <v>0</v>
      </c>
      <c r="D256" s="31">
        <f>+SW_CE_CONTI!D255</f>
        <v>0</v>
      </c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</row>
    <row r="257" ht="14.5">
      <c r="B257" s="31">
        <f>+SW_CE_CONTI!B256</f>
        <v>0</v>
      </c>
      <c r="C257" s="31">
        <f>+SW_CE_CONTI!C256</f>
        <v>0</v>
      </c>
      <c r="D257" s="31">
        <f>+SW_CE_CONTI!D256</f>
        <v>0</v>
      </c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</row>
    <row r="258" ht="14.5">
      <c r="B258" s="31">
        <f>+SW_CE_CONTI!B257</f>
        <v>0</v>
      </c>
      <c r="C258" s="31">
        <f>+SW_CE_CONTI!C257</f>
        <v>0</v>
      </c>
      <c r="D258" s="31">
        <f>+SW_CE_CONTI!D257</f>
        <v>0</v>
      </c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</row>
    <row r="259" ht="14.5">
      <c r="B259" s="31">
        <f>+SW_CE_CONTI!B258</f>
        <v>0</v>
      </c>
      <c r="C259" s="31">
        <f>+SW_CE_CONTI!C258</f>
        <v>0</v>
      </c>
      <c r="D259" s="31">
        <f>+SW_CE_CONTI!D258</f>
        <v>0</v>
      </c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</row>
    <row r="260" ht="14.5">
      <c r="B260" s="31">
        <f>+SW_CE_CONTI!B259</f>
        <v>0</v>
      </c>
      <c r="C260" s="31">
        <f>+SW_CE_CONTI!C259</f>
        <v>0</v>
      </c>
      <c r="D260" s="31">
        <f>+SW_CE_CONTI!D259</f>
        <v>0</v>
      </c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</row>
    <row r="261" ht="14.5">
      <c r="B261" s="31">
        <f>+SW_CE_CONTI!B260</f>
        <v>0</v>
      </c>
      <c r="C261" s="31">
        <f>+SW_CE_CONTI!C260</f>
        <v>0</v>
      </c>
      <c r="D261" s="31">
        <f>+SW_CE_CONTI!D260</f>
        <v>0</v>
      </c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</row>
    <row r="262" ht="14.5">
      <c r="B262" s="31">
        <f>+SW_CE_CONTI!B261</f>
        <v>0</v>
      </c>
      <c r="C262" s="31">
        <f>+SW_CE_CONTI!C261</f>
        <v>0</v>
      </c>
      <c r="D262" s="31">
        <f>+SW_CE_CONTI!D261</f>
        <v>0</v>
      </c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</row>
    <row r="263" ht="14.5">
      <c r="B263" s="31">
        <f>+SW_CE_CONTI!B262</f>
        <v>0</v>
      </c>
      <c r="C263" s="31">
        <f>+SW_CE_CONTI!C262</f>
        <v>0</v>
      </c>
      <c r="D263" s="31">
        <f>+SW_CE_CONTI!D262</f>
        <v>0</v>
      </c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</row>
    <row r="264" ht="14.5">
      <c r="B264" s="31">
        <f>+SW_CE_CONTI!B263</f>
        <v>0</v>
      </c>
      <c r="C264" s="31">
        <f>+SW_CE_CONTI!C263</f>
        <v>0</v>
      </c>
      <c r="D264" s="31">
        <f>+SW_CE_CONTI!D263</f>
        <v>0</v>
      </c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</row>
    <row r="265" ht="14.5">
      <c r="B265" s="31">
        <f>+SW_CE_CONTI!B264</f>
        <v>0</v>
      </c>
      <c r="C265" s="31">
        <f>+SW_CE_CONTI!C264</f>
        <v>0</v>
      </c>
      <c r="D265" s="31">
        <f>+SW_CE_CONTI!D264</f>
        <v>0</v>
      </c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</row>
    <row r="266" ht="14.5">
      <c r="B266" s="31">
        <f>+SW_CE_CONTI!B265</f>
        <v>0</v>
      </c>
      <c r="C266" s="31">
        <f>+SW_CE_CONTI!C265</f>
        <v>0</v>
      </c>
      <c r="D266" s="31">
        <f>+SW_CE_CONTI!D265</f>
        <v>0</v>
      </c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</row>
    <row r="267" ht="14.5">
      <c r="B267" s="31">
        <f>+SW_CE_CONTI!B266</f>
        <v>0</v>
      </c>
      <c r="C267" s="31">
        <f>+SW_CE_CONTI!C266</f>
        <v>0</v>
      </c>
      <c r="D267" s="31">
        <f>+SW_CE_CONTI!D266</f>
        <v>0</v>
      </c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</row>
    <row r="268" ht="14.5">
      <c r="B268" s="31">
        <f>+SW_CE_CONTI!B267</f>
        <v>0</v>
      </c>
      <c r="C268" s="31">
        <f>+SW_CE_CONTI!C267</f>
        <v>0</v>
      </c>
      <c r="D268" s="31">
        <f>+SW_CE_CONTI!D267</f>
        <v>0</v>
      </c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</row>
    <row r="269" ht="14.5">
      <c r="B269" s="31">
        <f>+SW_CE_CONTI!B268</f>
        <v>0</v>
      </c>
      <c r="C269" s="31">
        <f>+SW_CE_CONTI!C268</f>
        <v>0</v>
      </c>
      <c r="D269" s="31">
        <f>+SW_CE_CONTI!D268</f>
        <v>0</v>
      </c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</row>
    <row r="270" ht="14.5">
      <c r="B270" s="31">
        <f>+SW_CE_CONTI!B269</f>
        <v>0</v>
      </c>
      <c r="C270" s="31">
        <f>+SW_CE_CONTI!C269</f>
        <v>0</v>
      </c>
      <c r="D270" s="31">
        <f>+SW_CE_CONTI!D269</f>
        <v>0</v>
      </c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</row>
    <row r="271" ht="14.5">
      <c r="B271" s="31">
        <f>+SW_CE_CONTI!B270</f>
        <v>0</v>
      </c>
      <c r="C271" s="31">
        <f>+SW_CE_CONTI!C270</f>
        <v>0</v>
      </c>
      <c r="D271" s="31">
        <f>+SW_CE_CONTI!D270</f>
        <v>0</v>
      </c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</row>
    <row r="272" ht="14.5">
      <c r="B272" s="31">
        <f>+SW_CE_CONTI!B271</f>
        <v>0</v>
      </c>
      <c r="C272" s="31">
        <f>+SW_CE_CONTI!C271</f>
        <v>0</v>
      </c>
      <c r="D272" s="31">
        <f>+SW_CE_CONTI!D271</f>
        <v>0</v>
      </c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</row>
    <row r="273" ht="14.5">
      <c r="B273" s="31">
        <f>+SW_CE_CONTI!B272</f>
        <v>0</v>
      </c>
      <c r="C273" s="31">
        <f>+SW_CE_CONTI!C272</f>
        <v>0</v>
      </c>
      <c r="D273" s="31">
        <f>+SW_CE_CONTI!D272</f>
        <v>0</v>
      </c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</row>
    <row r="274" ht="14.5">
      <c r="B274" s="31">
        <f>+SW_CE_CONTI!B273</f>
        <v>0</v>
      </c>
      <c r="C274" s="31">
        <f>+SW_CE_CONTI!C273</f>
        <v>0</v>
      </c>
      <c r="D274" s="31">
        <f>+SW_CE_CONTI!D273</f>
        <v>0</v>
      </c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</row>
    <row r="275" ht="14.5">
      <c r="B275" s="31">
        <f>+SW_CE_CONTI!B274</f>
        <v>0</v>
      </c>
      <c r="C275" s="31">
        <f>+SW_CE_CONTI!C274</f>
        <v>0</v>
      </c>
      <c r="D275" s="31">
        <f>+SW_CE_CONTI!D274</f>
        <v>0</v>
      </c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</row>
    <row r="276" ht="14.5">
      <c r="B276" s="31">
        <f>+SW_CE_CONTI!B275</f>
        <v>0</v>
      </c>
      <c r="C276" s="31">
        <f>+SW_CE_CONTI!C275</f>
        <v>0</v>
      </c>
      <c r="D276" s="31">
        <f>+SW_CE_CONTI!D275</f>
        <v>0</v>
      </c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</row>
    <row r="277" ht="14.5">
      <c r="B277" s="31">
        <f>+SW_CE_CONTI!B276</f>
        <v>0</v>
      </c>
      <c r="C277" s="31">
        <f>+SW_CE_CONTI!C276</f>
        <v>0</v>
      </c>
      <c r="D277" s="31">
        <f>+SW_CE_CONTI!D276</f>
        <v>0</v>
      </c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</row>
    <row r="278" ht="14.5">
      <c r="B278" s="31">
        <f>+SW_CE_CONTI!B277</f>
        <v>0</v>
      </c>
      <c r="C278" s="31">
        <f>+SW_CE_CONTI!C277</f>
        <v>0</v>
      </c>
      <c r="D278" s="31">
        <f>+SW_CE_CONTI!D277</f>
        <v>0</v>
      </c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</row>
    <row r="279" ht="14.5">
      <c r="B279" s="31">
        <f>+SW_CE_CONTI!B278</f>
        <v>0</v>
      </c>
      <c r="C279" s="31">
        <f>+SW_CE_CONTI!C278</f>
        <v>0</v>
      </c>
      <c r="D279" s="31">
        <f>+SW_CE_CONTI!D278</f>
        <v>0</v>
      </c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</row>
    <row r="280" ht="14.5">
      <c r="B280" s="31">
        <f>+SW_CE_CONTI!B279</f>
        <v>0</v>
      </c>
      <c r="C280" s="31">
        <f>+SW_CE_CONTI!C279</f>
        <v>0</v>
      </c>
      <c r="D280" s="31">
        <f>+SW_CE_CONTI!D279</f>
        <v>0</v>
      </c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</row>
    <row r="281" ht="14.5">
      <c r="B281" s="31">
        <f>+SW_CE_CONTI!B280</f>
        <v>0</v>
      </c>
      <c r="C281" s="31">
        <f>+SW_CE_CONTI!C280</f>
        <v>0</v>
      </c>
      <c r="D281" s="31">
        <f>+SW_CE_CONTI!D280</f>
        <v>0</v>
      </c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</row>
    <row r="282" ht="14.5">
      <c r="B282" s="31">
        <f>+SW_CE_CONTI!B281</f>
        <v>0</v>
      </c>
      <c r="C282" s="31">
        <f>+SW_CE_CONTI!C281</f>
        <v>0</v>
      </c>
      <c r="D282" s="31">
        <f>+SW_CE_CONTI!D281</f>
        <v>0</v>
      </c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</row>
    <row r="283" ht="14.5">
      <c r="B283" s="31">
        <f>+SW_CE_CONTI!B282</f>
        <v>0</v>
      </c>
      <c r="C283" s="31">
        <f>+SW_CE_CONTI!C282</f>
        <v>0</v>
      </c>
      <c r="D283" s="31">
        <f>+SW_CE_CONTI!D282</f>
        <v>0</v>
      </c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</row>
    <row r="284" ht="14.5">
      <c r="B284" s="31">
        <f>+SW_CE_CONTI!B283</f>
        <v>0</v>
      </c>
      <c r="C284" s="31">
        <f>+SW_CE_CONTI!C283</f>
        <v>0</v>
      </c>
      <c r="D284" s="31">
        <f>+SW_CE_CONTI!D283</f>
        <v>0</v>
      </c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</row>
    <row r="285" ht="14.5">
      <c r="B285" s="31">
        <f>+SW_CE_CONTI!B284</f>
        <v>0</v>
      </c>
      <c r="C285" s="31">
        <f>+SW_CE_CONTI!C284</f>
        <v>0</v>
      </c>
      <c r="D285" s="31">
        <f>+SW_CE_CONTI!D284</f>
        <v>0</v>
      </c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</row>
    <row r="286" ht="14.5">
      <c r="B286" s="31">
        <f>+SW_CE_CONTI!B285</f>
        <v>0</v>
      </c>
      <c r="C286" s="31">
        <f>+SW_CE_CONTI!C285</f>
        <v>0</v>
      </c>
      <c r="D286" s="31">
        <f>+SW_CE_CONTI!D285</f>
        <v>0</v>
      </c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</row>
    <row r="287" ht="14.5">
      <c r="B287" s="31">
        <f>+SW_CE_CONTI!B286</f>
        <v>0</v>
      </c>
      <c r="C287" s="31">
        <f>+SW_CE_CONTI!C286</f>
        <v>0</v>
      </c>
      <c r="D287" s="31">
        <f>+SW_CE_CONTI!D286</f>
        <v>0</v>
      </c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</row>
    <row r="288" ht="14.5">
      <c r="B288" s="31">
        <f>+SW_CE_CONTI!B287</f>
        <v>0</v>
      </c>
      <c r="C288" s="31">
        <f>+SW_CE_CONTI!C287</f>
        <v>0</v>
      </c>
      <c r="D288" s="31">
        <f>+SW_CE_CONTI!D287</f>
        <v>0</v>
      </c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</row>
    <row r="289" ht="14.5">
      <c r="B289" s="31">
        <f>+SW_CE_CONTI!B288</f>
        <v>0</v>
      </c>
      <c r="C289" s="31">
        <f>+SW_CE_CONTI!C288</f>
        <v>0</v>
      </c>
      <c r="D289" s="31">
        <f>+SW_CE_CONTI!D288</f>
        <v>0</v>
      </c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</row>
    <row r="290" ht="14.5">
      <c r="B290" s="31">
        <f>+SW_CE_CONTI!B289</f>
        <v>0</v>
      </c>
      <c r="C290" s="31">
        <f>+SW_CE_CONTI!C289</f>
        <v>0</v>
      </c>
      <c r="D290" s="31">
        <f>+SW_CE_CONTI!D289</f>
        <v>0</v>
      </c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</row>
    <row r="291" ht="14.5">
      <c r="B291" s="31">
        <f>+SW_CE_CONTI!B290</f>
        <v>0</v>
      </c>
      <c r="C291" s="31">
        <f>+SW_CE_CONTI!C290</f>
        <v>0</v>
      </c>
      <c r="D291" s="31">
        <f>+SW_CE_CONTI!D290</f>
        <v>0</v>
      </c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</row>
    <row r="292" ht="14.5">
      <c r="B292" s="31">
        <f>+SW_CE_CONTI!B291</f>
        <v>0</v>
      </c>
      <c r="C292" s="31">
        <f>+SW_CE_CONTI!C291</f>
        <v>0</v>
      </c>
      <c r="D292" s="31">
        <f>+SW_CE_CONTI!D291</f>
        <v>0</v>
      </c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</row>
    <row r="293" ht="14.5">
      <c r="B293" s="31">
        <f>+SW_CE_CONTI!B292</f>
        <v>0</v>
      </c>
      <c r="C293" s="31">
        <f>+SW_CE_CONTI!C292</f>
        <v>0</v>
      </c>
      <c r="D293" s="31">
        <f>+SW_CE_CONTI!D292</f>
        <v>0</v>
      </c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</row>
    <row r="294" ht="14.5">
      <c r="B294" s="31">
        <f>+SW_CE_CONTI!B293</f>
        <v>0</v>
      </c>
      <c r="C294" s="31">
        <f>+SW_CE_CONTI!C293</f>
        <v>0</v>
      </c>
      <c r="D294" s="31">
        <f>+SW_CE_CONTI!D293</f>
        <v>0</v>
      </c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</row>
    <row r="295" ht="14.5">
      <c r="B295" s="31">
        <f>+SW_CE_CONTI!B294</f>
        <v>0</v>
      </c>
      <c r="C295" s="31">
        <f>+SW_CE_CONTI!C294</f>
        <v>0</v>
      </c>
      <c r="D295" s="31">
        <f>+SW_CE_CONTI!D294</f>
        <v>0</v>
      </c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</row>
    <row r="296" ht="14.5">
      <c r="B296" s="31">
        <f>+SW_CE_CONTI!B295</f>
        <v>0</v>
      </c>
      <c r="C296" s="31">
        <f>+SW_CE_CONTI!C295</f>
        <v>0</v>
      </c>
      <c r="D296" s="31">
        <f>+SW_CE_CONTI!D295</f>
        <v>0</v>
      </c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</row>
    <row r="297" ht="14.5">
      <c r="B297" s="31">
        <f>+SW_CE_CONTI!B296</f>
        <v>0</v>
      </c>
      <c r="C297" s="31">
        <f>+SW_CE_CONTI!C296</f>
        <v>0</v>
      </c>
      <c r="D297" s="31">
        <f>+SW_CE_CONTI!D296</f>
        <v>0</v>
      </c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</row>
    <row r="298" ht="14.5">
      <c r="B298" s="31">
        <f>+SW_CE_CONTI!B297</f>
        <v>0</v>
      </c>
      <c r="C298" s="31">
        <f>+SW_CE_CONTI!C297</f>
        <v>0</v>
      </c>
      <c r="D298" s="31">
        <f>+SW_CE_CONTI!D297</f>
        <v>0</v>
      </c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</row>
    <row r="299" ht="14.5">
      <c r="B299" s="31">
        <f>+SW_CE_CONTI!B298</f>
        <v>0</v>
      </c>
      <c r="C299" s="31">
        <f>+SW_CE_CONTI!C298</f>
        <v>0</v>
      </c>
      <c r="D299" s="31">
        <f>+SW_CE_CONTI!D298</f>
        <v>0</v>
      </c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</row>
    <row r="300" ht="14.5">
      <c r="B300" s="31">
        <f>+SW_CE_CONTI!B299</f>
        <v>0</v>
      </c>
      <c r="C300" s="31">
        <f>+SW_CE_CONTI!C299</f>
        <v>0</v>
      </c>
      <c r="D300" s="31">
        <f>+SW_CE_CONTI!D299</f>
        <v>0</v>
      </c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</row>
    <row r="301" ht="14.5">
      <c r="B301" s="31">
        <f>+SW_CE_CONTI!B300</f>
        <v>0</v>
      </c>
      <c r="C301" s="31">
        <f>+SW_CE_CONTI!C300</f>
        <v>0</v>
      </c>
      <c r="D301" s="31">
        <f>+SW_CE_CONTI!D300</f>
        <v>0</v>
      </c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</row>
    <row r="302" ht="14.5">
      <c r="B302" s="31">
        <f>+SW_CE_CONTI!B301</f>
        <v>0</v>
      </c>
      <c r="C302" s="31">
        <f>+SW_CE_CONTI!C301</f>
        <v>0</v>
      </c>
      <c r="D302" s="31">
        <f>+SW_CE_CONTI!D301</f>
        <v>0</v>
      </c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</row>
    <row r="303" ht="14.5">
      <c r="B303" s="31">
        <f>+SW_CE_CONTI!B302</f>
        <v>0</v>
      </c>
      <c r="C303" s="31">
        <f>+SW_CE_CONTI!C302</f>
        <v>0</v>
      </c>
      <c r="D303" s="31">
        <f>+SW_CE_CONTI!D302</f>
        <v>0</v>
      </c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</row>
    <row r="304" ht="14.5">
      <c r="B304" s="31">
        <f>+SW_CE_CONTI!B303</f>
        <v>0</v>
      </c>
      <c r="C304" s="31">
        <f>+SW_CE_CONTI!C303</f>
        <v>0</v>
      </c>
      <c r="D304" s="31">
        <f>+SW_CE_CONTI!D303</f>
        <v>0</v>
      </c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</row>
    <row r="305" ht="14.5">
      <c r="B305" s="31">
        <f>+SW_CE_CONTI!B304</f>
        <v>0</v>
      </c>
      <c r="C305" s="31">
        <f>+SW_CE_CONTI!C304</f>
        <v>0</v>
      </c>
      <c r="D305" s="31">
        <f>+SW_CE_CONTI!D304</f>
        <v>0</v>
      </c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</row>
    <row r="306" ht="14.5">
      <c r="B306" s="31">
        <f>+SW_CE_CONTI!B305</f>
        <v>0</v>
      </c>
      <c r="C306" s="31">
        <f>+SW_CE_CONTI!C305</f>
        <v>0</v>
      </c>
      <c r="D306" s="31">
        <f>+SW_CE_CONTI!D305</f>
        <v>0</v>
      </c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</row>
    <row r="307" ht="14.5">
      <c r="B307" s="31">
        <f>+SW_CE_CONTI!B306</f>
        <v>0</v>
      </c>
      <c r="C307" s="31">
        <f>+SW_CE_CONTI!C306</f>
        <v>0</v>
      </c>
      <c r="D307" s="31">
        <f>+SW_CE_CONTI!D306</f>
        <v>0</v>
      </c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</row>
    <row r="308" ht="14.5">
      <c r="B308" s="31">
        <f>+SW_CE_CONTI!B307</f>
        <v>0</v>
      </c>
      <c r="C308" s="31">
        <f>+SW_CE_CONTI!C307</f>
        <v>0</v>
      </c>
      <c r="D308" s="31">
        <f>+SW_CE_CONTI!D307</f>
        <v>0</v>
      </c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</row>
    <row r="309" ht="14.5">
      <c r="B309" s="31">
        <f>+SW_CE_CONTI!B308</f>
        <v>0</v>
      </c>
      <c r="C309" s="31">
        <f>+SW_CE_CONTI!C308</f>
        <v>0</v>
      </c>
      <c r="D309" s="31">
        <f>+SW_CE_CONTI!D308</f>
        <v>0</v>
      </c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</row>
    <row r="310" ht="14.5">
      <c r="B310" s="31">
        <f>+SW_CE_CONTI!B309</f>
        <v>0</v>
      </c>
      <c r="C310" s="31">
        <f>+SW_CE_CONTI!C309</f>
        <v>0</v>
      </c>
      <c r="D310" s="31">
        <f>+SW_CE_CONTI!D309</f>
        <v>0</v>
      </c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</row>
    <row r="311" ht="14.5">
      <c r="B311" s="31">
        <f>+SW_CE_CONTI!B310</f>
        <v>0</v>
      </c>
      <c r="C311" s="31">
        <f>+SW_CE_CONTI!C310</f>
        <v>0</v>
      </c>
      <c r="D311" s="31">
        <f>+SW_CE_CONTI!D310</f>
        <v>0</v>
      </c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</row>
    <row r="312" ht="14.5">
      <c r="B312" s="31">
        <f>+SW_CE_CONTI!B311</f>
        <v>0</v>
      </c>
      <c r="C312" s="31">
        <f>+SW_CE_CONTI!C311</f>
        <v>0</v>
      </c>
      <c r="D312" s="31">
        <f>+SW_CE_CONTI!D311</f>
        <v>0</v>
      </c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</row>
    <row r="313" ht="14.5">
      <c r="B313" s="31">
        <f>+SW_CE_CONTI!B312</f>
        <v>0</v>
      </c>
      <c r="C313" s="31">
        <f>+SW_CE_CONTI!C312</f>
        <v>0</v>
      </c>
      <c r="D313" s="31">
        <f>+SW_CE_CONTI!D312</f>
        <v>0</v>
      </c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</row>
    <row r="314" ht="14.5">
      <c r="B314" s="31">
        <f>+SW_CE_CONTI!B313</f>
        <v>0</v>
      </c>
      <c r="C314" s="31">
        <f>+SW_CE_CONTI!C313</f>
        <v>0</v>
      </c>
      <c r="D314" s="31">
        <f>+SW_CE_CONTI!D313</f>
        <v>0</v>
      </c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</row>
    <row r="315" ht="14.5">
      <c r="B315" s="31">
        <f>+SW_CE_CONTI!B314</f>
        <v>0</v>
      </c>
      <c r="C315" s="31">
        <f>+SW_CE_CONTI!C314</f>
        <v>0</v>
      </c>
      <c r="D315" s="31">
        <f>+SW_CE_CONTI!D314</f>
        <v>0</v>
      </c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</row>
    <row r="316" ht="14.5">
      <c r="B316" s="31">
        <f>+SW_CE_CONTI!B315</f>
        <v>0</v>
      </c>
      <c r="C316" s="31">
        <f>+SW_CE_CONTI!C315</f>
        <v>0</v>
      </c>
      <c r="D316" s="31">
        <f>+SW_CE_CONTI!D315</f>
        <v>0</v>
      </c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</row>
    <row r="317" ht="14.5">
      <c r="B317" s="31">
        <f>+SW_CE_CONTI!B316</f>
        <v>0</v>
      </c>
      <c r="C317" s="31">
        <f>+SW_CE_CONTI!C316</f>
        <v>0</v>
      </c>
      <c r="D317" s="31">
        <f>+SW_CE_CONTI!D316</f>
        <v>0</v>
      </c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</row>
    <row r="318" ht="14.5">
      <c r="B318" s="31">
        <f>+SW_CE_CONTI!B317</f>
        <v>0</v>
      </c>
      <c r="C318" s="31">
        <f>+SW_CE_CONTI!C317</f>
        <v>0</v>
      </c>
      <c r="D318" s="31">
        <f>+SW_CE_CONTI!D317</f>
        <v>0</v>
      </c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</row>
    <row r="319" ht="14.5">
      <c r="B319" s="31">
        <f>+SW_CE_CONTI!B318</f>
        <v>0</v>
      </c>
      <c r="C319" s="31">
        <f>+SW_CE_CONTI!C318</f>
        <v>0</v>
      </c>
      <c r="D319" s="31">
        <f>+SW_CE_CONTI!D318</f>
        <v>0</v>
      </c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</row>
    <row r="320" ht="14.5">
      <c r="B320" s="31">
        <f>+SW_CE_CONTI!B319</f>
        <v>0</v>
      </c>
      <c r="C320" s="31">
        <f>+SW_CE_CONTI!C319</f>
        <v>0</v>
      </c>
      <c r="D320" s="31">
        <f>+SW_CE_CONTI!D319</f>
        <v>0</v>
      </c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</row>
    <row r="321" ht="14.5">
      <c r="B321" s="31">
        <f>+SW_CE_CONTI!B320</f>
        <v>0</v>
      </c>
      <c r="C321" s="31">
        <f>+SW_CE_CONTI!C320</f>
        <v>0</v>
      </c>
      <c r="D321" s="31">
        <f>+SW_CE_CONTI!D320</f>
        <v>0</v>
      </c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</row>
    <row r="322" ht="14.5">
      <c r="B322" s="31">
        <f>+SW_CE_CONTI!B321</f>
        <v>0</v>
      </c>
      <c r="C322" s="31">
        <f>+SW_CE_CONTI!C321</f>
        <v>0</v>
      </c>
      <c r="D322" s="31">
        <f>+SW_CE_CONTI!D321</f>
        <v>0</v>
      </c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</row>
    <row r="323" ht="14.5">
      <c r="B323" s="31">
        <f>+SW_CE_CONTI!B322</f>
        <v>0</v>
      </c>
      <c r="C323" s="31">
        <f>+SW_CE_CONTI!C322</f>
        <v>0</v>
      </c>
      <c r="D323" s="31">
        <f>+SW_CE_CONTI!D322</f>
        <v>0</v>
      </c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</row>
    <row r="324" ht="14.5">
      <c r="B324" s="31">
        <f>+SW_CE_CONTI!B323</f>
        <v>0</v>
      </c>
      <c r="C324" s="31">
        <f>+SW_CE_CONTI!C323</f>
        <v>0</v>
      </c>
      <c r="D324" s="31">
        <f>+SW_CE_CONTI!D323</f>
        <v>0</v>
      </c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</row>
    <row r="325" ht="14.5">
      <c r="B325" s="31">
        <f>+SW_CE_CONTI!B324</f>
        <v>0</v>
      </c>
      <c r="C325" s="31">
        <f>+SW_CE_CONTI!C324</f>
        <v>0</v>
      </c>
      <c r="D325" s="31">
        <f>+SW_CE_CONTI!D324</f>
        <v>0</v>
      </c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</row>
    <row r="326" ht="14.5">
      <c r="B326" s="31">
        <f>+SW_CE_CONTI!B325</f>
        <v>0</v>
      </c>
      <c r="C326" s="31">
        <f>+SW_CE_CONTI!C325</f>
        <v>0</v>
      </c>
      <c r="D326" s="31">
        <f>+SW_CE_CONTI!D325</f>
        <v>0</v>
      </c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</row>
    <row r="327" ht="14.5">
      <c r="B327" s="31">
        <f>+SW_CE_CONTI!B326</f>
        <v>0</v>
      </c>
      <c r="C327" s="31">
        <f>+SW_CE_CONTI!C326</f>
        <v>0</v>
      </c>
      <c r="D327" s="31">
        <f>+SW_CE_CONTI!D326</f>
        <v>0</v>
      </c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</row>
    <row r="328" ht="14.5">
      <c r="B328" s="31">
        <f>+SW_CE_CONTI!B327</f>
        <v>0</v>
      </c>
      <c r="C328" s="31">
        <f>+SW_CE_CONTI!C327</f>
        <v>0</v>
      </c>
      <c r="D328" s="31">
        <f>+SW_CE_CONTI!D327</f>
        <v>0</v>
      </c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</row>
    <row r="329" ht="14.5">
      <c r="B329" s="31">
        <f>+SW_CE_CONTI!B328</f>
        <v>0</v>
      </c>
      <c r="C329" s="31">
        <f>+SW_CE_CONTI!C328</f>
        <v>0</v>
      </c>
      <c r="D329" s="31">
        <f>+SW_CE_CONTI!D328</f>
        <v>0</v>
      </c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</row>
    <row r="330" ht="14.5">
      <c r="B330" s="31">
        <f>+SW_CE_CONTI!B329</f>
        <v>0</v>
      </c>
      <c r="C330" s="31">
        <f>+SW_CE_CONTI!C329</f>
        <v>0</v>
      </c>
      <c r="D330" s="31">
        <f>+SW_CE_CONTI!D329</f>
        <v>0</v>
      </c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</row>
    <row r="331" ht="14.5">
      <c r="B331" s="31">
        <f>+SW_CE_CONTI!B330</f>
        <v>0</v>
      </c>
      <c r="C331" s="31">
        <f>+SW_CE_CONTI!C330</f>
        <v>0</v>
      </c>
      <c r="D331" s="31">
        <f>+SW_CE_CONTI!D330</f>
        <v>0</v>
      </c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</row>
    <row r="332" ht="14.5">
      <c r="B332" s="31">
        <f>+SW_CE_CONTI!B331</f>
        <v>0</v>
      </c>
      <c r="C332" s="31">
        <f>+SW_CE_CONTI!C331</f>
        <v>0</v>
      </c>
      <c r="D332" s="31">
        <f>+SW_CE_CONTI!D331</f>
        <v>0</v>
      </c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</row>
    <row r="333" ht="14.5">
      <c r="B333" s="31">
        <f>+SW_CE_CONTI!B332</f>
        <v>0</v>
      </c>
      <c r="C333" s="31">
        <f>+SW_CE_CONTI!C332</f>
        <v>0</v>
      </c>
      <c r="D333" s="31">
        <f>+SW_CE_CONTI!D332</f>
        <v>0</v>
      </c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</row>
    <row r="334" ht="14.5">
      <c r="B334" s="31">
        <f>+SW_CE_CONTI!B333</f>
        <v>0</v>
      </c>
      <c r="C334" s="31">
        <f>+SW_CE_CONTI!C333</f>
        <v>0</v>
      </c>
      <c r="D334" s="31">
        <f>+SW_CE_CONTI!D333</f>
        <v>0</v>
      </c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</row>
    <row r="335" ht="14.5">
      <c r="B335" s="31">
        <f>+SW_CE_CONTI!B334</f>
        <v>0</v>
      </c>
      <c r="C335" s="31">
        <f>+SW_CE_CONTI!C334</f>
        <v>0</v>
      </c>
      <c r="D335" s="31">
        <f>+SW_CE_CONTI!D334</f>
        <v>0</v>
      </c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</row>
    <row r="336" ht="14.5">
      <c r="B336" s="31">
        <f>+SW_CE_CONTI!B335</f>
        <v>0</v>
      </c>
      <c r="C336" s="31">
        <f>+SW_CE_CONTI!C335</f>
        <v>0</v>
      </c>
      <c r="D336" s="31">
        <f>+SW_CE_CONTI!D335</f>
        <v>0</v>
      </c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</row>
    <row r="337" ht="14.5">
      <c r="B337" s="31">
        <f>+SW_CE_CONTI!B336</f>
        <v>0</v>
      </c>
      <c r="C337" s="31">
        <f>+SW_CE_CONTI!C336</f>
        <v>0</v>
      </c>
      <c r="D337" s="31">
        <f>+SW_CE_CONTI!D336</f>
        <v>0</v>
      </c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</row>
    <row r="338" ht="14.5">
      <c r="B338" s="31">
        <f>+SW_CE_CONTI!B337</f>
        <v>0</v>
      </c>
      <c r="C338" s="31">
        <f>+SW_CE_CONTI!C337</f>
        <v>0</v>
      </c>
      <c r="D338" s="31">
        <f>+SW_CE_CONTI!D337</f>
        <v>0</v>
      </c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</row>
    <row r="339" ht="14.5">
      <c r="B339" s="31">
        <f>+SW_CE_CONTI!B338</f>
        <v>0</v>
      </c>
      <c r="C339" s="31">
        <f>+SW_CE_CONTI!C338</f>
        <v>0</v>
      </c>
      <c r="D339" s="31">
        <f>+SW_CE_CONTI!D338</f>
        <v>0</v>
      </c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</row>
    <row r="340" ht="14.5">
      <c r="B340" s="31">
        <f>+SW_CE_CONTI!B339</f>
        <v>0</v>
      </c>
      <c r="C340" s="31">
        <f>+SW_CE_CONTI!C339</f>
        <v>0</v>
      </c>
      <c r="D340" s="31">
        <f>+SW_CE_CONTI!D339</f>
        <v>0</v>
      </c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</row>
    <row r="341" ht="14.5">
      <c r="B341" s="31">
        <f>+SW_CE_CONTI!B340</f>
        <v>0</v>
      </c>
      <c r="C341" s="31">
        <f>+SW_CE_CONTI!C340</f>
        <v>0</v>
      </c>
      <c r="D341" s="31">
        <f>+SW_CE_CONTI!D340</f>
        <v>0</v>
      </c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</row>
    <row r="342" ht="14.5">
      <c r="B342" s="31">
        <f>+SW_CE_CONTI!B341</f>
        <v>0</v>
      </c>
      <c r="C342" s="31">
        <f>+SW_CE_CONTI!C341</f>
        <v>0</v>
      </c>
      <c r="D342" s="31">
        <f>+SW_CE_CONTI!D341</f>
        <v>0</v>
      </c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</row>
    <row r="343" ht="14.5">
      <c r="B343" s="31">
        <f>+SW_CE_CONTI!B342</f>
        <v>0</v>
      </c>
      <c r="C343" s="31">
        <f>+SW_CE_CONTI!C342</f>
        <v>0</v>
      </c>
      <c r="D343" s="31">
        <f>+SW_CE_CONTI!D342</f>
        <v>0</v>
      </c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</row>
    <row r="344" ht="14.5">
      <c r="B344" s="31">
        <f>+SW_CE_CONTI!B343</f>
        <v>0</v>
      </c>
      <c r="C344" s="31">
        <f>+SW_CE_CONTI!C343</f>
        <v>0</v>
      </c>
      <c r="D344" s="31">
        <f>+SW_CE_CONTI!D343</f>
        <v>0</v>
      </c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</row>
    <row r="345" ht="14.5">
      <c r="B345" s="31">
        <f>+SW_CE_CONTI!B344</f>
        <v>0</v>
      </c>
      <c r="C345" s="31">
        <f>+SW_CE_CONTI!C344</f>
        <v>0</v>
      </c>
      <c r="D345" s="31">
        <f>+SW_CE_CONTI!D344</f>
        <v>0</v>
      </c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</row>
    <row r="346" ht="14.5">
      <c r="B346" s="31">
        <f>+SW_CE_CONTI!B345</f>
        <v>0</v>
      </c>
      <c r="C346" s="31">
        <f>+SW_CE_CONTI!C345</f>
        <v>0</v>
      </c>
      <c r="D346" s="31">
        <f>+SW_CE_CONTI!D345</f>
        <v>0</v>
      </c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</row>
    <row r="347" ht="14.5">
      <c r="B347" s="31">
        <f>+SW_CE_CONTI!B346</f>
        <v>0</v>
      </c>
      <c r="C347" s="31">
        <f>+SW_CE_CONTI!C346</f>
        <v>0</v>
      </c>
      <c r="D347" s="31">
        <f>+SW_CE_CONTI!D346</f>
        <v>0</v>
      </c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</row>
    <row r="348" ht="14.5">
      <c r="B348" s="31">
        <f>+SW_CE_CONTI!B347</f>
        <v>0</v>
      </c>
      <c r="C348" s="31">
        <f>+SW_CE_CONTI!C347</f>
        <v>0</v>
      </c>
      <c r="D348" s="31">
        <f>+SW_CE_CONTI!D347</f>
        <v>0</v>
      </c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</row>
    <row r="349" ht="14.5">
      <c r="B349" s="31">
        <f>+SW_CE_CONTI!B348</f>
        <v>0</v>
      </c>
      <c r="C349" s="31">
        <f>+SW_CE_CONTI!C348</f>
        <v>0</v>
      </c>
      <c r="D349" s="31">
        <f>+SW_CE_CONTI!D348</f>
        <v>0</v>
      </c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</row>
    <row r="350" ht="14.5">
      <c r="B350" s="31">
        <f>+SW_CE_CONTI!B349</f>
        <v>0</v>
      </c>
      <c r="C350" s="31">
        <f>+SW_CE_CONTI!C349</f>
        <v>0</v>
      </c>
      <c r="D350" s="31">
        <f>+SW_CE_CONTI!D349</f>
        <v>0</v>
      </c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</row>
    <row r="351" ht="14.5">
      <c r="B351" s="31">
        <f>+SW_CE_CONTI!B350</f>
        <v>0</v>
      </c>
      <c r="C351" s="31">
        <f>+SW_CE_CONTI!C350</f>
        <v>0</v>
      </c>
      <c r="D351" s="31">
        <f>+SW_CE_CONTI!D350</f>
        <v>0</v>
      </c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</row>
    <row r="352" ht="14.5">
      <c r="B352" s="31">
        <f>+SW_CE_CONTI!B351</f>
        <v>0</v>
      </c>
      <c r="C352" s="31">
        <f>+SW_CE_CONTI!C351</f>
        <v>0</v>
      </c>
      <c r="D352" s="31">
        <f>+SW_CE_CONTI!D351</f>
        <v>0</v>
      </c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</row>
    <row r="353" ht="14.5">
      <c r="B353" s="31">
        <f>+SW_CE_CONTI!B352</f>
        <v>0</v>
      </c>
      <c r="C353" s="31">
        <f>+SW_CE_CONTI!C352</f>
        <v>0</v>
      </c>
      <c r="D353" s="31">
        <f>+SW_CE_CONTI!D352</f>
        <v>0</v>
      </c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</row>
    <row r="354" ht="14.5">
      <c r="B354" s="31">
        <f>+SW_CE_CONTI!B353</f>
        <v>0</v>
      </c>
      <c r="C354" s="31">
        <f>+SW_CE_CONTI!C353</f>
        <v>0</v>
      </c>
      <c r="D354" s="31">
        <f>+SW_CE_CONTI!D353</f>
        <v>0</v>
      </c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</row>
    <row r="355" ht="14.5">
      <c r="B355" s="31">
        <f>+SW_CE_CONTI!B354</f>
        <v>0</v>
      </c>
      <c r="C355" s="31">
        <f>+SW_CE_CONTI!C354</f>
        <v>0</v>
      </c>
      <c r="D355" s="31">
        <f>+SW_CE_CONTI!D354</f>
        <v>0</v>
      </c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</row>
    <row r="356" ht="14.5">
      <c r="B356" s="31">
        <f>+SW_CE_CONTI!B355</f>
        <v>0</v>
      </c>
      <c r="C356" s="31">
        <f>+SW_CE_CONTI!C355</f>
        <v>0</v>
      </c>
      <c r="D356" s="31">
        <f>+SW_CE_CONTI!D355</f>
        <v>0</v>
      </c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</row>
    <row r="357" ht="14.5">
      <c r="B357" s="31">
        <f>+SW_CE_CONTI!B356</f>
        <v>0</v>
      </c>
      <c r="C357" s="31">
        <f>+SW_CE_CONTI!C356</f>
        <v>0</v>
      </c>
      <c r="D357" s="31">
        <f>+SW_CE_CONTI!D356</f>
        <v>0</v>
      </c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</row>
    <row r="358" ht="14.5">
      <c r="B358" s="31">
        <f>+SW_CE_CONTI!B357</f>
        <v>0</v>
      </c>
      <c r="C358" s="31">
        <f>+SW_CE_CONTI!C357</f>
        <v>0</v>
      </c>
      <c r="D358" s="31">
        <f>+SW_CE_CONTI!D357</f>
        <v>0</v>
      </c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</row>
    <row r="359" ht="14.5">
      <c r="B359" s="31">
        <f>+SW_CE_CONTI!B358</f>
        <v>0</v>
      </c>
      <c r="C359" s="31">
        <f>+SW_CE_CONTI!C358</f>
        <v>0</v>
      </c>
      <c r="D359" s="31">
        <f>+SW_CE_CONTI!D358</f>
        <v>0</v>
      </c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</row>
    <row r="360" ht="14.5">
      <c r="B360" s="31">
        <f>+SW_CE_CONTI!B359</f>
        <v>0</v>
      </c>
      <c r="C360" s="31">
        <f>+SW_CE_CONTI!C359</f>
        <v>0</v>
      </c>
      <c r="D360" s="31">
        <f>+SW_CE_CONTI!D359</f>
        <v>0</v>
      </c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</row>
    <row r="361" ht="14.5">
      <c r="B361" s="31">
        <f>+SW_CE_CONTI!B360</f>
        <v>0</v>
      </c>
      <c r="C361" s="31">
        <f>+SW_CE_CONTI!C360</f>
        <v>0</v>
      </c>
      <c r="D361" s="31">
        <f>+SW_CE_CONTI!D360</f>
        <v>0</v>
      </c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</row>
    <row r="362" ht="14.5">
      <c r="B362" s="31">
        <f>+SW_CE_CONTI!B361</f>
        <v>0</v>
      </c>
      <c r="C362" s="31">
        <f>+SW_CE_CONTI!C361</f>
        <v>0</v>
      </c>
      <c r="D362" s="31">
        <f>+SW_CE_CONTI!D361</f>
        <v>0</v>
      </c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</row>
    <row r="363" ht="14.5">
      <c r="B363" s="31">
        <f>+SW_CE_CONTI!B362</f>
        <v>0</v>
      </c>
      <c r="C363" s="31">
        <f>+SW_CE_CONTI!C362</f>
        <v>0</v>
      </c>
      <c r="D363" s="31">
        <f>+SW_CE_CONTI!D362</f>
        <v>0</v>
      </c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</row>
    <row r="364" ht="14.5">
      <c r="B364" s="31">
        <f>+SW_CE_CONTI!B363</f>
        <v>0</v>
      </c>
      <c r="C364" s="31">
        <f>+SW_CE_CONTI!C363</f>
        <v>0</v>
      </c>
      <c r="D364" s="31">
        <f>+SW_CE_CONTI!D363</f>
        <v>0</v>
      </c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</row>
    <row r="365" ht="14.5">
      <c r="B365" s="31">
        <f>+SW_CE_CONTI!B364</f>
        <v>0</v>
      </c>
      <c r="C365" s="31">
        <f>+SW_CE_CONTI!C364</f>
        <v>0</v>
      </c>
      <c r="D365" s="31">
        <f>+SW_CE_CONTI!D364</f>
        <v>0</v>
      </c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</row>
    <row r="366" ht="14.5">
      <c r="B366" s="31">
        <f>+SW_CE_CONTI!B365</f>
        <v>0</v>
      </c>
      <c r="C366" s="31">
        <f>+SW_CE_CONTI!C365</f>
        <v>0</v>
      </c>
      <c r="D366" s="31">
        <f>+SW_CE_CONTI!D365</f>
        <v>0</v>
      </c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</row>
    <row r="367" ht="14.5">
      <c r="B367" s="31">
        <f>+SW_CE_CONTI!B366</f>
        <v>0</v>
      </c>
      <c r="C367" s="31">
        <f>+SW_CE_CONTI!C366</f>
        <v>0</v>
      </c>
      <c r="D367" s="31">
        <f>+SW_CE_CONTI!D366</f>
        <v>0</v>
      </c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</row>
    <row r="368" ht="14.5">
      <c r="B368" s="31">
        <f>+SW_CE_CONTI!B367</f>
        <v>0</v>
      </c>
      <c r="C368" s="31">
        <f>+SW_CE_CONTI!C367</f>
        <v>0</v>
      </c>
      <c r="D368" s="31">
        <f>+SW_CE_CONTI!D367</f>
        <v>0</v>
      </c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</row>
    <row r="369" ht="14.5">
      <c r="B369" s="31">
        <f>+SW_CE_CONTI!B368</f>
        <v>0</v>
      </c>
      <c r="C369" s="31">
        <f>+SW_CE_CONTI!C368</f>
        <v>0</v>
      </c>
      <c r="D369" s="31">
        <f>+SW_CE_CONTI!D368</f>
        <v>0</v>
      </c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</row>
    <row r="370" ht="14.5">
      <c r="B370" s="31">
        <f>+SW_CE_CONTI!B369</f>
        <v>0</v>
      </c>
      <c r="C370" s="31">
        <f>+SW_CE_CONTI!C369</f>
        <v>0</v>
      </c>
      <c r="D370" s="31">
        <f>+SW_CE_CONTI!D369</f>
        <v>0</v>
      </c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</row>
    <row r="371" ht="14.5">
      <c r="B371" s="31">
        <f>+SW_CE_CONTI!B370</f>
        <v>0</v>
      </c>
      <c r="C371" s="31">
        <f>+SW_CE_CONTI!C370</f>
        <v>0</v>
      </c>
      <c r="D371" s="31">
        <f>+SW_CE_CONTI!D370</f>
        <v>0</v>
      </c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</row>
    <row r="372" ht="14.5">
      <c r="B372" s="31">
        <f>+SW_CE_CONTI!B371</f>
        <v>0</v>
      </c>
      <c r="C372" s="31">
        <f>+SW_CE_CONTI!C371</f>
        <v>0</v>
      </c>
      <c r="D372" s="31">
        <f>+SW_CE_CONTI!D371</f>
        <v>0</v>
      </c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</row>
    <row r="373" ht="14.5">
      <c r="B373" s="31">
        <f>+SW_CE_CONTI!B372</f>
        <v>0</v>
      </c>
      <c r="C373" s="31">
        <f>+SW_CE_CONTI!C372</f>
        <v>0</v>
      </c>
      <c r="D373" s="31">
        <f>+SW_CE_CONTI!D372</f>
        <v>0</v>
      </c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</row>
    <row r="374" ht="14.5">
      <c r="B374" s="31">
        <f>+SW_CE_CONTI!B373</f>
        <v>0</v>
      </c>
      <c r="C374" s="31">
        <f>+SW_CE_CONTI!C373</f>
        <v>0</v>
      </c>
      <c r="D374" s="31">
        <f>+SW_CE_CONTI!D373</f>
        <v>0</v>
      </c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</row>
    <row r="375" ht="14.5">
      <c r="B375" s="31">
        <f>+SW_CE_CONTI!B374</f>
        <v>0</v>
      </c>
      <c r="C375" s="31">
        <f>+SW_CE_CONTI!C374</f>
        <v>0</v>
      </c>
      <c r="D375" s="31">
        <f>+SW_CE_CONTI!D374</f>
        <v>0</v>
      </c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</row>
    <row r="376" ht="14.5">
      <c r="B376" s="31">
        <f>+SW_CE_CONTI!B375</f>
        <v>0</v>
      </c>
      <c r="C376" s="31">
        <f>+SW_CE_CONTI!C375</f>
        <v>0</v>
      </c>
      <c r="D376" s="31">
        <f>+SW_CE_CONTI!D375</f>
        <v>0</v>
      </c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</row>
    <row r="377" ht="14.5">
      <c r="B377" s="31">
        <f>+SW_CE_CONTI!B376</f>
        <v>0</v>
      </c>
      <c r="C377" s="31">
        <f>+SW_CE_CONTI!C376</f>
        <v>0</v>
      </c>
      <c r="D377" s="31">
        <f>+SW_CE_CONTI!D376</f>
        <v>0</v>
      </c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</row>
    <row r="378" ht="14.5">
      <c r="B378" s="31">
        <f>+SW_CE_CONTI!B377</f>
        <v>0</v>
      </c>
      <c r="C378" s="31">
        <f>+SW_CE_CONTI!C377</f>
        <v>0</v>
      </c>
      <c r="D378" s="31">
        <f>+SW_CE_CONTI!D377</f>
        <v>0</v>
      </c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</row>
    <row r="379" ht="14.5">
      <c r="B379" s="31">
        <f>+SW_CE_CONTI!B378</f>
        <v>0</v>
      </c>
      <c r="C379" s="31">
        <f>+SW_CE_CONTI!C378</f>
        <v>0</v>
      </c>
      <c r="D379" s="31">
        <f>+SW_CE_CONTI!D378</f>
        <v>0</v>
      </c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</row>
    <row r="380" ht="14.5">
      <c r="B380" s="31">
        <f>+SW_CE_CONTI!B379</f>
        <v>0</v>
      </c>
      <c r="C380" s="31">
        <f>+SW_CE_CONTI!C379</f>
        <v>0</v>
      </c>
      <c r="D380" s="31">
        <f>+SW_CE_CONTI!D379</f>
        <v>0</v>
      </c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</row>
    <row r="381" ht="14.5">
      <c r="B381" s="31">
        <f>+SW_CE_CONTI!B380</f>
        <v>0</v>
      </c>
      <c r="C381" s="31">
        <f>+SW_CE_CONTI!C380</f>
        <v>0</v>
      </c>
      <c r="D381" s="31">
        <f>+SW_CE_CONTI!D380</f>
        <v>0</v>
      </c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</row>
    <row r="382" ht="14.5">
      <c r="B382" s="31">
        <f>+SW_CE_CONTI!B381</f>
        <v>0</v>
      </c>
      <c r="C382" s="31">
        <f>+SW_CE_CONTI!C381</f>
        <v>0</v>
      </c>
      <c r="D382" s="31">
        <f>+SW_CE_CONTI!D381</f>
        <v>0</v>
      </c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</row>
    <row r="383" ht="14.5">
      <c r="B383" s="31">
        <f>+SW_CE_CONTI!B382</f>
        <v>0</v>
      </c>
      <c r="C383" s="31">
        <f>+SW_CE_CONTI!C382</f>
        <v>0</v>
      </c>
      <c r="D383" s="31">
        <f>+SW_CE_CONTI!D382</f>
        <v>0</v>
      </c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</row>
    <row r="384" ht="14.5">
      <c r="B384" s="31">
        <f>+SW_CE_CONTI!B383</f>
        <v>0</v>
      </c>
      <c r="C384" s="31">
        <f>+SW_CE_CONTI!C383</f>
        <v>0</v>
      </c>
      <c r="D384" s="31">
        <f>+SW_CE_CONTI!D383</f>
        <v>0</v>
      </c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</row>
    <row r="385" ht="14.5">
      <c r="B385" s="31">
        <f>+SW_CE_CONTI!B384</f>
        <v>0</v>
      </c>
      <c r="C385" s="31">
        <f>+SW_CE_CONTI!C384</f>
        <v>0</v>
      </c>
      <c r="D385" s="31">
        <f>+SW_CE_CONTI!D384</f>
        <v>0</v>
      </c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</row>
    <row r="386" ht="14.5">
      <c r="B386" s="31">
        <f>+SW_CE_CONTI!B385</f>
        <v>0</v>
      </c>
      <c r="C386" s="31">
        <f>+SW_CE_CONTI!C385</f>
        <v>0</v>
      </c>
      <c r="D386" s="31">
        <f>+SW_CE_CONTI!D385</f>
        <v>0</v>
      </c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</row>
    <row r="387" ht="14.5">
      <c r="B387" s="31">
        <f>+SW_CE_CONTI!B386</f>
        <v>0</v>
      </c>
      <c r="C387" s="31">
        <f>+SW_CE_CONTI!C386</f>
        <v>0</v>
      </c>
      <c r="D387" s="31">
        <f>+SW_CE_CONTI!D386</f>
        <v>0</v>
      </c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</row>
    <row r="388" ht="14.5">
      <c r="B388" s="31">
        <f>+SW_CE_CONTI!B387</f>
        <v>0</v>
      </c>
      <c r="C388" s="31">
        <f>+SW_CE_CONTI!C387</f>
        <v>0</v>
      </c>
      <c r="D388" s="31">
        <f>+SW_CE_CONTI!D387</f>
        <v>0</v>
      </c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</row>
    <row r="389" ht="14.5">
      <c r="B389" s="31">
        <f>+SW_CE_CONTI!B388</f>
        <v>0</v>
      </c>
      <c r="C389" s="31">
        <f>+SW_CE_CONTI!C388</f>
        <v>0</v>
      </c>
      <c r="D389" s="31">
        <f>+SW_CE_CONTI!D388</f>
        <v>0</v>
      </c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</row>
    <row r="390" ht="14.5">
      <c r="B390" s="31">
        <f>+SW_CE_CONTI!B389</f>
        <v>0</v>
      </c>
      <c r="C390" s="31">
        <f>+SW_CE_CONTI!C389</f>
        <v>0</v>
      </c>
      <c r="D390" s="31">
        <f>+SW_CE_CONTI!D389</f>
        <v>0</v>
      </c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</row>
    <row r="391" ht="14.5">
      <c r="B391" s="31">
        <f>+SW_CE_CONTI!B390</f>
        <v>0</v>
      </c>
      <c r="C391" s="31">
        <f>+SW_CE_CONTI!C390</f>
        <v>0</v>
      </c>
      <c r="D391" s="31">
        <f>+SW_CE_CONTI!D390</f>
        <v>0</v>
      </c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</row>
    <row r="392" ht="14.5">
      <c r="B392" s="31">
        <f>+SW_CE_CONTI!B391</f>
        <v>0</v>
      </c>
      <c r="C392" s="31">
        <f>+SW_CE_CONTI!C391</f>
        <v>0</v>
      </c>
      <c r="D392" s="31">
        <f>+SW_CE_CONTI!D391</f>
        <v>0</v>
      </c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</row>
    <row r="393" ht="14.5">
      <c r="B393" s="31">
        <f>+SW_CE_CONTI!B392</f>
        <v>0</v>
      </c>
      <c r="C393" s="31">
        <f>+SW_CE_CONTI!C392</f>
        <v>0</v>
      </c>
      <c r="D393" s="31">
        <f>+SW_CE_CONTI!D392</f>
        <v>0</v>
      </c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</row>
    <row r="394" ht="14.5">
      <c r="B394" s="31">
        <f>+SW_CE_CONTI!B393</f>
        <v>0</v>
      </c>
      <c r="C394" s="31">
        <f>+SW_CE_CONTI!C393</f>
        <v>0</v>
      </c>
      <c r="D394" s="31">
        <f>+SW_CE_CONTI!D393</f>
        <v>0</v>
      </c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</row>
    <row r="395" ht="14.5">
      <c r="B395" s="31">
        <f>+SW_CE_CONTI!B394</f>
        <v>0</v>
      </c>
      <c r="C395" s="31">
        <f>+SW_CE_CONTI!C394</f>
        <v>0</v>
      </c>
      <c r="D395" s="31">
        <f>+SW_CE_CONTI!D394</f>
        <v>0</v>
      </c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</row>
    <row r="396" ht="14.5">
      <c r="B396" s="31">
        <f>+SW_CE_CONTI!B395</f>
        <v>0</v>
      </c>
      <c r="C396" s="31">
        <f>+SW_CE_CONTI!C395</f>
        <v>0</v>
      </c>
      <c r="D396" s="31">
        <f>+SW_CE_CONTI!D395</f>
        <v>0</v>
      </c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</row>
    <row r="397" ht="14.5">
      <c r="B397" s="31">
        <f>+SW_CE_CONTI!B396</f>
        <v>0</v>
      </c>
      <c r="C397" s="31">
        <f>+SW_CE_CONTI!C396</f>
        <v>0</v>
      </c>
      <c r="D397" s="31">
        <f>+SW_CE_CONTI!D396</f>
        <v>0</v>
      </c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</row>
    <row r="398" ht="14.5">
      <c r="B398" s="31">
        <f>+SW_CE_CONTI!B397</f>
        <v>0</v>
      </c>
      <c r="C398" s="31">
        <f>+SW_CE_CONTI!C397</f>
        <v>0</v>
      </c>
      <c r="D398" s="31">
        <f>+SW_CE_CONTI!D397</f>
        <v>0</v>
      </c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</row>
    <row r="399" ht="14.5">
      <c r="B399" s="31">
        <f>+SW_CE_CONTI!B398</f>
        <v>0</v>
      </c>
      <c r="C399" s="31">
        <f>+SW_CE_CONTI!C398</f>
        <v>0</v>
      </c>
      <c r="D399" s="31">
        <f>+SW_CE_CONTI!D398</f>
        <v>0</v>
      </c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</row>
    <row r="400" ht="14.5">
      <c r="B400" s="31">
        <f>+SW_CE_CONTI!B399</f>
        <v>0</v>
      </c>
      <c r="C400" s="31">
        <f>+SW_CE_CONTI!C399</f>
        <v>0</v>
      </c>
      <c r="D400" s="31">
        <f>+SW_CE_CONTI!D399</f>
        <v>0</v>
      </c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</row>
    <row r="401" ht="14.5">
      <c r="B401" s="31">
        <f>+SW_CE_CONTI!B400</f>
        <v>0</v>
      </c>
      <c r="C401" s="31">
        <f>+SW_CE_CONTI!C400</f>
        <v>0</v>
      </c>
      <c r="D401" s="31">
        <f>+SW_CE_CONTI!D400</f>
        <v>0</v>
      </c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</row>
    <row r="402" ht="14.5">
      <c r="B402" s="31">
        <f>+SW_CE_CONTI!B401</f>
        <v>0</v>
      </c>
      <c r="C402" s="31">
        <f>+SW_CE_CONTI!C401</f>
        <v>0</v>
      </c>
      <c r="D402" s="31">
        <f>+SW_CE_CONTI!D401</f>
        <v>0</v>
      </c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</row>
    <row r="403" ht="14.5">
      <c r="B403" s="31">
        <f>+SW_CE_CONTI!B402</f>
        <v>0</v>
      </c>
      <c r="C403" s="31">
        <f>+SW_CE_CONTI!C402</f>
        <v>0</v>
      </c>
      <c r="D403" s="31">
        <f>+SW_CE_CONTI!D402</f>
        <v>0</v>
      </c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</row>
    <row r="404" ht="14.5">
      <c r="B404" s="31">
        <f>+SW_CE_CONTI!B403</f>
        <v>0</v>
      </c>
      <c r="C404" s="31">
        <f>+SW_CE_CONTI!C403</f>
        <v>0</v>
      </c>
      <c r="D404" s="31">
        <f>+SW_CE_CONTI!D403</f>
        <v>0</v>
      </c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</row>
    <row r="405" ht="14.5">
      <c r="B405" s="31">
        <f>+SW_CE_CONTI!B404</f>
        <v>0</v>
      </c>
      <c r="C405" s="31">
        <f>+SW_CE_CONTI!C404</f>
        <v>0</v>
      </c>
      <c r="D405" s="31">
        <f>+SW_CE_CONTI!D404</f>
        <v>0</v>
      </c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</row>
    <row r="406" ht="14.5">
      <c r="B406" s="31">
        <f>+SW_CE_CONTI!B405</f>
        <v>0</v>
      </c>
      <c r="C406" s="31">
        <f>+SW_CE_CONTI!C405</f>
        <v>0</v>
      </c>
      <c r="D406" s="31">
        <f>+SW_CE_CONTI!D405</f>
        <v>0</v>
      </c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</row>
    <row r="407" ht="14.5">
      <c r="B407" s="31">
        <f>+SW_CE_CONTI!B406</f>
        <v>0</v>
      </c>
      <c r="C407" s="31">
        <f>+SW_CE_CONTI!C406</f>
        <v>0</v>
      </c>
      <c r="D407" s="31">
        <f>+SW_CE_CONTI!D406</f>
        <v>0</v>
      </c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</row>
    <row r="408" ht="14.5">
      <c r="B408" s="31">
        <f>+SW_CE_CONTI!B407</f>
        <v>0</v>
      </c>
      <c r="C408" s="31">
        <f>+SW_CE_CONTI!C407</f>
        <v>0</v>
      </c>
      <c r="D408" s="31">
        <f>+SW_CE_CONTI!D407</f>
        <v>0</v>
      </c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</row>
    <row r="409" ht="14.5">
      <c r="B409" s="31">
        <f>+SW_CE_CONTI!B408</f>
        <v>0</v>
      </c>
      <c r="C409" s="31">
        <f>+SW_CE_CONTI!C408</f>
        <v>0</v>
      </c>
      <c r="D409" s="31">
        <f>+SW_CE_CONTI!D408</f>
        <v>0</v>
      </c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</row>
    <row r="410" ht="14.5">
      <c r="B410" s="31">
        <f>+SW_CE_CONTI!B409</f>
        <v>0</v>
      </c>
      <c r="C410" s="31">
        <f>+SW_CE_CONTI!C409</f>
        <v>0</v>
      </c>
      <c r="D410" s="31">
        <f>+SW_CE_CONTI!D409</f>
        <v>0</v>
      </c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</row>
    <row r="411" ht="14.5">
      <c r="B411" s="31">
        <f>+SW_CE_CONTI!B410</f>
        <v>0</v>
      </c>
      <c r="C411" s="31">
        <f>+SW_CE_CONTI!C410</f>
        <v>0</v>
      </c>
      <c r="D411" s="31">
        <f>+SW_CE_CONTI!D410</f>
        <v>0</v>
      </c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</row>
    <row r="412" ht="14.5">
      <c r="B412" s="31">
        <f>+SW_CE_CONTI!B411</f>
        <v>0</v>
      </c>
      <c r="C412" s="31">
        <f>+SW_CE_CONTI!C411</f>
        <v>0</v>
      </c>
      <c r="D412" s="31">
        <f>+SW_CE_CONTI!D411</f>
        <v>0</v>
      </c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</row>
    <row r="413" ht="14.5">
      <c r="B413" s="31">
        <f>+SW_CE_CONTI!B412</f>
        <v>0</v>
      </c>
      <c r="C413" s="31">
        <f>+SW_CE_CONTI!C412</f>
        <v>0</v>
      </c>
      <c r="D413" s="31">
        <f>+SW_CE_CONTI!D412</f>
        <v>0</v>
      </c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</row>
    <row r="414" ht="14.5">
      <c r="B414" s="31">
        <f>+SW_CE_CONTI!B413</f>
        <v>0</v>
      </c>
      <c r="C414" s="31">
        <f>+SW_CE_CONTI!C413</f>
        <v>0</v>
      </c>
      <c r="D414" s="31">
        <f>+SW_CE_CONTI!D413</f>
        <v>0</v>
      </c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</row>
    <row r="415" ht="14.5">
      <c r="B415" s="31">
        <f>+SW_CE_CONTI!B414</f>
        <v>0</v>
      </c>
      <c r="C415" s="31">
        <f>+SW_CE_CONTI!C414</f>
        <v>0</v>
      </c>
      <c r="D415" s="31">
        <f>+SW_CE_CONTI!D414</f>
        <v>0</v>
      </c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</row>
    <row r="416" ht="14.5">
      <c r="B416" s="31">
        <f>+SW_CE_CONTI!B415</f>
        <v>0</v>
      </c>
      <c r="C416" s="31">
        <f>+SW_CE_CONTI!C415</f>
        <v>0</v>
      </c>
      <c r="D416" s="31">
        <f>+SW_CE_CONTI!D415</f>
        <v>0</v>
      </c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</row>
    <row r="417" ht="14.5">
      <c r="B417" s="31">
        <f>+SW_CE_CONTI!B416</f>
        <v>0</v>
      </c>
      <c r="C417" s="31">
        <f>+SW_CE_CONTI!C416</f>
        <v>0</v>
      </c>
      <c r="D417" s="31">
        <f>+SW_CE_CONTI!D416</f>
        <v>0</v>
      </c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</row>
    <row r="418" ht="14.5">
      <c r="B418" s="31">
        <f>+SW_CE_CONTI!B417</f>
        <v>0</v>
      </c>
      <c r="C418" s="31">
        <f>+SW_CE_CONTI!C417</f>
        <v>0</v>
      </c>
      <c r="D418" s="31">
        <f>+SW_CE_CONTI!D417</f>
        <v>0</v>
      </c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</row>
    <row r="419" ht="14.5">
      <c r="B419" s="31">
        <f>+SW_CE_CONTI!B418</f>
        <v>0</v>
      </c>
      <c r="C419" s="31">
        <f>+SW_CE_CONTI!C418</f>
        <v>0</v>
      </c>
      <c r="D419" s="31">
        <f>+SW_CE_CONTI!D418</f>
        <v>0</v>
      </c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</row>
    <row r="420" ht="14.5">
      <c r="B420" s="31">
        <f>+SW_CE_CONTI!B419</f>
        <v>0</v>
      </c>
      <c r="C420" s="31">
        <f>+SW_CE_CONTI!C419</f>
        <v>0</v>
      </c>
      <c r="D420" s="31">
        <f>+SW_CE_CONTI!D419</f>
        <v>0</v>
      </c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</row>
    <row r="421" ht="14.5">
      <c r="B421" s="31">
        <f>+SW_CE_CONTI!B420</f>
        <v>0</v>
      </c>
      <c r="C421" s="31">
        <f>+SW_CE_CONTI!C420</f>
        <v>0</v>
      </c>
      <c r="D421" s="31">
        <f>+SW_CE_CONTI!D420</f>
        <v>0</v>
      </c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</row>
    <row r="422" ht="14.5">
      <c r="B422" s="31">
        <f>+SW_CE_CONTI!B421</f>
        <v>0</v>
      </c>
      <c r="C422" s="31">
        <f>+SW_CE_CONTI!C421</f>
        <v>0</v>
      </c>
      <c r="D422" s="31">
        <f>+SW_CE_CONTI!D421</f>
        <v>0</v>
      </c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</row>
    <row r="423" ht="14.5">
      <c r="B423" s="31">
        <f>+SW_CE_CONTI!B422</f>
        <v>0</v>
      </c>
      <c r="C423" s="31">
        <f>+SW_CE_CONTI!C422</f>
        <v>0</v>
      </c>
      <c r="D423" s="31">
        <f>+SW_CE_CONTI!D422</f>
        <v>0</v>
      </c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</row>
    <row r="424" ht="14.5">
      <c r="B424" s="31">
        <f>+SW_CE_CONTI!B423</f>
        <v>0</v>
      </c>
      <c r="C424" s="31">
        <f>+SW_CE_CONTI!C423</f>
        <v>0</v>
      </c>
      <c r="D424" s="31">
        <f>+SW_CE_CONTI!D423</f>
        <v>0</v>
      </c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</row>
    <row r="425" ht="14.5">
      <c r="B425" s="31">
        <f>+SW_CE_CONTI!B424</f>
        <v>0</v>
      </c>
      <c r="C425" s="31">
        <f>+SW_CE_CONTI!C424</f>
        <v>0</v>
      </c>
      <c r="D425" s="31">
        <f>+SW_CE_CONTI!D424</f>
        <v>0</v>
      </c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</row>
    <row r="426" ht="14.5">
      <c r="B426" s="31">
        <f>+SW_CE_CONTI!B425</f>
        <v>0</v>
      </c>
      <c r="C426" s="31">
        <f>+SW_CE_CONTI!C425</f>
        <v>0</v>
      </c>
      <c r="D426" s="31">
        <f>+SW_CE_CONTI!D425</f>
        <v>0</v>
      </c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</row>
    <row r="427" ht="14.5">
      <c r="B427" s="31">
        <f>+SW_CE_CONTI!B426</f>
        <v>0</v>
      </c>
      <c r="C427" s="31">
        <f>+SW_CE_CONTI!C426</f>
        <v>0</v>
      </c>
      <c r="D427" s="31">
        <f>+SW_CE_CONTI!D426</f>
        <v>0</v>
      </c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</row>
    <row r="428" ht="14.5">
      <c r="B428" s="31">
        <f>+SW_CE_CONTI!B427</f>
        <v>0</v>
      </c>
      <c r="C428" s="31">
        <f>+SW_CE_CONTI!C427</f>
        <v>0</v>
      </c>
      <c r="D428" s="31">
        <f>+SW_CE_CONTI!D427</f>
        <v>0</v>
      </c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</row>
    <row r="429" ht="14.5">
      <c r="B429" s="31">
        <f>+SW_CE_CONTI!B428</f>
        <v>0</v>
      </c>
      <c r="C429" s="31">
        <f>+SW_CE_CONTI!C428</f>
        <v>0</v>
      </c>
      <c r="D429" s="31">
        <f>+SW_CE_CONTI!D428</f>
        <v>0</v>
      </c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</row>
    <row r="430" ht="14.5">
      <c r="B430" s="31">
        <f>+SW_CE_CONTI!B429</f>
        <v>0</v>
      </c>
      <c r="C430" s="31">
        <f>+SW_CE_CONTI!C429</f>
        <v>0</v>
      </c>
      <c r="D430" s="31">
        <f>+SW_CE_CONTI!D429</f>
        <v>0</v>
      </c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</row>
    <row r="431" ht="14.5">
      <c r="B431" s="31">
        <f>+SW_CE_CONTI!B430</f>
        <v>0</v>
      </c>
      <c r="C431" s="31">
        <f>+SW_CE_CONTI!C430</f>
        <v>0</v>
      </c>
      <c r="D431" s="31">
        <f>+SW_CE_CONTI!D430</f>
        <v>0</v>
      </c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</row>
    <row r="432" ht="14.5">
      <c r="B432" s="31">
        <f>+SW_CE_CONTI!B431</f>
        <v>0</v>
      </c>
      <c r="C432" s="31">
        <f>+SW_CE_CONTI!C431</f>
        <v>0</v>
      </c>
      <c r="D432" s="31">
        <f>+SW_CE_CONTI!D431</f>
        <v>0</v>
      </c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</row>
    <row r="433" ht="14.5">
      <c r="B433" s="31">
        <f>+SW_CE_CONTI!B432</f>
        <v>0</v>
      </c>
      <c r="C433" s="31">
        <f>+SW_CE_CONTI!C432</f>
        <v>0</v>
      </c>
      <c r="D433" s="31">
        <f>+SW_CE_CONTI!D432</f>
        <v>0</v>
      </c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</row>
    <row r="434" ht="14.5">
      <c r="B434" s="31">
        <f>+SW_CE_CONTI!B433</f>
        <v>0</v>
      </c>
      <c r="C434" s="31">
        <f>+SW_CE_CONTI!C433</f>
        <v>0</v>
      </c>
      <c r="D434" s="31">
        <f>+SW_CE_CONTI!D433</f>
        <v>0</v>
      </c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</row>
    <row r="435" ht="14.5">
      <c r="B435" s="31">
        <f>+SW_CE_CONTI!B434</f>
        <v>0</v>
      </c>
      <c r="C435" s="31">
        <f>+SW_CE_CONTI!C434</f>
        <v>0</v>
      </c>
      <c r="D435" s="31">
        <f>+SW_CE_CONTI!D434</f>
        <v>0</v>
      </c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</row>
    <row r="436" ht="14.5">
      <c r="B436" s="31">
        <f>+SW_CE_CONTI!B435</f>
        <v>0</v>
      </c>
      <c r="C436" s="31">
        <f>+SW_CE_CONTI!C435</f>
        <v>0</v>
      </c>
      <c r="D436" s="31">
        <f>+SW_CE_CONTI!D435</f>
        <v>0</v>
      </c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</row>
    <row r="437" ht="14.5">
      <c r="B437" s="31">
        <f>+SW_CE_CONTI!B436</f>
        <v>0</v>
      </c>
      <c r="C437" s="31">
        <f>+SW_CE_CONTI!C436</f>
        <v>0</v>
      </c>
      <c r="D437" s="31">
        <f>+SW_CE_CONTI!D436</f>
        <v>0</v>
      </c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</row>
    <row r="438" ht="14.5">
      <c r="B438" s="31">
        <f>+SW_CE_CONTI!B437</f>
        <v>0</v>
      </c>
      <c r="C438" s="31">
        <f>+SW_CE_CONTI!C437</f>
        <v>0</v>
      </c>
      <c r="D438" s="31">
        <f>+SW_CE_CONTI!D437</f>
        <v>0</v>
      </c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</row>
    <row r="439" ht="14.5">
      <c r="B439" s="31">
        <f>+SW_CE_CONTI!B438</f>
        <v>0</v>
      </c>
      <c r="C439" s="31">
        <f>+SW_CE_CONTI!C438</f>
        <v>0</v>
      </c>
      <c r="D439" s="31">
        <f>+SW_CE_CONTI!D438</f>
        <v>0</v>
      </c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</row>
    <row r="440" ht="14.5">
      <c r="B440" s="31">
        <f>+SW_CE_CONTI!B439</f>
        <v>0</v>
      </c>
      <c r="C440" s="31">
        <f>+SW_CE_CONTI!C439</f>
        <v>0</v>
      </c>
      <c r="D440" s="31">
        <f>+SW_CE_CONTI!D439</f>
        <v>0</v>
      </c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</row>
    <row r="441" ht="14.5">
      <c r="B441" s="31">
        <f>+SW_CE_CONTI!B440</f>
        <v>0</v>
      </c>
      <c r="C441" s="31">
        <f>+SW_CE_CONTI!C440</f>
        <v>0</v>
      </c>
      <c r="D441" s="31">
        <f>+SW_CE_CONTI!D440</f>
        <v>0</v>
      </c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</row>
    <row r="442" ht="14.5">
      <c r="B442" s="31">
        <f>+SW_CE_CONTI!B441</f>
        <v>0</v>
      </c>
      <c r="C442" s="31">
        <f>+SW_CE_CONTI!C441</f>
        <v>0</v>
      </c>
      <c r="D442" s="31">
        <f>+SW_CE_CONTI!D441</f>
        <v>0</v>
      </c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</row>
    <row r="443" ht="14.5">
      <c r="B443" s="31">
        <f>+SW_CE_CONTI!B442</f>
        <v>0</v>
      </c>
      <c r="C443" s="31">
        <f>+SW_CE_CONTI!C442</f>
        <v>0</v>
      </c>
      <c r="D443" s="31">
        <f>+SW_CE_CONTI!D442</f>
        <v>0</v>
      </c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</row>
    <row r="444" ht="14.5">
      <c r="B444" s="31">
        <f>+SW_CE_CONTI!B443</f>
        <v>0</v>
      </c>
      <c r="C444" s="31">
        <f>+SW_CE_CONTI!C443</f>
        <v>0</v>
      </c>
      <c r="D444" s="31">
        <f>+SW_CE_CONTI!D443</f>
        <v>0</v>
      </c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</row>
    <row r="445" ht="14.5">
      <c r="B445" s="31">
        <f>+SW_CE_CONTI!B444</f>
        <v>0</v>
      </c>
      <c r="C445" s="31">
        <f>+SW_CE_CONTI!C444</f>
        <v>0</v>
      </c>
      <c r="D445" s="31">
        <f>+SW_CE_CONTI!D444</f>
        <v>0</v>
      </c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</row>
    <row r="446" ht="14.5">
      <c r="B446" s="31">
        <f>+SW_CE_CONTI!B445</f>
        <v>0</v>
      </c>
      <c r="C446" s="31">
        <f>+SW_CE_CONTI!C445</f>
        <v>0</v>
      </c>
      <c r="D446" s="31">
        <f>+SW_CE_CONTI!D445</f>
        <v>0</v>
      </c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</row>
    <row r="447" ht="14.5">
      <c r="B447" s="31">
        <f>+SW_CE_CONTI!B446</f>
        <v>0</v>
      </c>
      <c r="C447" s="31">
        <f>+SW_CE_CONTI!C446</f>
        <v>0</v>
      </c>
      <c r="D447" s="31">
        <f>+SW_CE_CONTI!D446</f>
        <v>0</v>
      </c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</row>
    <row r="448" ht="14.5">
      <c r="B448" s="31">
        <f>+SW_CE_CONTI!B447</f>
        <v>0</v>
      </c>
      <c r="C448" s="31">
        <f>+SW_CE_CONTI!C447</f>
        <v>0</v>
      </c>
      <c r="D448" s="31">
        <f>+SW_CE_CONTI!D447</f>
        <v>0</v>
      </c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</row>
    <row r="449" ht="14.5">
      <c r="B449" s="31">
        <f>+SW_CE_CONTI!B448</f>
        <v>0</v>
      </c>
      <c r="C449" s="31">
        <f>+SW_CE_CONTI!C448</f>
        <v>0</v>
      </c>
      <c r="D449" s="31">
        <f>+SW_CE_CONTI!D448</f>
        <v>0</v>
      </c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</row>
    <row r="450" ht="14.5">
      <c r="B450" s="31">
        <f>+SW_CE_CONTI!B449</f>
        <v>0</v>
      </c>
      <c r="C450" s="31">
        <f>+SW_CE_CONTI!C449</f>
        <v>0</v>
      </c>
      <c r="D450" s="31">
        <f>+SW_CE_CONTI!D449</f>
        <v>0</v>
      </c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</row>
    <row r="451" ht="14.5">
      <c r="B451" s="31">
        <f>+SW_CE_CONTI!B450</f>
        <v>0</v>
      </c>
      <c r="C451" s="31">
        <f>+SW_CE_CONTI!C450</f>
        <v>0</v>
      </c>
      <c r="D451" s="31">
        <f>+SW_CE_CONTI!D450</f>
        <v>0</v>
      </c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</row>
    <row r="452" ht="14.5">
      <c r="B452" s="31">
        <f>+SW_CE_CONTI!B451</f>
        <v>0</v>
      </c>
      <c r="C452" s="31">
        <f>+SW_CE_CONTI!C451</f>
        <v>0</v>
      </c>
      <c r="D452" s="31">
        <f>+SW_CE_CONTI!D451</f>
        <v>0</v>
      </c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</row>
    <row r="453" ht="14.5">
      <c r="B453" s="31">
        <f>+SW_CE_CONTI!B452</f>
        <v>0</v>
      </c>
      <c r="C453" s="31">
        <f>+SW_CE_CONTI!C452</f>
        <v>0</v>
      </c>
      <c r="D453" s="31">
        <f>+SW_CE_CONTI!D452</f>
        <v>0</v>
      </c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</row>
    <row r="454" ht="14.5">
      <c r="B454" s="31">
        <f>+SW_CE_CONTI!B453</f>
        <v>0</v>
      </c>
      <c r="C454" s="31">
        <f>+SW_CE_CONTI!C453</f>
        <v>0</v>
      </c>
      <c r="D454" s="31">
        <f>+SW_CE_CONTI!D453</f>
        <v>0</v>
      </c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</row>
    <row r="455" ht="14.5">
      <c r="B455" s="31">
        <f>+SW_CE_CONTI!B454</f>
        <v>0</v>
      </c>
      <c r="C455" s="31">
        <f>+SW_CE_CONTI!C454</f>
        <v>0</v>
      </c>
      <c r="D455" s="31">
        <f>+SW_CE_CONTI!D454</f>
        <v>0</v>
      </c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</row>
    <row r="456" ht="14.5">
      <c r="B456" s="31">
        <f>+SW_CE_CONTI!B455</f>
        <v>0</v>
      </c>
      <c r="C456" s="31">
        <f>+SW_CE_CONTI!C455</f>
        <v>0</v>
      </c>
      <c r="D456" s="31">
        <f>+SW_CE_CONTI!D455</f>
        <v>0</v>
      </c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</row>
    <row r="457" ht="14.5">
      <c r="B457" s="31">
        <f>+SW_CE_CONTI!B456</f>
        <v>0</v>
      </c>
      <c r="C457" s="31">
        <f>+SW_CE_CONTI!C456</f>
        <v>0</v>
      </c>
      <c r="D457" s="31">
        <f>+SW_CE_CONTI!D456</f>
        <v>0</v>
      </c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</row>
    <row r="458" ht="14.5">
      <c r="B458" s="31">
        <f>+SW_CE_CONTI!B457</f>
        <v>0</v>
      </c>
      <c r="C458" s="31">
        <f>+SW_CE_CONTI!C457</f>
        <v>0</v>
      </c>
      <c r="D458" s="31">
        <f>+SW_CE_CONTI!D457</f>
        <v>0</v>
      </c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</row>
    <row r="459" ht="14.5">
      <c r="B459" s="31">
        <f>+SW_CE_CONTI!B458</f>
        <v>0</v>
      </c>
      <c r="C459" s="31">
        <f>+SW_CE_CONTI!C458</f>
        <v>0</v>
      </c>
      <c r="D459" s="31">
        <f>+SW_CE_CONTI!D458</f>
        <v>0</v>
      </c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</row>
    <row r="460" ht="14.5">
      <c r="B460" s="31">
        <f>+SW_CE_CONTI!B459</f>
        <v>0</v>
      </c>
      <c r="C460" s="31">
        <f>+SW_CE_CONTI!C459</f>
        <v>0</v>
      </c>
      <c r="D460" s="31">
        <f>+SW_CE_CONTI!D459</f>
        <v>0</v>
      </c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</row>
    <row r="461" ht="14.5">
      <c r="B461" s="31">
        <f>+SW_CE_CONTI!B460</f>
        <v>0</v>
      </c>
      <c r="C461" s="31">
        <f>+SW_CE_CONTI!C460</f>
        <v>0</v>
      </c>
      <c r="D461" s="31">
        <f>+SW_CE_CONTI!D460</f>
        <v>0</v>
      </c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</row>
    <row r="462" ht="14.5">
      <c r="B462" s="31">
        <f>+SW_CE_CONTI!B461</f>
        <v>0</v>
      </c>
      <c r="C462" s="31">
        <f>+SW_CE_CONTI!C461</f>
        <v>0</v>
      </c>
      <c r="D462" s="31">
        <f>+SW_CE_CONTI!D461</f>
        <v>0</v>
      </c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</row>
    <row r="463" ht="14.5">
      <c r="B463" s="31">
        <f>+SW_CE_CONTI!B462</f>
        <v>0</v>
      </c>
      <c r="C463" s="31">
        <f>+SW_CE_CONTI!C462</f>
        <v>0</v>
      </c>
      <c r="D463" s="31">
        <f>+SW_CE_CONTI!D462</f>
        <v>0</v>
      </c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</row>
    <row r="464" ht="14.5">
      <c r="B464" s="31">
        <f>+SW_CE_CONTI!B463</f>
        <v>0</v>
      </c>
      <c r="C464" s="31">
        <f>+SW_CE_CONTI!C463</f>
        <v>0</v>
      </c>
      <c r="D464" s="31">
        <f>+SW_CE_CONTI!D463</f>
        <v>0</v>
      </c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</row>
    <row r="465" ht="14.5">
      <c r="B465" s="31">
        <f>+SW_CE_CONTI!B464</f>
        <v>0</v>
      </c>
      <c r="C465" s="31">
        <f>+SW_CE_CONTI!C464</f>
        <v>0</v>
      </c>
      <c r="D465" s="31">
        <f>+SW_CE_CONTI!D464</f>
        <v>0</v>
      </c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</row>
    <row r="466" ht="14.5">
      <c r="B466" s="31">
        <f>+SW_CE_CONTI!B465</f>
        <v>0</v>
      </c>
      <c r="C466" s="31">
        <f>+SW_CE_CONTI!C465</f>
        <v>0</v>
      </c>
      <c r="D466" s="31">
        <f>+SW_CE_CONTI!D465</f>
        <v>0</v>
      </c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</row>
    <row r="467" ht="14.5">
      <c r="B467" s="31">
        <f>+SW_CE_CONTI!B466</f>
        <v>0</v>
      </c>
      <c r="C467" s="31">
        <f>+SW_CE_CONTI!C466</f>
        <v>0</v>
      </c>
      <c r="D467" s="31">
        <f>+SW_CE_CONTI!D466</f>
        <v>0</v>
      </c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</row>
    <row r="468" ht="14.5">
      <c r="B468" s="31">
        <f>+SW_CE_CONTI!B467</f>
        <v>0</v>
      </c>
      <c r="C468" s="31">
        <f>+SW_CE_CONTI!C467</f>
        <v>0</v>
      </c>
      <c r="D468" s="31">
        <f>+SW_CE_CONTI!D467</f>
        <v>0</v>
      </c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</row>
    <row r="469" ht="14.5">
      <c r="B469" s="31">
        <f>+SW_CE_CONTI!B468</f>
        <v>0</v>
      </c>
      <c r="C469" s="31">
        <f>+SW_CE_CONTI!C468</f>
        <v>0</v>
      </c>
      <c r="D469" s="31">
        <f>+SW_CE_CONTI!D468</f>
        <v>0</v>
      </c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</row>
    <row r="470" ht="14.5">
      <c r="B470" s="31">
        <f>+SW_CE_CONTI!B469</f>
        <v>0</v>
      </c>
      <c r="C470" s="31">
        <f>+SW_CE_CONTI!C469</f>
        <v>0</v>
      </c>
      <c r="D470" s="31">
        <f>+SW_CE_CONTI!D469</f>
        <v>0</v>
      </c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</row>
    <row r="471" ht="14.5">
      <c r="B471" s="31">
        <f>+SW_CE_CONTI!B470</f>
        <v>0</v>
      </c>
      <c r="C471" s="31">
        <f>+SW_CE_CONTI!C470</f>
        <v>0</v>
      </c>
      <c r="D471" s="31">
        <f>+SW_CE_CONTI!D470</f>
        <v>0</v>
      </c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</row>
    <row r="472" ht="14.5">
      <c r="B472" s="31">
        <f>+SW_CE_CONTI!B471</f>
        <v>0</v>
      </c>
      <c r="C472" s="31">
        <f>+SW_CE_CONTI!C471</f>
        <v>0</v>
      </c>
      <c r="D472" s="31">
        <f>+SW_CE_CONTI!D471</f>
        <v>0</v>
      </c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</row>
    <row r="473" ht="14.5">
      <c r="B473" s="31">
        <f>+SW_CE_CONTI!B472</f>
        <v>0</v>
      </c>
      <c r="C473" s="31">
        <f>+SW_CE_CONTI!C472</f>
        <v>0</v>
      </c>
      <c r="D473" s="31">
        <f>+SW_CE_CONTI!D472</f>
        <v>0</v>
      </c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</row>
    <row r="474" ht="14.5">
      <c r="B474" s="31">
        <f>+SW_CE_CONTI!B473</f>
        <v>0</v>
      </c>
      <c r="C474" s="31">
        <f>+SW_CE_CONTI!C473</f>
        <v>0</v>
      </c>
      <c r="D474" s="31">
        <f>+SW_CE_CONTI!D473</f>
        <v>0</v>
      </c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</row>
    <row r="475" ht="14.5">
      <c r="B475" s="31">
        <f>+SW_CE_CONTI!B474</f>
        <v>0</v>
      </c>
      <c r="C475" s="31">
        <f>+SW_CE_CONTI!C474</f>
        <v>0</v>
      </c>
      <c r="D475" s="31">
        <f>+SW_CE_CONTI!D474</f>
        <v>0</v>
      </c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</row>
    <row r="476" ht="14.5">
      <c r="B476" s="31">
        <f>+SW_CE_CONTI!B475</f>
        <v>0</v>
      </c>
      <c r="C476" s="31">
        <f>+SW_CE_CONTI!C475</f>
        <v>0</v>
      </c>
      <c r="D476" s="31">
        <f>+SW_CE_CONTI!D475</f>
        <v>0</v>
      </c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</row>
    <row r="477" ht="14.5">
      <c r="B477" s="31">
        <f>+SW_CE_CONTI!B476</f>
        <v>0</v>
      </c>
      <c r="C477" s="31">
        <f>+SW_CE_CONTI!C476</f>
        <v>0</v>
      </c>
      <c r="D477" s="31">
        <f>+SW_CE_CONTI!D476</f>
        <v>0</v>
      </c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</row>
    <row r="478" ht="14.5">
      <c r="B478" s="31">
        <f>+SW_CE_CONTI!B477</f>
        <v>0</v>
      </c>
      <c r="C478" s="31">
        <f>+SW_CE_CONTI!C477</f>
        <v>0</v>
      </c>
      <c r="D478" s="31">
        <f>+SW_CE_CONTI!D477</f>
        <v>0</v>
      </c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</row>
    <row r="479" ht="14.5">
      <c r="B479" s="31">
        <f>+SW_CE_CONTI!B478</f>
        <v>0</v>
      </c>
      <c r="C479" s="31">
        <f>+SW_CE_CONTI!C478</f>
        <v>0</v>
      </c>
      <c r="D479" s="31">
        <f>+SW_CE_CONTI!D478</f>
        <v>0</v>
      </c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</row>
    <row r="480" ht="14.5">
      <c r="B480" s="31">
        <f>+SW_CE_CONTI!B479</f>
        <v>0</v>
      </c>
      <c r="C480" s="31">
        <f>+SW_CE_CONTI!C479</f>
        <v>0</v>
      </c>
      <c r="D480" s="31">
        <f>+SW_CE_CONTI!D479</f>
        <v>0</v>
      </c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</row>
    <row r="481" ht="14.5">
      <c r="B481" s="31">
        <f>+SW_CE_CONTI!B480</f>
        <v>0</v>
      </c>
      <c r="C481" s="31">
        <f>+SW_CE_CONTI!C480</f>
        <v>0</v>
      </c>
      <c r="D481" s="31">
        <f>+SW_CE_CONTI!D480</f>
        <v>0</v>
      </c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</row>
    <row r="482" ht="14.5">
      <c r="B482" s="31">
        <f>+SW_CE_CONTI!B481</f>
        <v>0</v>
      </c>
      <c r="C482" s="31">
        <f>+SW_CE_CONTI!C481</f>
        <v>0</v>
      </c>
      <c r="D482" s="31">
        <f>+SW_CE_CONTI!D481</f>
        <v>0</v>
      </c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</row>
    <row r="483" ht="14.5">
      <c r="B483" s="31">
        <f>+SW_CE_CONTI!B482</f>
        <v>0</v>
      </c>
      <c r="C483" s="31">
        <f>+SW_CE_CONTI!C482</f>
        <v>0</v>
      </c>
      <c r="D483" s="31">
        <f>+SW_CE_CONTI!D482</f>
        <v>0</v>
      </c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</row>
    <row r="484" ht="14.5">
      <c r="B484" s="31">
        <f>+SW_CE_CONTI!B483</f>
        <v>0</v>
      </c>
      <c r="C484" s="31">
        <f>+SW_CE_CONTI!C483</f>
        <v>0</v>
      </c>
      <c r="D484" s="31">
        <f>+SW_CE_CONTI!D483</f>
        <v>0</v>
      </c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</row>
    <row r="485" ht="14.5">
      <c r="B485" s="31">
        <f>+SW_CE_CONTI!B484</f>
        <v>0</v>
      </c>
      <c r="C485" s="31">
        <f>+SW_CE_CONTI!C484</f>
        <v>0</v>
      </c>
      <c r="D485" s="31">
        <f>+SW_CE_CONTI!D484</f>
        <v>0</v>
      </c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</row>
    <row r="486" ht="14.5">
      <c r="B486" s="31">
        <f>+SW_CE_CONTI!B485</f>
        <v>0</v>
      </c>
      <c r="C486" s="31">
        <f>+SW_CE_CONTI!C485</f>
        <v>0</v>
      </c>
      <c r="D486" s="31">
        <f>+SW_CE_CONTI!D485</f>
        <v>0</v>
      </c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</row>
    <row r="487" ht="14.5">
      <c r="B487" s="31">
        <f>+SW_CE_CONTI!B486</f>
        <v>0</v>
      </c>
      <c r="C487" s="31">
        <f>+SW_CE_CONTI!C486</f>
        <v>0</v>
      </c>
      <c r="D487" s="31">
        <f>+SW_CE_CONTI!D486</f>
        <v>0</v>
      </c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</row>
    <row r="488" ht="14.5">
      <c r="B488" s="31">
        <f>+SW_CE_CONTI!B487</f>
        <v>0</v>
      </c>
      <c r="C488" s="31">
        <f>+SW_CE_CONTI!C487</f>
        <v>0</v>
      </c>
      <c r="D488" s="31">
        <f>+SW_CE_CONTI!D487</f>
        <v>0</v>
      </c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</row>
    <row r="489" ht="14.5">
      <c r="B489" s="31">
        <f>+SW_CE_CONTI!B488</f>
        <v>0</v>
      </c>
      <c r="C489" s="31">
        <f>+SW_CE_CONTI!C488</f>
        <v>0</v>
      </c>
      <c r="D489" s="31">
        <f>+SW_CE_CONTI!D488</f>
        <v>0</v>
      </c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</row>
    <row r="490" ht="14.5">
      <c r="B490" s="31">
        <f>+SW_CE_CONTI!B489</f>
        <v>0</v>
      </c>
      <c r="C490" s="31">
        <f>+SW_CE_CONTI!C489</f>
        <v>0</v>
      </c>
      <c r="D490" s="31">
        <f>+SW_CE_CONTI!D489</f>
        <v>0</v>
      </c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</row>
    <row r="491" ht="14.5">
      <c r="B491" s="31">
        <f>+SW_CE_CONTI!B490</f>
        <v>0</v>
      </c>
      <c r="C491" s="31">
        <f>+SW_CE_CONTI!C490</f>
        <v>0</v>
      </c>
      <c r="D491" s="31">
        <f>+SW_CE_CONTI!D490</f>
        <v>0</v>
      </c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</row>
    <row r="492" ht="14.5">
      <c r="B492" s="31">
        <f>+SW_CE_CONTI!B491</f>
        <v>0</v>
      </c>
      <c r="C492" s="31">
        <f>+SW_CE_CONTI!C491</f>
        <v>0</v>
      </c>
      <c r="D492" s="31">
        <f>+SW_CE_CONTI!D491</f>
        <v>0</v>
      </c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</row>
    <row r="493" ht="14.5">
      <c r="B493" s="31">
        <f>+SW_CE_CONTI!B492</f>
        <v>0</v>
      </c>
      <c r="C493" s="31">
        <f>+SW_CE_CONTI!C492</f>
        <v>0</v>
      </c>
      <c r="D493" s="31">
        <f>+SW_CE_CONTI!D492</f>
        <v>0</v>
      </c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</row>
    <row r="494" ht="14.5">
      <c r="B494" s="31">
        <f>+SW_CE_CONTI!B493</f>
        <v>0</v>
      </c>
      <c r="C494" s="31">
        <f>+SW_CE_CONTI!C493</f>
        <v>0</v>
      </c>
      <c r="D494" s="31">
        <f>+SW_CE_CONTI!D493</f>
        <v>0</v>
      </c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</row>
    <row r="495" ht="14.5">
      <c r="B495" s="31">
        <f>+SW_CE_CONTI!B494</f>
        <v>0</v>
      </c>
      <c r="C495" s="31">
        <f>+SW_CE_CONTI!C494</f>
        <v>0</v>
      </c>
      <c r="D495" s="31">
        <f>+SW_CE_CONTI!D494</f>
        <v>0</v>
      </c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</row>
    <row r="496" ht="14.5">
      <c r="B496" s="31">
        <f>+SW_CE_CONTI!B495</f>
        <v>0</v>
      </c>
      <c r="C496" s="31">
        <f>+SW_CE_CONTI!C495</f>
        <v>0</v>
      </c>
      <c r="D496" s="31">
        <f>+SW_CE_CONTI!D495</f>
        <v>0</v>
      </c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</row>
    <row r="497" ht="14.5">
      <c r="B497" s="31">
        <f>+SW_CE_CONTI!B496</f>
        <v>0</v>
      </c>
      <c r="C497" s="31">
        <f>+SW_CE_CONTI!C496</f>
        <v>0</v>
      </c>
      <c r="D497" s="31">
        <f>+SW_CE_CONTI!D496</f>
        <v>0</v>
      </c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</row>
    <row r="498" ht="14.5">
      <c r="B498" s="31">
        <f>+SW_CE_CONTI!B497</f>
        <v>0</v>
      </c>
      <c r="C498" s="31">
        <f>+SW_CE_CONTI!C497</f>
        <v>0</v>
      </c>
      <c r="D498" s="31">
        <f>+SW_CE_CONTI!D497</f>
        <v>0</v>
      </c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</row>
    <row r="499" ht="14.5">
      <c r="B499" s="31">
        <f>+SW_CE_CONTI!B498</f>
        <v>0</v>
      </c>
      <c r="C499" s="31">
        <f>+SW_CE_CONTI!C498</f>
        <v>0</v>
      </c>
      <c r="D499" s="31">
        <f>+SW_CE_CONTI!D498</f>
        <v>0</v>
      </c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</row>
    <row r="500" ht="14.5">
      <c r="B500" s="31">
        <f>+SW_CE_CONTI!B499</f>
        <v>0</v>
      </c>
      <c r="C500" s="31">
        <f>+SW_CE_CONTI!C499</f>
        <v>0</v>
      </c>
      <c r="D500" s="31">
        <f>+SW_CE_CONTI!D499</f>
        <v>0</v>
      </c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</row>
    <row r="501" ht="14.5">
      <c r="B501" s="31">
        <f>+SW_CE_CONTI!B500</f>
        <v>0</v>
      </c>
      <c r="C501" s="31">
        <f>+SW_CE_CONTI!C500</f>
        <v>0</v>
      </c>
      <c r="D501" s="31">
        <f>+SW_CE_CONTI!D500</f>
        <v>0</v>
      </c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</row>
    <row r="502" ht="14.5">
      <c r="B502" s="31">
        <f>+SW_CE_CONTI!B501</f>
        <v>0</v>
      </c>
      <c r="C502" s="31">
        <f>+SW_CE_CONTI!C501</f>
        <v>0</v>
      </c>
      <c r="D502" s="31">
        <f>+SW_CE_CONTI!D501</f>
        <v>0</v>
      </c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</row>
    <row r="503" ht="14.5">
      <c r="B503" s="31">
        <f>+SW_CE_CONTI!B502</f>
        <v>0</v>
      </c>
      <c r="C503" s="31">
        <f>+SW_CE_CONTI!C502</f>
        <v>0</v>
      </c>
      <c r="D503" s="31">
        <f>+SW_CE_CONTI!D502</f>
        <v>0</v>
      </c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</row>
    <row r="504" ht="14.5">
      <c r="B504" s="31">
        <f>+SW_CE_CONTI!B503</f>
        <v>0</v>
      </c>
      <c r="C504" s="31">
        <f>+SW_CE_CONTI!C503</f>
        <v>0</v>
      </c>
      <c r="D504" s="31">
        <f>+SW_CE_CONTI!D503</f>
        <v>0</v>
      </c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</row>
    <row r="505" ht="14.5">
      <c r="B505" s="31">
        <f>+SW_CE_CONTI!B504</f>
        <v>0</v>
      </c>
      <c r="C505" s="31">
        <f>+SW_CE_CONTI!C504</f>
        <v>0</v>
      </c>
      <c r="D505" s="31">
        <f>+SW_CE_CONTI!D504</f>
        <v>0</v>
      </c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</row>
    <row r="506" ht="14.5">
      <c r="B506" s="31">
        <f>+SW_CE_CONTI!B505</f>
        <v>0</v>
      </c>
      <c r="C506" s="31">
        <f>+SW_CE_CONTI!C505</f>
        <v>0</v>
      </c>
      <c r="D506" s="31">
        <f>+SW_CE_CONTI!D505</f>
        <v>0</v>
      </c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</row>
    <row r="507" ht="14.5">
      <c r="B507" s="31">
        <f>+SW_CE_CONTI!B506</f>
        <v>0</v>
      </c>
      <c r="C507" s="31">
        <f>+SW_CE_CONTI!C506</f>
        <v>0</v>
      </c>
      <c r="D507" s="31">
        <f>+SW_CE_CONTI!D506</f>
        <v>0</v>
      </c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</row>
    <row r="508" ht="14.5">
      <c r="B508" s="31">
        <f>+SW_CE_CONTI!B507</f>
        <v>0</v>
      </c>
      <c r="C508" s="31">
        <f>+SW_CE_CONTI!C507</f>
        <v>0</v>
      </c>
      <c r="D508" s="31">
        <f>+SW_CE_CONTI!D507</f>
        <v>0</v>
      </c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</row>
    <row r="509" ht="14.5">
      <c r="B509" s="31">
        <f>+SW_CE_CONTI!B508</f>
        <v>0</v>
      </c>
      <c r="C509" s="31">
        <f>+SW_CE_CONTI!C508</f>
        <v>0</v>
      </c>
      <c r="D509" s="31">
        <f>+SW_CE_CONTI!D508</f>
        <v>0</v>
      </c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</row>
    <row r="510" ht="14.5">
      <c r="B510" s="31">
        <f>+SW_CE_CONTI!B509</f>
        <v>0</v>
      </c>
      <c r="C510" s="31">
        <f>+SW_CE_CONTI!C509</f>
        <v>0</v>
      </c>
      <c r="D510" s="31">
        <f>+SW_CE_CONTI!D509</f>
        <v>0</v>
      </c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</row>
    <row r="511" ht="14.5">
      <c r="B511" s="31">
        <f>+SW_CE_CONTI!B510</f>
        <v>0</v>
      </c>
      <c r="C511" s="31">
        <f>+SW_CE_CONTI!C510</f>
        <v>0</v>
      </c>
      <c r="D511" s="31">
        <f>+SW_CE_CONTI!D510</f>
        <v>0</v>
      </c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</row>
    <row r="512" ht="14.5">
      <c r="B512" s="31">
        <f>+SW_CE_CONTI!B511</f>
        <v>0</v>
      </c>
      <c r="C512" s="31">
        <f>+SW_CE_CONTI!C511</f>
        <v>0</v>
      </c>
      <c r="D512" s="31">
        <f>+SW_CE_CONTI!D511</f>
        <v>0</v>
      </c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</row>
    <row r="513" ht="14.5">
      <c r="B513" s="31">
        <f>+SW_CE_CONTI!B512</f>
        <v>0</v>
      </c>
      <c r="C513" s="31">
        <f>+SW_CE_CONTI!C512</f>
        <v>0</v>
      </c>
      <c r="D513" s="31">
        <f>+SW_CE_CONTI!D512</f>
        <v>0</v>
      </c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</row>
    <row r="514" ht="14.5">
      <c r="B514" s="31">
        <f>+SW_CE_CONTI!B513</f>
        <v>0</v>
      </c>
      <c r="C514" s="31">
        <f>+SW_CE_CONTI!C513</f>
        <v>0</v>
      </c>
      <c r="D514" s="31">
        <f>+SW_CE_CONTI!D513</f>
        <v>0</v>
      </c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</row>
    <row r="515" ht="14.5">
      <c r="B515" s="31">
        <f>+SW_CE_CONTI!B514</f>
        <v>0</v>
      </c>
      <c r="C515" s="31">
        <f>+SW_CE_CONTI!C514</f>
        <v>0</v>
      </c>
      <c r="D515" s="31">
        <f>+SW_CE_CONTI!D514</f>
        <v>0</v>
      </c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</row>
    <row r="516" ht="14.5">
      <c r="B516" s="31">
        <f>+SW_CE_CONTI!B515</f>
        <v>0</v>
      </c>
      <c r="C516" s="31">
        <f>+SW_CE_CONTI!C515</f>
        <v>0</v>
      </c>
      <c r="D516" s="31">
        <f>+SW_CE_CONTI!D515</f>
        <v>0</v>
      </c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</row>
    <row r="517" ht="14.5">
      <c r="B517" s="31">
        <f>+SW_CE_CONTI!B516</f>
        <v>0</v>
      </c>
      <c r="C517" s="31">
        <f>+SW_CE_CONTI!C516</f>
        <v>0</v>
      </c>
      <c r="D517" s="31">
        <f>+SW_CE_CONTI!D516</f>
        <v>0</v>
      </c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</row>
    <row r="518" ht="14.5">
      <c r="B518" s="31">
        <f>+SW_CE_CONTI!B517</f>
        <v>0</v>
      </c>
      <c r="C518" s="31">
        <f>+SW_CE_CONTI!C517</f>
        <v>0</v>
      </c>
      <c r="D518" s="31">
        <f>+SW_CE_CONTI!D517</f>
        <v>0</v>
      </c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</row>
    <row r="519" ht="14.5">
      <c r="B519" s="31">
        <f>+SW_CE_CONTI!B518</f>
        <v>0</v>
      </c>
      <c r="C519" s="31">
        <f>+SW_CE_CONTI!C518</f>
        <v>0</v>
      </c>
      <c r="D519" s="31">
        <f>+SW_CE_CONTI!D518</f>
        <v>0</v>
      </c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</row>
    <row r="520" ht="14.5">
      <c r="B520" s="31">
        <f>+SW_CE_CONTI!B519</f>
        <v>0</v>
      </c>
      <c r="C520" s="31">
        <f>+SW_CE_CONTI!C519</f>
        <v>0</v>
      </c>
      <c r="D520" s="31">
        <f>+SW_CE_CONTI!D519</f>
        <v>0</v>
      </c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</row>
    <row r="521" ht="14.5">
      <c r="B521" s="31">
        <f>+SW_CE_CONTI!B520</f>
        <v>0</v>
      </c>
      <c r="C521" s="31">
        <f>+SW_CE_CONTI!C520</f>
        <v>0</v>
      </c>
      <c r="D521" s="31">
        <f>+SW_CE_CONTI!D520</f>
        <v>0</v>
      </c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</row>
    <row r="522" ht="14.5">
      <c r="B522" s="31">
        <f>+SW_CE_CONTI!B521</f>
        <v>0</v>
      </c>
      <c r="C522" s="31">
        <f>+SW_CE_CONTI!C521</f>
        <v>0</v>
      </c>
      <c r="D522" s="31">
        <f>+SW_CE_CONTI!D521</f>
        <v>0</v>
      </c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</row>
    <row r="523" ht="14.5">
      <c r="B523" s="31">
        <f>+SW_CE_CONTI!B522</f>
        <v>0</v>
      </c>
      <c r="C523" s="31">
        <f>+SW_CE_CONTI!C522</f>
        <v>0</v>
      </c>
      <c r="D523" s="31">
        <f>+SW_CE_CONTI!D522</f>
        <v>0</v>
      </c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</row>
    <row r="524" ht="14.5">
      <c r="B524" s="31">
        <f>+SW_CE_CONTI!B523</f>
        <v>0</v>
      </c>
      <c r="C524" s="31">
        <f>+SW_CE_CONTI!C523</f>
        <v>0</v>
      </c>
      <c r="D524" s="31">
        <f>+SW_CE_CONTI!D523</f>
        <v>0</v>
      </c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</row>
    <row r="525" ht="14.5">
      <c r="B525" s="31">
        <f>+SW_CE_CONTI!B524</f>
        <v>0</v>
      </c>
      <c r="C525" s="31">
        <f>+SW_CE_CONTI!C524</f>
        <v>0</v>
      </c>
      <c r="D525" s="31">
        <f>+SW_CE_CONTI!D524</f>
        <v>0</v>
      </c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</row>
    <row r="526" ht="14.5">
      <c r="B526" s="31">
        <f>+SW_CE_CONTI!B525</f>
        <v>0</v>
      </c>
      <c r="C526" s="31">
        <f>+SW_CE_CONTI!C525</f>
        <v>0</v>
      </c>
      <c r="D526" s="31">
        <f>+SW_CE_CONTI!D525</f>
        <v>0</v>
      </c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</row>
    <row r="527" ht="14.5">
      <c r="B527" s="31">
        <f>+SW_CE_CONTI!B526</f>
        <v>0</v>
      </c>
      <c r="C527" s="31">
        <f>+SW_CE_CONTI!C526</f>
        <v>0</v>
      </c>
      <c r="D527" s="31">
        <f>+SW_CE_CONTI!D526</f>
        <v>0</v>
      </c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</row>
    <row r="528" ht="14.5">
      <c r="B528" s="31">
        <f>+SW_CE_CONTI!B527</f>
        <v>0</v>
      </c>
      <c r="C528" s="31">
        <f>+SW_CE_CONTI!C527</f>
        <v>0</v>
      </c>
      <c r="D528" s="31">
        <f>+SW_CE_CONTI!D527</f>
        <v>0</v>
      </c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</row>
    <row r="529" ht="14.5">
      <c r="B529" s="31">
        <f>+SW_CE_CONTI!B528</f>
        <v>0</v>
      </c>
      <c r="C529" s="31">
        <f>+SW_CE_CONTI!C528</f>
        <v>0</v>
      </c>
      <c r="D529" s="31">
        <f>+SW_CE_CONTI!D528</f>
        <v>0</v>
      </c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</row>
    <row r="530" ht="14.5">
      <c r="B530" s="31">
        <f>+SW_CE_CONTI!B529</f>
        <v>0</v>
      </c>
      <c r="C530" s="31">
        <f>+SW_CE_CONTI!C529</f>
        <v>0</v>
      </c>
      <c r="D530" s="31">
        <f>+SW_CE_CONTI!D529</f>
        <v>0</v>
      </c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</row>
    <row r="531" ht="14.5">
      <c r="B531" s="31">
        <f>+SW_CE_CONTI!B530</f>
        <v>0</v>
      </c>
      <c r="C531" s="31">
        <f>+SW_CE_CONTI!C530</f>
        <v>0</v>
      </c>
      <c r="D531" s="31">
        <f>+SW_CE_CONTI!D530</f>
        <v>0</v>
      </c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</row>
    <row r="532" ht="14.5">
      <c r="B532" s="31">
        <f>+SW_CE_CONTI!B531</f>
        <v>0</v>
      </c>
      <c r="C532" s="31">
        <f>+SW_CE_CONTI!C531</f>
        <v>0</v>
      </c>
      <c r="D532" s="31">
        <f>+SW_CE_CONTI!D531</f>
        <v>0</v>
      </c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</row>
    <row r="533" ht="14.5">
      <c r="B533" s="31">
        <f>+SW_CE_CONTI!B532</f>
        <v>0</v>
      </c>
      <c r="C533" s="31">
        <f>+SW_CE_CONTI!C532</f>
        <v>0</v>
      </c>
      <c r="D533" s="31">
        <f>+SW_CE_CONTI!D532</f>
        <v>0</v>
      </c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</row>
    <row r="534" ht="14.5">
      <c r="B534" s="31">
        <f>+SW_CE_CONTI!B533</f>
        <v>0</v>
      </c>
      <c r="C534" s="31">
        <f>+SW_CE_CONTI!C533</f>
        <v>0</v>
      </c>
      <c r="D534" s="31">
        <f>+SW_CE_CONTI!D533</f>
        <v>0</v>
      </c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</row>
    <row r="535" ht="14.5">
      <c r="B535" s="31">
        <f>+SW_CE_CONTI!B534</f>
        <v>0</v>
      </c>
      <c r="C535" s="31">
        <f>+SW_CE_CONTI!C534</f>
        <v>0</v>
      </c>
      <c r="D535" s="31">
        <f>+SW_CE_CONTI!D534</f>
        <v>0</v>
      </c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</row>
    <row r="536" ht="14.5">
      <c r="B536" s="31">
        <f>+SW_CE_CONTI!B535</f>
        <v>0</v>
      </c>
      <c r="C536" s="31">
        <f>+SW_CE_CONTI!C535</f>
        <v>0</v>
      </c>
      <c r="D536" s="31">
        <f>+SW_CE_CONTI!D535</f>
        <v>0</v>
      </c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</row>
    <row r="537" ht="14.5">
      <c r="B537" s="31">
        <f>+SW_CE_CONTI!B536</f>
        <v>0</v>
      </c>
      <c r="C537" s="31">
        <f>+SW_CE_CONTI!C536</f>
        <v>0</v>
      </c>
      <c r="D537" s="31">
        <f>+SW_CE_CONTI!D536</f>
        <v>0</v>
      </c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</row>
    <row r="538" ht="14.5">
      <c r="B538" s="31">
        <f>+SW_CE_CONTI!B537</f>
        <v>0</v>
      </c>
      <c r="C538" s="31">
        <f>+SW_CE_CONTI!C537</f>
        <v>0</v>
      </c>
      <c r="D538" s="31">
        <f>+SW_CE_CONTI!D537</f>
        <v>0</v>
      </c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</row>
    <row r="539" ht="14.5">
      <c r="B539" s="31">
        <f>+SW_CE_CONTI!B538</f>
        <v>0</v>
      </c>
      <c r="C539" s="31">
        <f>+SW_CE_CONTI!C538</f>
        <v>0</v>
      </c>
      <c r="D539" s="31">
        <f>+SW_CE_CONTI!D538</f>
        <v>0</v>
      </c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</row>
    <row r="540" ht="14.5">
      <c r="B540" s="31">
        <f>+SW_CE_CONTI!B539</f>
        <v>0</v>
      </c>
      <c r="C540" s="31">
        <f>+SW_CE_CONTI!C539</f>
        <v>0</v>
      </c>
      <c r="D540" s="31">
        <f>+SW_CE_CONTI!D539</f>
        <v>0</v>
      </c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</row>
    <row r="541" ht="14.5">
      <c r="B541" s="31">
        <f>+SW_CE_CONTI!B540</f>
        <v>0</v>
      </c>
      <c r="C541" s="31">
        <f>+SW_CE_CONTI!C540</f>
        <v>0</v>
      </c>
      <c r="D541" s="31">
        <f>+SW_CE_CONTI!D540</f>
        <v>0</v>
      </c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</row>
    <row r="542" ht="14.5">
      <c r="B542" s="31">
        <f>+SW_CE_CONTI!B541</f>
        <v>0</v>
      </c>
      <c r="C542" s="31">
        <f>+SW_CE_CONTI!C541</f>
        <v>0</v>
      </c>
      <c r="D542" s="31">
        <f>+SW_CE_CONTI!D541</f>
        <v>0</v>
      </c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</row>
    <row r="543" ht="14.5">
      <c r="B543" s="31">
        <f>+SW_CE_CONTI!B542</f>
        <v>0</v>
      </c>
      <c r="C543" s="31">
        <f>+SW_CE_CONTI!C542</f>
        <v>0</v>
      </c>
      <c r="D543" s="31">
        <f>+SW_CE_CONTI!D542</f>
        <v>0</v>
      </c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</row>
    <row r="544" ht="14.5">
      <c r="B544" s="31">
        <f>+SW_CE_CONTI!B543</f>
        <v>0</v>
      </c>
      <c r="C544" s="31">
        <f>+SW_CE_CONTI!C543</f>
        <v>0</v>
      </c>
      <c r="D544" s="31">
        <f>+SW_CE_CONTI!D543</f>
        <v>0</v>
      </c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</row>
    <row r="545" ht="14.5">
      <c r="B545" s="31">
        <f>+SW_CE_CONTI!B544</f>
        <v>0</v>
      </c>
      <c r="C545" s="31">
        <f>+SW_CE_CONTI!C544</f>
        <v>0</v>
      </c>
      <c r="D545" s="31">
        <f>+SW_CE_CONTI!D544</f>
        <v>0</v>
      </c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</row>
    <row r="546" ht="14.5">
      <c r="B546" s="31">
        <f>+SW_CE_CONTI!B545</f>
        <v>0</v>
      </c>
      <c r="C546" s="31">
        <f>+SW_CE_CONTI!C545</f>
        <v>0</v>
      </c>
      <c r="D546" s="31">
        <f>+SW_CE_CONTI!D545</f>
        <v>0</v>
      </c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</row>
    <row r="547" ht="14.5">
      <c r="B547" s="31">
        <f>+SW_CE_CONTI!B546</f>
        <v>0</v>
      </c>
      <c r="C547" s="31">
        <f>+SW_CE_CONTI!C546</f>
        <v>0</v>
      </c>
      <c r="D547" s="31">
        <f>+SW_CE_CONTI!D546</f>
        <v>0</v>
      </c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</row>
    <row r="548" ht="14.5">
      <c r="B548" s="31">
        <f>+SW_CE_CONTI!B547</f>
        <v>0</v>
      </c>
      <c r="C548" s="31">
        <f>+SW_CE_CONTI!C547</f>
        <v>0</v>
      </c>
      <c r="D548" s="31">
        <f>+SW_CE_CONTI!D547</f>
        <v>0</v>
      </c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</row>
    <row r="549" ht="14.5">
      <c r="B549" s="31">
        <f>+SW_CE_CONTI!B548</f>
        <v>0</v>
      </c>
      <c r="C549" s="31">
        <f>+SW_CE_CONTI!C548</f>
        <v>0</v>
      </c>
      <c r="D549" s="31">
        <f>+SW_CE_CONTI!D548</f>
        <v>0</v>
      </c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</row>
    <row r="550" ht="14.5">
      <c r="B550" s="31">
        <f>+SW_CE_CONTI!B549</f>
        <v>0</v>
      </c>
      <c r="C550" s="31">
        <f>+SW_CE_CONTI!C549</f>
        <v>0</v>
      </c>
      <c r="D550" s="31">
        <f>+SW_CE_CONTI!D549</f>
        <v>0</v>
      </c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</row>
    <row r="551" ht="14.5">
      <c r="B551" s="31">
        <f>+SW_CE_CONTI!B550</f>
        <v>0</v>
      </c>
      <c r="C551" s="31">
        <f>+SW_CE_CONTI!C550</f>
        <v>0</v>
      </c>
      <c r="D551" s="31">
        <f>+SW_CE_CONTI!D550</f>
        <v>0</v>
      </c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</row>
    <row r="552" ht="14.5">
      <c r="B552" s="31">
        <f>+SW_CE_CONTI!B551</f>
        <v>0</v>
      </c>
      <c r="C552" s="31">
        <f>+SW_CE_CONTI!C551</f>
        <v>0</v>
      </c>
      <c r="D552" s="31">
        <f>+SW_CE_CONTI!D551</f>
        <v>0</v>
      </c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</row>
    <row r="553" ht="14.5">
      <c r="B553" s="31">
        <f>+SW_CE_CONTI!B552</f>
        <v>0</v>
      </c>
      <c r="C553" s="31">
        <f>+SW_CE_CONTI!C552</f>
        <v>0</v>
      </c>
      <c r="D553" s="31">
        <f>+SW_CE_CONTI!D552</f>
        <v>0</v>
      </c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</row>
    <row r="554" ht="14.5">
      <c r="B554" s="31">
        <f>+SW_CE_CONTI!B553</f>
        <v>0</v>
      </c>
      <c r="C554" s="31">
        <f>+SW_CE_CONTI!C553</f>
        <v>0</v>
      </c>
      <c r="D554" s="31">
        <f>+SW_CE_CONTI!D553</f>
        <v>0</v>
      </c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</row>
    <row r="555" ht="14.5">
      <c r="B555" s="31">
        <f>+SW_CE_CONTI!B554</f>
        <v>0</v>
      </c>
      <c r="C555" s="31">
        <f>+SW_CE_CONTI!C554</f>
        <v>0</v>
      </c>
      <c r="D555" s="31">
        <f>+SW_CE_CONTI!D554</f>
        <v>0</v>
      </c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</row>
    <row r="556" ht="14.5">
      <c r="B556" s="31">
        <f>+SW_CE_CONTI!B555</f>
        <v>0</v>
      </c>
      <c r="C556" s="31">
        <f>+SW_CE_CONTI!C555</f>
        <v>0</v>
      </c>
      <c r="D556" s="31">
        <f>+SW_CE_CONTI!D555</f>
        <v>0</v>
      </c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</row>
    <row r="557" ht="14.5">
      <c r="B557" s="31">
        <f>+SW_CE_CONTI!B556</f>
        <v>0</v>
      </c>
      <c r="C557" s="31">
        <f>+SW_CE_CONTI!C556</f>
        <v>0</v>
      </c>
      <c r="D557" s="31">
        <f>+SW_CE_CONTI!D556</f>
        <v>0</v>
      </c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</row>
    <row r="558" ht="14.5">
      <c r="B558" s="31">
        <f>+SW_CE_CONTI!B557</f>
        <v>0</v>
      </c>
      <c r="C558" s="31">
        <f>+SW_CE_CONTI!C557</f>
        <v>0</v>
      </c>
      <c r="D558" s="31">
        <f>+SW_CE_CONTI!D557</f>
        <v>0</v>
      </c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</row>
    <row r="559" ht="14.5">
      <c r="B559" s="31">
        <f>+SW_CE_CONTI!B558</f>
        <v>0</v>
      </c>
      <c r="C559" s="31">
        <f>+SW_CE_CONTI!C558</f>
        <v>0</v>
      </c>
      <c r="D559" s="31">
        <f>+SW_CE_CONTI!D558</f>
        <v>0</v>
      </c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</row>
    <row r="560" ht="14.5">
      <c r="B560" s="31">
        <f>+SW_CE_CONTI!B559</f>
        <v>0</v>
      </c>
      <c r="C560" s="31">
        <f>+SW_CE_CONTI!C559</f>
        <v>0</v>
      </c>
      <c r="D560" s="31">
        <f>+SW_CE_CONTI!D559</f>
        <v>0</v>
      </c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</row>
    <row r="561" ht="14.5">
      <c r="B561" s="31">
        <f>+SW_CE_CONTI!B560</f>
        <v>0</v>
      </c>
      <c r="C561" s="31">
        <f>+SW_CE_CONTI!C560</f>
        <v>0</v>
      </c>
      <c r="D561" s="31">
        <f>+SW_CE_CONTI!D560</f>
        <v>0</v>
      </c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</row>
    <row r="562" ht="14.5">
      <c r="B562" s="31">
        <f>+SW_CE_CONTI!B561</f>
        <v>0</v>
      </c>
      <c r="C562" s="31">
        <f>+SW_CE_CONTI!C561</f>
        <v>0</v>
      </c>
      <c r="D562" s="31">
        <f>+SW_CE_CONTI!D561</f>
        <v>0</v>
      </c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</row>
    <row r="563" ht="14.5">
      <c r="B563" s="31">
        <f>+SW_CE_CONTI!B562</f>
        <v>0</v>
      </c>
      <c r="C563" s="31">
        <f>+SW_CE_CONTI!C562</f>
        <v>0</v>
      </c>
      <c r="D563" s="31">
        <f>+SW_CE_CONTI!D562</f>
        <v>0</v>
      </c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</row>
    <row r="564" ht="14.5">
      <c r="B564" s="31">
        <f>+SW_CE_CONTI!B563</f>
        <v>0</v>
      </c>
      <c r="C564" s="31">
        <f>+SW_CE_CONTI!C563</f>
        <v>0</v>
      </c>
      <c r="D564" s="31">
        <f>+SW_CE_CONTI!D563</f>
        <v>0</v>
      </c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</row>
    <row r="565" ht="14.5">
      <c r="B565" s="31">
        <f>+SW_CE_CONTI!B564</f>
        <v>0</v>
      </c>
      <c r="C565" s="31">
        <f>+SW_CE_CONTI!C564</f>
        <v>0</v>
      </c>
      <c r="D565" s="31">
        <f>+SW_CE_CONTI!D564</f>
        <v>0</v>
      </c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</row>
    <row r="566" ht="14.5">
      <c r="B566" s="31">
        <f>+SW_CE_CONTI!B565</f>
        <v>0</v>
      </c>
      <c r="C566" s="31">
        <f>+SW_CE_CONTI!C565</f>
        <v>0</v>
      </c>
      <c r="D566" s="31">
        <f>+SW_CE_CONTI!D565</f>
        <v>0</v>
      </c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</row>
    <row r="567" ht="14.5">
      <c r="B567" s="31">
        <f>+SW_CE_CONTI!B566</f>
        <v>0</v>
      </c>
      <c r="C567" s="31">
        <f>+SW_CE_CONTI!C566</f>
        <v>0</v>
      </c>
      <c r="D567" s="31">
        <f>+SW_CE_CONTI!D566</f>
        <v>0</v>
      </c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</row>
    <row r="568" ht="14.5">
      <c r="B568" s="31">
        <f>+SW_CE_CONTI!B567</f>
        <v>0</v>
      </c>
      <c r="C568" s="31">
        <f>+SW_CE_CONTI!C567</f>
        <v>0</v>
      </c>
      <c r="D568" s="31">
        <f>+SW_CE_CONTI!D567</f>
        <v>0</v>
      </c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</row>
    <row r="569" ht="14.5">
      <c r="B569" s="31">
        <f>+SW_CE_CONTI!B568</f>
        <v>0</v>
      </c>
      <c r="C569" s="31">
        <f>+SW_CE_CONTI!C568</f>
        <v>0</v>
      </c>
      <c r="D569" s="31">
        <f>+SW_CE_CONTI!D568</f>
        <v>0</v>
      </c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</row>
    <row r="570" ht="14.5">
      <c r="B570" s="31">
        <f>+SW_CE_CONTI!B569</f>
        <v>0</v>
      </c>
      <c r="C570" s="31">
        <f>+SW_CE_CONTI!C569</f>
        <v>0</v>
      </c>
      <c r="D570" s="31">
        <f>+SW_CE_CONTI!D569</f>
        <v>0</v>
      </c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</row>
    <row r="571" ht="14.5">
      <c r="B571" s="31">
        <f>+SW_CE_CONTI!B570</f>
        <v>0</v>
      </c>
      <c r="C571" s="31">
        <f>+SW_CE_CONTI!C570</f>
        <v>0</v>
      </c>
      <c r="D571" s="31">
        <f>+SW_CE_CONTI!D570</f>
        <v>0</v>
      </c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</row>
    <row r="572" ht="14.5">
      <c r="B572" s="31">
        <f>+SW_CE_CONTI!B571</f>
        <v>0</v>
      </c>
      <c r="C572" s="31">
        <f>+SW_CE_CONTI!C571</f>
        <v>0</v>
      </c>
      <c r="D572" s="31">
        <f>+SW_CE_CONTI!D571</f>
        <v>0</v>
      </c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</row>
    <row r="573" ht="14.5">
      <c r="B573" s="31">
        <f>+SW_CE_CONTI!B572</f>
        <v>0</v>
      </c>
      <c r="C573" s="31">
        <f>+SW_CE_CONTI!C572</f>
        <v>0</v>
      </c>
      <c r="D573" s="31">
        <f>+SW_CE_CONTI!D572</f>
        <v>0</v>
      </c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</row>
    <row r="574" ht="14.5">
      <c r="B574" s="31">
        <f>+SW_CE_CONTI!B573</f>
        <v>0</v>
      </c>
      <c r="C574" s="31">
        <f>+SW_CE_CONTI!C573</f>
        <v>0</v>
      </c>
      <c r="D574" s="31">
        <f>+SW_CE_CONTI!D573</f>
        <v>0</v>
      </c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</row>
    <row r="575" ht="14.5">
      <c r="B575" s="31">
        <f>+SW_CE_CONTI!B574</f>
        <v>0</v>
      </c>
      <c r="C575" s="31">
        <f>+SW_CE_CONTI!C574</f>
        <v>0</v>
      </c>
      <c r="D575" s="31">
        <f>+SW_CE_CONTI!D574</f>
        <v>0</v>
      </c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</row>
    <row r="576" ht="14.5">
      <c r="B576" s="31">
        <f>+SW_CE_CONTI!B575</f>
        <v>0</v>
      </c>
      <c r="C576" s="31">
        <f>+SW_CE_CONTI!C575</f>
        <v>0</v>
      </c>
      <c r="D576" s="31">
        <f>+SW_CE_CONTI!D575</f>
        <v>0</v>
      </c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</row>
    <row r="577" ht="14.5">
      <c r="B577" s="31">
        <f>+SW_CE_CONTI!B576</f>
        <v>0</v>
      </c>
      <c r="C577" s="31">
        <f>+SW_CE_CONTI!C576</f>
        <v>0</v>
      </c>
      <c r="D577" s="31">
        <f>+SW_CE_CONTI!D576</f>
        <v>0</v>
      </c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</row>
    <row r="578" ht="14.5">
      <c r="B578" s="31">
        <f>+SW_CE_CONTI!B577</f>
        <v>0</v>
      </c>
      <c r="C578" s="31">
        <f>+SW_CE_CONTI!C577</f>
        <v>0</v>
      </c>
      <c r="D578" s="31">
        <f>+SW_CE_CONTI!D577</f>
        <v>0</v>
      </c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</row>
    <row r="579" ht="14.5">
      <c r="B579" s="31">
        <f>+SW_CE_CONTI!B578</f>
        <v>0</v>
      </c>
      <c r="C579" s="31">
        <f>+SW_CE_CONTI!C578</f>
        <v>0</v>
      </c>
      <c r="D579" s="31">
        <f>+SW_CE_CONTI!D578</f>
        <v>0</v>
      </c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</row>
    <row r="580" ht="14.5">
      <c r="B580" s="31">
        <f>+SW_CE_CONTI!B579</f>
        <v>0</v>
      </c>
      <c r="C580" s="31">
        <f>+SW_CE_CONTI!C579</f>
        <v>0</v>
      </c>
      <c r="D580" s="31">
        <f>+SW_CE_CONTI!D579</f>
        <v>0</v>
      </c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</row>
    <row r="581" ht="14.5">
      <c r="B581" s="31">
        <f>+SW_CE_CONTI!B580</f>
        <v>0</v>
      </c>
      <c r="C581" s="31">
        <f>+SW_CE_CONTI!C580</f>
        <v>0</v>
      </c>
      <c r="D581" s="31">
        <f>+SW_CE_CONTI!D580</f>
        <v>0</v>
      </c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</row>
    <row r="582" ht="14.5">
      <c r="B582" s="31">
        <f>+SW_CE_CONTI!B581</f>
        <v>0</v>
      </c>
      <c r="C582" s="31">
        <f>+SW_CE_CONTI!C581</f>
        <v>0</v>
      </c>
      <c r="D582" s="31">
        <f>+SW_CE_CONTI!D581</f>
        <v>0</v>
      </c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</row>
    <row r="583" ht="14.5">
      <c r="B583" s="31">
        <f>+SW_CE_CONTI!B582</f>
        <v>0</v>
      </c>
      <c r="C583" s="31">
        <f>+SW_CE_CONTI!C582</f>
        <v>0</v>
      </c>
      <c r="D583" s="31">
        <f>+SW_CE_CONTI!D582</f>
        <v>0</v>
      </c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</row>
    <row r="584" ht="14.5">
      <c r="B584" s="31">
        <f>+SW_CE_CONTI!B583</f>
        <v>0</v>
      </c>
      <c r="C584" s="31">
        <f>+SW_CE_CONTI!C583</f>
        <v>0</v>
      </c>
      <c r="D584" s="31">
        <f>+SW_CE_CONTI!D583</f>
        <v>0</v>
      </c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</row>
    <row r="585" ht="14.5">
      <c r="B585" s="31">
        <f>+SW_CE_CONTI!B584</f>
        <v>0</v>
      </c>
      <c r="C585" s="31">
        <f>+SW_CE_CONTI!C584</f>
        <v>0</v>
      </c>
      <c r="D585" s="31">
        <f>+SW_CE_CONTI!D584</f>
        <v>0</v>
      </c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</row>
    <row r="586" ht="14.5">
      <c r="B586" s="31">
        <f>+SW_CE_CONTI!B585</f>
        <v>0</v>
      </c>
      <c r="C586" s="31">
        <f>+SW_CE_CONTI!C585</f>
        <v>0</v>
      </c>
      <c r="D586" s="31">
        <f>+SW_CE_CONTI!D585</f>
        <v>0</v>
      </c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</row>
    <row r="587" ht="14.5">
      <c r="B587" s="31">
        <f>+SW_CE_CONTI!B586</f>
        <v>0</v>
      </c>
      <c r="C587" s="31">
        <f>+SW_CE_CONTI!C586</f>
        <v>0</v>
      </c>
      <c r="D587" s="31">
        <f>+SW_CE_CONTI!D586</f>
        <v>0</v>
      </c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</row>
    <row r="588" ht="14.5">
      <c r="B588" s="31">
        <f>+SW_CE_CONTI!B587</f>
        <v>0</v>
      </c>
      <c r="C588" s="31">
        <f>+SW_CE_CONTI!C587</f>
        <v>0</v>
      </c>
      <c r="D588" s="31">
        <f>+SW_CE_CONTI!D587</f>
        <v>0</v>
      </c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</row>
    <row r="589" ht="14.5">
      <c r="B589" s="31">
        <f>+SW_CE_CONTI!B588</f>
        <v>0</v>
      </c>
      <c r="C589" s="31">
        <f>+SW_CE_CONTI!C588</f>
        <v>0</v>
      </c>
      <c r="D589" s="31">
        <f>+SW_CE_CONTI!D588</f>
        <v>0</v>
      </c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</row>
    <row r="590" ht="14.5">
      <c r="B590" s="31">
        <f>+SW_CE_CONTI!B589</f>
        <v>0</v>
      </c>
      <c r="C590" s="31">
        <f>+SW_CE_CONTI!C589</f>
        <v>0</v>
      </c>
      <c r="D590" s="31">
        <f>+SW_CE_CONTI!D589</f>
        <v>0</v>
      </c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</row>
    <row r="591" ht="14.5">
      <c r="B591" s="31">
        <f>+SW_CE_CONTI!B590</f>
        <v>0</v>
      </c>
      <c r="C591" s="31">
        <f>+SW_CE_CONTI!C590</f>
        <v>0</v>
      </c>
      <c r="D591" s="31">
        <f>+SW_CE_CONTI!D590</f>
        <v>0</v>
      </c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</row>
    <row r="592" ht="14.5">
      <c r="B592" s="31">
        <f>+SW_CE_CONTI!B591</f>
        <v>0</v>
      </c>
      <c r="C592" s="31">
        <f>+SW_CE_CONTI!C591</f>
        <v>0</v>
      </c>
      <c r="D592" s="31">
        <f>+SW_CE_CONTI!D591</f>
        <v>0</v>
      </c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</row>
    <row r="593" ht="14.5">
      <c r="B593" s="31">
        <f>+SW_CE_CONTI!B592</f>
        <v>0</v>
      </c>
      <c r="C593" s="31">
        <f>+SW_CE_CONTI!C592</f>
        <v>0</v>
      </c>
      <c r="D593" s="31">
        <f>+SW_CE_CONTI!D592</f>
        <v>0</v>
      </c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</row>
    <row r="594" ht="14.5">
      <c r="B594" s="31">
        <f>+SW_CE_CONTI!B593</f>
        <v>0</v>
      </c>
      <c r="C594" s="31">
        <f>+SW_CE_CONTI!C593</f>
        <v>0</v>
      </c>
      <c r="D594" s="31">
        <f>+SW_CE_CONTI!D593</f>
        <v>0</v>
      </c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</row>
    <row r="595" ht="14.5">
      <c r="B595" s="31">
        <f>+SW_CE_CONTI!B594</f>
        <v>0</v>
      </c>
      <c r="C595" s="31">
        <f>+SW_CE_CONTI!C594</f>
        <v>0</v>
      </c>
      <c r="D595" s="31">
        <f>+SW_CE_CONTI!D594</f>
        <v>0</v>
      </c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</row>
    <row r="596" ht="14.5">
      <c r="B596" s="31">
        <f>+SW_CE_CONTI!B595</f>
        <v>0</v>
      </c>
      <c r="C596" s="31">
        <f>+SW_CE_CONTI!C595</f>
        <v>0</v>
      </c>
      <c r="D596" s="31">
        <f>+SW_CE_CONTI!D595</f>
        <v>0</v>
      </c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</row>
    <row r="597" ht="14.5">
      <c r="B597" s="31">
        <f>+SW_CE_CONTI!B596</f>
        <v>0</v>
      </c>
      <c r="C597" s="31">
        <f>+SW_CE_CONTI!C596</f>
        <v>0</v>
      </c>
      <c r="D597" s="31">
        <f>+SW_CE_CONTI!D596</f>
        <v>0</v>
      </c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</row>
    <row r="598" ht="14.5">
      <c r="B598" s="31">
        <f>+SW_CE_CONTI!B597</f>
        <v>0</v>
      </c>
      <c r="C598" s="31">
        <f>+SW_CE_CONTI!C597</f>
        <v>0</v>
      </c>
      <c r="D598" s="31">
        <f>+SW_CE_CONTI!D597</f>
        <v>0</v>
      </c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</row>
    <row r="599" ht="14.5">
      <c r="B599" s="31">
        <f>+SW_CE_CONTI!B598</f>
        <v>0</v>
      </c>
      <c r="C599" s="31">
        <f>+SW_CE_CONTI!C598</f>
        <v>0</v>
      </c>
      <c r="D599" s="31">
        <f>+SW_CE_CONTI!D598</f>
        <v>0</v>
      </c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</row>
    <row r="600" ht="14.5">
      <c r="B600" s="31">
        <f>+SW_CE_CONTI!B599</f>
        <v>0</v>
      </c>
      <c r="C600" s="31">
        <f>+SW_CE_CONTI!C599</f>
        <v>0</v>
      </c>
      <c r="D600" s="31">
        <f>+SW_CE_CONTI!D599</f>
        <v>0</v>
      </c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</row>
    <row r="601" ht="14.5">
      <c r="B601" s="31">
        <f>+SW_CE_CONTI!B600</f>
        <v>0</v>
      </c>
      <c r="C601" s="31">
        <f>+SW_CE_CONTI!C600</f>
        <v>0</v>
      </c>
      <c r="D601" s="31">
        <f>+SW_CE_CONTI!D600</f>
        <v>0</v>
      </c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</row>
    <row r="602" ht="14.5">
      <c r="B602" s="31">
        <f>+SW_CE_CONTI!B601</f>
        <v>0</v>
      </c>
      <c r="C602" s="31">
        <f>+SW_CE_CONTI!C601</f>
        <v>0</v>
      </c>
      <c r="D602" s="31">
        <f>+SW_CE_CONTI!D601</f>
        <v>0</v>
      </c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</row>
    <row r="603" ht="14.5">
      <c r="B603" s="31">
        <f>+SW_CE_CONTI!B602</f>
        <v>0</v>
      </c>
      <c r="C603" s="31">
        <f>+SW_CE_CONTI!C602</f>
        <v>0</v>
      </c>
      <c r="D603" s="31">
        <f>+SW_CE_CONTI!D602</f>
        <v>0</v>
      </c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</row>
    <row r="604" ht="14.5">
      <c r="B604" s="31">
        <f>+SW_CE_CONTI!B603</f>
        <v>0</v>
      </c>
      <c r="C604" s="31">
        <f>+SW_CE_CONTI!C603</f>
        <v>0</v>
      </c>
      <c r="D604" s="31">
        <f>+SW_CE_CONTI!D603</f>
        <v>0</v>
      </c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</row>
    <row r="605" ht="14.5">
      <c r="B605" s="31">
        <f>+SW_CE_CONTI!B604</f>
        <v>0</v>
      </c>
      <c r="C605" s="31">
        <f>+SW_CE_CONTI!C604</f>
        <v>0</v>
      </c>
      <c r="D605" s="31">
        <f>+SW_CE_CONTI!D604</f>
        <v>0</v>
      </c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</row>
    <row r="606" ht="14.5">
      <c r="B606" s="31">
        <f>+SW_CE_CONTI!B605</f>
        <v>0</v>
      </c>
      <c r="C606" s="31">
        <f>+SW_CE_CONTI!C605</f>
        <v>0</v>
      </c>
      <c r="D606" s="31">
        <f>+SW_CE_CONTI!D605</f>
        <v>0</v>
      </c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</row>
    <row r="607" ht="14.5">
      <c r="B607" s="31">
        <f>+SW_CE_CONTI!B606</f>
        <v>0</v>
      </c>
      <c r="C607" s="31">
        <f>+SW_CE_CONTI!C606</f>
        <v>0</v>
      </c>
      <c r="D607" s="31">
        <f>+SW_CE_CONTI!D606</f>
        <v>0</v>
      </c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</row>
    <row r="608" ht="14.5">
      <c r="B608" s="31">
        <f>+SW_CE_CONTI!B607</f>
        <v>0</v>
      </c>
      <c r="C608" s="31">
        <f>+SW_CE_CONTI!C607</f>
        <v>0</v>
      </c>
      <c r="D608" s="31">
        <f>+SW_CE_CONTI!D607</f>
        <v>0</v>
      </c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</row>
    <row r="609" ht="14.5">
      <c r="B609" s="31">
        <f>+SW_CE_CONTI!B608</f>
        <v>0</v>
      </c>
      <c r="C609" s="31">
        <f>+SW_CE_CONTI!C608</f>
        <v>0</v>
      </c>
      <c r="D609" s="31">
        <f>+SW_CE_CONTI!D608</f>
        <v>0</v>
      </c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</row>
    <row r="610" ht="14.5">
      <c r="B610" s="31">
        <f>+SW_CE_CONTI!B609</f>
        <v>0</v>
      </c>
      <c r="C610" s="31">
        <f>+SW_CE_CONTI!C609</f>
        <v>0</v>
      </c>
      <c r="D610" s="31">
        <f>+SW_CE_CONTI!D609</f>
        <v>0</v>
      </c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</row>
    <row r="611" ht="14.5">
      <c r="B611" s="31">
        <f>+SW_CE_CONTI!B610</f>
        <v>0</v>
      </c>
      <c r="C611" s="31">
        <f>+SW_CE_CONTI!C610</f>
        <v>0</v>
      </c>
      <c r="D611" s="31">
        <f>+SW_CE_CONTI!D610</f>
        <v>0</v>
      </c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</row>
    <row r="612" ht="14.5">
      <c r="B612" s="31">
        <f>+SW_CE_CONTI!B611</f>
        <v>0</v>
      </c>
      <c r="C612" s="31">
        <f>+SW_CE_CONTI!C611</f>
        <v>0</v>
      </c>
      <c r="D612" s="31">
        <f>+SW_CE_CONTI!D611</f>
        <v>0</v>
      </c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</row>
    <row r="613" ht="14.5">
      <c r="B613" s="31">
        <f>+SW_CE_CONTI!B612</f>
        <v>0</v>
      </c>
      <c r="C613" s="31">
        <f>+SW_CE_CONTI!C612</f>
        <v>0</v>
      </c>
      <c r="D613" s="31">
        <f>+SW_CE_CONTI!D612</f>
        <v>0</v>
      </c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</row>
    <row r="614" ht="14.5">
      <c r="B614" s="31">
        <f>+SW_CE_CONTI!B613</f>
        <v>0</v>
      </c>
      <c r="C614" s="31">
        <f>+SW_CE_CONTI!C613</f>
        <v>0</v>
      </c>
      <c r="D614" s="31">
        <f>+SW_CE_CONTI!D613</f>
        <v>0</v>
      </c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</row>
    <row r="615" ht="14.5">
      <c r="B615" s="31">
        <f>+SW_CE_CONTI!B614</f>
        <v>0</v>
      </c>
      <c r="C615" s="31">
        <f>+SW_CE_CONTI!C614</f>
        <v>0</v>
      </c>
      <c r="D615" s="31">
        <f>+SW_CE_CONTI!D614</f>
        <v>0</v>
      </c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</row>
    <row r="616" ht="14.5">
      <c r="B616" s="31">
        <f>+SW_CE_CONTI!B615</f>
        <v>0</v>
      </c>
      <c r="C616" s="31">
        <f>+SW_CE_CONTI!C615</f>
        <v>0</v>
      </c>
      <c r="D616" s="31">
        <f>+SW_CE_CONTI!D615</f>
        <v>0</v>
      </c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</row>
    <row r="617" ht="14.5">
      <c r="B617" s="31">
        <f>+SW_CE_CONTI!B616</f>
        <v>0</v>
      </c>
      <c r="C617" s="31">
        <f>+SW_CE_CONTI!C616</f>
        <v>0</v>
      </c>
      <c r="D617" s="31">
        <f>+SW_CE_CONTI!D616</f>
        <v>0</v>
      </c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</row>
    <row r="618" ht="14.5">
      <c r="B618" s="31">
        <f>+SW_CE_CONTI!B617</f>
        <v>0</v>
      </c>
      <c r="C618" s="31">
        <f>+SW_CE_CONTI!C617</f>
        <v>0</v>
      </c>
      <c r="D618" s="31">
        <f>+SW_CE_CONTI!D617</f>
        <v>0</v>
      </c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</row>
    <row r="619" ht="14.5">
      <c r="B619" s="31">
        <f>+SW_CE_CONTI!B618</f>
        <v>0</v>
      </c>
      <c r="C619" s="31">
        <f>+SW_CE_CONTI!C618</f>
        <v>0</v>
      </c>
      <c r="D619" s="31">
        <f>+SW_CE_CONTI!D618</f>
        <v>0</v>
      </c>
      <c r="E619" s="32"/>
      <c r="F619" s="32"/>
      <c r="G619" s="32"/>
      <c r="H619" s="32"/>
      <c r="T619" s="32"/>
    </row>
    <row r="620" ht="14.5">
      <c r="B620" s="31">
        <f>+SW_CE_CONTI!B619</f>
        <v>0</v>
      </c>
      <c r="C620" s="31">
        <f>+SW_CE_CONTI!C619</f>
        <v>0</v>
      </c>
      <c r="D620" s="31">
        <f>+SW_CE_CONTI!D619</f>
        <v>0</v>
      </c>
      <c r="E620" s="32"/>
      <c r="F620" s="32"/>
      <c r="G620" s="32"/>
      <c r="H620" s="32"/>
      <c r="T620" s="32"/>
    </row>
    <row r="621" ht="14.5">
      <c r="B621" s="31">
        <f>+SW_CE_CONTI!B620</f>
        <v>0</v>
      </c>
      <c r="C621" s="31">
        <f>+SW_CE_CONTI!C620</f>
        <v>0</v>
      </c>
      <c r="D621" s="31">
        <f>+SW_CE_CONTI!D620</f>
        <v>0</v>
      </c>
      <c r="E621" s="32"/>
      <c r="F621" s="32"/>
      <c r="G621" s="32"/>
      <c r="H621" s="32"/>
      <c r="T621" s="32"/>
    </row>
    <row r="622" ht="14.5">
      <c r="B622" s="31">
        <f>+SW_CE_CONTI!B621</f>
        <v>0</v>
      </c>
      <c r="C622" s="31">
        <f>+SW_CE_CONTI!C621</f>
        <v>0</v>
      </c>
      <c r="D622" s="31">
        <f>+SW_CE_CONTI!D621</f>
        <v>0</v>
      </c>
      <c r="E622" s="32"/>
      <c r="F622" s="32"/>
      <c r="G622" s="32"/>
      <c r="H622" s="32"/>
      <c r="T622" s="32"/>
    </row>
    <row r="623" ht="14.5">
      <c r="B623" s="31">
        <f>+SW_CE_CONTI!B622</f>
        <v>0</v>
      </c>
      <c r="C623" s="31">
        <f>+SW_CE_CONTI!C622</f>
        <v>0</v>
      </c>
      <c r="D623" s="31">
        <f>+SW_CE_CONTI!D622</f>
        <v>0</v>
      </c>
      <c r="E623" s="32"/>
      <c r="F623" s="32"/>
      <c r="G623" s="32"/>
      <c r="H623" s="32"/>
      <c r="T623" s="32"/>
    </row>
    <row r="624" ht="14.5">
      <c r="B624" s="31">
        <f>+SW_CE_CONTI!B623</f>
        <v>0</v>
      </c>
      <c r="C624" s="31">
        <f>+SW_CE_CONTI!C623</f>
        <v>0</v>
      </c>
      <c r="D624" s="31">
        <f>+SW_CE_CONTI!D623</f>
        <v>0</v>
      </c>
      <c r="E624" s="32"/>
      <c r="F624" s="32"/>
      <c r="G624" s="32"/>
      <c r="H624" s="32"/>
      <c r="T624" s="32"/>
    </row>
    <row r="625" ht="14.5">
      <c r="B625" s="31">
        <f>+SW_CE_CONTI!B624</f>
        <v>0</v>
      </c>
      <c r="C625" s="31">
        <f>+SW_CE_CONTI!C624</f>
        <v>0</v>
      </c>
      <c r="D625" s="31">
        <f>+SW_CE_CONTI!D624</f>
        <v>0</v>
      </c>
      <c r="E625" s="32"/>
      <c r="F625" s="32"/>
      <c r="G625" s="32"/>
      <c r="H625" s="32"/>
      <c r="T625" s="32"/>
    </row>
    <row r="626" ht="14.5">
      <c r="B626" s="31">
        <f>+SW_CE_CONTI!B625</f>
        <v>0</v>
      </c>
      <c r="C626" s="31">
        <f>+SW_CE_CONTI!C625</f>
        <v>0</v>
      </c>
      <c r="D626" s="31">
        <f>+SW_CE_CONTI!D625</f>
        <v>0</v>
      </c>
      <c r="E626" s="32"/>
      <c r="F626" s="32"/>
      <c r="G626" s="32"/>
      <c r="H626" s="32"/>
      <c r="T626" s="32"/>
    </row>
    <row r="627" ht="14.5">
      <c r="B627" s="31">
        <f>+SW_CE_CONTI!B626</f>
        <v>0</v>
      </c>
      <c r="C627" s="31">
        <f>+SW_CE_CONTI!C626</f>
        <v>0</v>
      </c>
      <c r="D627" s="31">
        <f>+SW_CE_CONTI!D626</f>
        <v>0</v>
      </c>
      <c r="E627" s="32"/>
      <c r="F627" s="32"/>
      <c r="G627" s="32"/>
      <c r="H627" s="32"/>
      <c r="T627" s="32"/>
    </row>
    <row r="628" ht="14.5">
      <c r="B628" s="31">
        <f>+SW_CE_CONTI!B627</f>
        <v>0</v>
      </c>
      <c r="C628" s="31">
        <f>+SW_CE_CONTI!C627</f>
        <v>0</v>
      </c>
      <c r="D628" s="31">
        <f>+SW_CE_CONTI!D627</f>
        <v>0</v>
      </c>
      <c r="E628" s="32"/>
      <c r="F628" s="32"/>
      <c r="G628" s="32"/>
      <c r="H628" s="32"/>
      <c r="T628" s="32"/>
    </row>
    <row r="629" ht="14.5">
      <c r="B629" s="31">
        <f>+SW_CE_CONTI!B628</f>
        <v>0</v>
      </c>
      <c r="C629" s="31">
        <f>+SW_CE_CONTI!C628</f>
        <v>0</v>
      </c>
      <c r="D629" s="31">
        <f>+SW_CE_CONTI!D628</f>
        <v>0</v>
      </c>
      <c r="E629" s="32"/>
      <c r="F629" s="32"/>
      <c r="G629" s="32"/>
      <c r="H629" s="32"/>
      <c r="T629" s="32"/>
    </row>
    <row r="630" ht="14.5">
      <c r="B630" s="31">
        <f>+SW_CE_CONTI!B629</f>
        <v>0</v>
      </c>
      <c r="C630" s="31">
        <f>+SW_CE_CONTI!C629</f>
        <v>0</v>
      </c>
      <c r="D630" s="31">
        <f>+SW_CE_CONTI!D629</f>
        <v>0</v>
      </c>
      <c r="E630" s="32"/>
      <c r="F630" s="32"/>
      <c r="G630" s="32"/>
      <c r="H630" s="32"/>
      <c r="T630" s="32"/>
    </row>
    <row r="631" ht="14.5">
      <c r="B631" s="31">
        <f>+SW_CE_CONTI!B630</f>
        <v>0</v>
      </c>
      <c r="C631" s="31">
        <f>+SW_CE_CONTI!C630</f>
        <v>0</v>
      </c>
      <c r="D631" s="31">
        <f>+SW_CE_CONTI!D630</f>
        <v>0</v>
      </c>
      <c r="E631" s="32"/>
      <c r="F631" s="32"/>
      <c r="G631" s="32"/>
      <c r="H631" s="32"/>
      <c r="T631" s="32"/>
    </row>
    <row r="632" ht="14.5">
      <c r="B632" s="31">
        <f>+SW_CE_CONTI!B631</f>
        <v>0</v>
      </c>
      <c r="C632" s="31">
        <f>+SW_CE_CONTI!C631</f>
        <v>0</v>
      </c>
      <c r="D632" s="31">
        <f>+SW_CE_CONTI!D631</f>
        <v>0</v>
      </c>
      <c r="E632" s="32"/>
      <c r="F632" s="32"/>
      <c r="G632" s="32"/>
      <c r="H632" s="32"/>
      <c r="T632" s="32"/>
    </row>
    <row r="633" ht="14.5">
      <c r="B633" s="31">
        <f>+SW_CE_CONTI!B632</f>
        <v>0</v>
      </c>
      <c r="C633" s="31">
        <f>+SW_CE_CONTI!C632</f>
        <v>0</v>
      </c>
      <c r="D633" s="31">
        <f>+SW_CE_CONTI!D632</f>
        <v>0</v>
      </c>
      <c r="E633" s="32"/>
      <c r="F633" s="32"/>
      <c r="G633" s="32"/>
      <c r="H633" s="32"/>
      <c r="T633" s="32"/>
    </row>
    <row r="634" ht="14.5">
      <c r="B634" s="31">
        <f>+SW_CE_CONTI!B633</f>
        <v>0</v>
      </c>
      <c r="C634" s="31">
        <f>+SW_CE_CONTI!C633</f>
        <v>0</v>
      </c>
      <c r="D634" s="31">
        <f>+SW_CE_CONTI!D633</f>
        <v>0</v>
      </c>
      <c r="E634" s="32"/>
      <c r="F634" s="32"/>
      <c r="G634" s="32"/>
      <c r="H634" s="32"/>
      <c r="T634" s="32"/>
    </row>
    <row r="635" ht="14.5">
      <c r="B635" s="31">
        <f>+SW_CE_CONTI!B634</f>
        <v>0</v>
      </c>
      <c r="C635" s="31">
        <f>+SW_CE_CONTI!C634</f>
        <v>0</v>
      </c>
      <c r="D635" s="31">
        <f>+SW_CE_CONTI!D634</f>
        <v>0</v>
      </c>
      <c r="E635" s="32"/>
      <c r="F635" s="32"/>
      <c r="G635" s="32"/>
      <c r="H635" s="32"/>
      <c r="T635" s="32"/>
    </row>
    <row r="636" ht="14.5">
      <c r="B636" s="31">
        <f>+SW_CE_CONTI!B635</f>
        <v>0</v>
      </c>
      <c r="C636" s="31">
        <f>+SW_CE_CONTI!C635</f>
        <v>0</v>
      </c>
      <c r="D636" s="31">
        <f>+SW_CE_CONTI!D635</f>
        <v>0</v>
      </c>
      <c r="E636" s="32"/>
      <c r="F636" s="32"/>
      <c r="G636" s="32"/>
      <c r="H636" s="32"/>
      <c r="T636" s="32"/>
    </row>
    <row r="637" ht="14.5">
      <c r="B637" s="31">
        <f>+SW_CE_CONTI!B636</f>
        <v>0</v>
      </c>
      <c r="C637" s="31">
        <f>+SW_CE_CONTI!C636</f>
        <v>0</v>
      </c>
      <c r="D637" s="31">
        <f>+SW_CE_CONTI!D636</f>
        <v>0</v>
      </c>
      <c r="E637" s="32"/>
      <c r="F637" s="32"/>
      <c r="G637" s="32"/>
      <c r="H637" s="32"/>
      <c r="T637" s="32"/>
    </row>
    <row r="638" ht="14.5">
      <c r="B638" s="31">
        <f>+SW_CE_CONTI!B637</f>
        <v>0</v>
      </c>
      <c r="C638" s="31">
        <f>+SW_CE_CONTI!C637</f>
        <v>0</v>
      </c>
      <c r="D638" s="31">
        <f>+SW_CE_CONTI!D637</f>
        <v>0</v>
      </c>
      <c r="E638" s="32"/>
      <c r="F638" s="32"/>
      <c r="G638" s="32"/>
      <c r="H638" s="32"/>
      <c r="T638" s="32"/>
    </row>
    <row r="639" ht="14.5">
      <c r="B639" s="31">
        <f>+SW_CE_CONTI!B638</f>
        <v>0</v>
      </c>
      <c r="C639" s="31">
        <f>+SW_CE_CONTI!C638</f>
        <v>0</v>
      </c>
      <c r="D639" s="31">
        <f>+SW_CE_CONTI!D638</f>
        <v>0</v>
      </c>
      <c r="E639" s="32"/>
      <c r="F639" s="32"/>
      <c r="G639" s="32"/>
      <c r="H639" s="32"/>
      <c r="T639" s="32"/>
    </row>
    <row r="640" ht="14.5">
      <c r="B640" s="31">
        <f>+SW_CE_CONTI!B639</f>
        <v>0</v>
      </c>
      <c r="C640" s="31">
        <f>+SW_CE_CONTI!C639</f>
        <v>0</v>
      </c>
      <c r="D640" s="31">
        <f>+SW_CE_CONTI!D639</f>
        <v>0</v>
      </c>
      <c r="E640" s="32"/>
      <c r="F640" s="32"/>
      <c r="G640" s="32"/>
      <c r="H640" s="32"/>
      <c r="T640" s="32"/>
    </row>
    <row r="641" ht="14.5">
      <c r="B641" s="31">
        <f>+SW_CE_CONTI!B640</f>
        <v>0</v>
      </c>
      <c r="C641" s="31">
        <f>+SW_CE_CONTI!C640</f>
        <v>0</v>
      </c>
      <c r="D641" s="31">
        <f>+SW_CE_CONTI!D640</f>
        <v>0</v>
      </c>
      <c r="E641" s="32"/>
      <c r="F641" s="32"/>
      <c r="G641" s="32"/>
      <c r="H641" s="32"/>
      <c r="T641" s="32"/>
    </row>
    <row r="642" ht="14.5">
      <c r="B642" s="31">
        <f>+SW_CE_CONTI!B641</f>
        <v>0</v>
      </c>
      <c r="C642" s="31">
        <f>+SW_CE_CONTI!C641</f>
        <v>0</v>
      </c>
      <c r="D642" s="31">
        <f>+SW_CE_CONTI!D641</f>
        <v>0</v>
      </c>
      <c r="E642" s="32"/>
      <c r="F642" s="32"/>
      <c r="G642" s="32"/>
      <c r="H642" s="32"/>
      <c r="T642" s="32"/>
    </row>
    <row r="643" ht="14.5">
      <c r="B643" s="31">
        <f>+SW_CE_CONTI!B642</f>
        <v>0</v>
      </c>
      <c r="C643" s="31">
        <f>+SW_CE_CONTI!C642</f>
        <v>0</v>
      </c>
      <c r="D643" s="31">
        <f>+SW_CE_CONTI!D642</f>
        <v>0</v>
      </c>
      <c r="E643" s="32"/>
      <c r="F643" s="32"/>
      <c r="G643" s="32"/>
      <c r="H643" s="32"/>
      <c r="T643" s="32"/>
    </row>
    <row r="644" ht="14.5">
      <c r="B644" s="31">
        <f>+SW_CE_CONTI!B643</f>
        <v>0</v>
      </c>
      <c r="C644" s="31">
        <f>+SW_CE_CONTI!C643</f>
        <v>0</v>
      </c>
      <c r="D644" s="31">
        <f>+SW_CE_CONTI!D643</f>
        <v>0</v>
      </c>
      <c r="E644" s="32"/>
      <c r="F644" s="32"/>
      <c r="G644" s="32"/>
      <c r="H644" s="32"/>
      <c r="T644" s="32"/>
    </row>
    <row r="645" ht="14.5">
      <c r="B645" s="31">
        <f>+SW_CE_CONTI!B644</f>
        <v>0</v>
      </c>
      <c r="C645" s="31">
        <f>+SW_CE_CONTI!C644</f>
        <v>0</v>
      </c>
      <c r="D645" s="31">
        <f>+SW_CE_CONTI!D644</f>
        <v>0</v>
      </c>
      <c r="E645" s="32"/>
      <c r="F645" s="32"/>
      <c r="G645" s="32"/>
      <c r="H645" s="32"/>
      <c r="T645" s="32"/>
    </row>
    <row r="646" ht="14.5">
      <c r="B646" s="31">
        <f>+SW_CE_CONTI!B645</f>
        <v>0</v>
      </c>
      <c r="C646" s="31">
        <f>+SW_CE_CONTI!C645</f>
        <v>0</v>
      </c>
      <c r="D646" s="31">
        <f>+SW_CE_CONTI!D645</f>
        <v>0</v>
      </c>
      <c r="E646" s="32"/>
      <c r="F646" s="32"/>
      <c r="G646" s="32"/>
      <c r="H646" s="32"/>
      <c r="T646" s="32"/>
    </row>
    <row r="647" ht="14.5">
      <c r="B647" s="31">
        <f>+SW_CE_CONTI!B646</f>
        <v>0</v>
      </c>
      <c r="C647" s="31">
        <f>+SW_CE_CONTI!C646</f>
        <v>0</v>
      </c>
      <c r="D647" s="31">
        <f>+SW_CE_CONTI!D646</f>
        <v>0</v>
      </c>
      <c r="E647" s="32"/>
      <c r="F647" s="32"/>
      <c r="G647" s="32"/>
      <c r="H647" s="32"/>
      <c r="T647" s="32"/>
    </row>
    <row r="648" ht="14.5">
      <c r="B648" s="31">
        <f>+SW_CE_CONTI!B647</f>
        <v>0</v>
      </c>
      <c r="C648" s="31">
        <f>+SW_CE_CONTI!C647</f>
        <v>0</v>
      </c>
      <c r="D648" s="31">
        <f>+SW_CE_CONTI!D647</f>
        <v>0</v>
      </c>
      <c r="E648" s="32"/>
      <c r="F648" s="32"/>
      <c r="G648" s="32"/>
      <c r="H648" s="32"/>
      <c r="T648" s="32"/>
    </row>
    <row r="649" ht="14.5">
      <c r="B649" s="31">
        <f>+SW_CE_CONTI!B648</f>
        <v>0</v>
      </c>
      <c r="C649" s="31">
        <f>+SW_CE_CONTI!C648</f>
        <v>0</v>
      </c>
      <c r="D649" s="31">
        <f>+SW_CE_CONTI!D648</f>
        <v>0</v>
      </c>
      <c r="E649" s="32"/>
      <c r="F649" s="32"/>
      <c r="G649" s="32"/>
      <c r="H649" s="32"/>
      <c r="T649" s="32"/>
    </row>
    <row r="650" ht="14.5">
      <c r="B650" s="31">
        <f>+SW_CE_CONTI!B649</f>
        <v>0</v>
      </c>
      <c r="C650" s="31">
        <f>+SW_CE_CONTI!C649</f>
        <v>0</v>
      </c>
      <c r="D650" s="31">
        <f>+SW_CE_CONTI!D649</f>
        <v>0</v>
      </c>
      <c r="E650" s="32"/>
      <c r="F650" s="32"/>
      <c r="G650" s="32"/>
      <c r="H650" s="32"/>
      <c r="T650" s="32"/>
    </row>
    <row r="651" ht="14.5">
      <c r="B651" s="31">
        <f>+SW_CE_CONTI!B650</f>
        <v>0</v>
      </c>
      <c r="C651" s="31">
        <f>+SW_CE_CONTI!C650</f>
        <v>0</v>
      </c>
      <c r="D651" s="31">
        <f>+SW_CE_CONTI!D650</f>
        <v>0</v>
      </c>
      <c r="E651" s="32"/>
      <c r="F651" s="32"/>
      <c r="G651" s="32"/>
      <c r="H651" s="32"/>
      <c r="T651" s="32"/>
    </row>
    <row r="652" ht="14.5">
      <c r="B652" s="31">
        <f>+SW_CE_CONTI!B651</f>
        <v>0</v>
      </c>
      <c r="C652" s="31">
        <f>+SW_CE_CONTI!C651</f>
        <v>0</v>
      </c>
      <c r="D652" s="31">
        <f>+SW_CE_CONTI!D651</f>
        <v>0</v>
      </c>
      <c r="E652" s="32"/>
      <c r="F652" s="32"/>
      <c r="G652" s="32"/>
      <c r="H652" s="32"/>
      <c r="T652" s="32"/>
    </row>
    <row r="653" ht="14.5">
      <c r="B653" s="31">
        <f>+SW_CE_CONTI!B652</f>
        <v>0</v>
      </c>
      <c r="C653" s="31">
        <f>+SW_CE_CONTI!C652</f>
        <v>0</v>
      </c>
      <c r="D653" s="31">
        <f>+SW_CE_CONTI!D652</f>
        <v>0</v>
      </c>
      <c r="E653" s="32"/>
      <c r="F653" s="32"/>
      <c r="G653" s="32"/>
      <c r="H653" s="32"/>
      <c r="T653" s="32"/>
    </row>
    <row r="654" ht="14.5">
      <c r="B654" s="31">
        <f>+SW_CE_CONTI!B653</f>
        <v>0</v>
      </c>
      <c r="C654" s="31">
        <f>+SW_CE_CONTI!C653</f>
        <v>0</v>
      </c>
      <c r="D654" s="31">
        <f>+SW_CE_CONTI!D653</f>
        <v>0</v>
      </c>
      <c r="E654" s="32"/>
      <c r="F654" s="32"/>
      <c r="G654" s="32"/>
      <c r="H654" s="32"/>
      <c r="T654" s="32"/>
    </row>
    <row r="655" ht="14.5">
      <c r="B655" s="31">
        <f>+SW_CE_CONTI!B654</f>
        <v>0</v>
      </c>
      <c r="C655" s="31">
        <f>+SW_CE_CONTI!C654</f>
        <v>0</v>
      </c>
      <c r="D655" s="31">
        <f>+SW_CE_CONTI!D654</f>
        <v>0</v>
      </c>
      <c r="E655" s="32"/>
      <c r="F655" s="32"/>
      <c r="G655" s="32"/>
      <c r="H655" s="32"/>
      <c r="T655" s="32"/>
    </row>
    <row r="656" ht="14.5">
      <c r="B656" s="31">
        <f>+SW_CE_CONTI!B655</f>
        <v>0</v>
      </c>
      <c r="C656" s="31">
        <f>+SW_CE_CONTI!C655</f>
        <v>0</v>
      </c>
      <c r="D656" s="31">
        <f>+SW_CE_CONTI!D655</f>
        <v>0</v>
      </c>
      <c r="E656" s="32"/>
      <c r="F656" s="32"/>
      <c r="G656" s="32"/>
      <c r="H656" s="32"/>
      <c r="T656" s="32"/>
    </row>
    <row r="657" ht="14.5">
      <c r="B657" s="31">
        <f>+SW_CE_CONTI!B656</f>
        <v>0</v>
      </c>
      <c r="C657" s="31">
        <f>+SW_CE_CONTI!C656</f>
        <v>0</v>
      </c>
      <c r="D657" s="31">
        <f>+SW_CE_CONTI!D656</f>
        <v>0</v>
      </c>
      <c r="E657" s="32"/>
      <c r="F657" s="32"/>
      <c r="G657" s="32"/>
      <c r="H657" s="32"/>
      <c r="T657" s="32"/>
    </row>
  </sheetData>
  <hyperlinks>
    <hyperlink ref="A1" location="MENU!A1" display="MENU"/>
  </hyperlinks>
</worksheet>
</file>

<file path=xl/worksheets/sheet14.xml><?xml version="1.0" encoding="utf-8"?>
<worksheet xmlns:r="http://schemas.openxmlformats.org/officeDocument/2006/relationships" xmlns="http://schemas.openxmlformats.org/spreadsheetml/2006/main">
  <sheetPr>
    <tabColor rgb="FF92D050"/>
  </sheetPr>
  <sheetViews>
    <sheetView workbookViewId="0">
      <selection activeCell="B4" sqref="B4"/>
    </sheetView>
  </sheetViews>
  <sheetFormatPr defaultRowHeight="15"/>
  <cols>
    <col min="2" max="2" width="23.42578" customWidth="1"/>
    <col min="3" max="3" width="21.14063" customWidth="1"/>
    <col min="4" max="4" width="87.85547" customWidth="1"/>
    <col min="5" max="20" width="17.14063" style="34" customWidth="1"/>
    <col min="21" max="21" width="39.42578" bestFit="1" customWidth="1"/>
  </cols>
  <sheetData>
    <row r="1" ht="14.5">
      <c r="A1" s="9" t="s">
        <v>38</v>
      </c>
      <c r="B1" s="15">
        <v>0</v>
      </c>
      <c r="C1" s="15">
        <v>0</v>
      </c>
    </row>
    <row r="2" thickBot="1"/>
    <row r="3" thickBot="1">
      <c r="B3" s="35" t="s">
        <v>720</v>
      </c>
      <c r="C3" s="35" t="s">
        <v>721</v>
      </c>
      <c r="D3" s="35" t="s">
        <v>722</v>
      </c>
      <c r="E3" s="36" t="s">
        <v>723</v>
      </c>
      <c r="F3" s="36" t="s">
        <v>724</v>
      </c>
      <c r="G3" s="36" t="s">
        <v>725</v>
      </c>
      <c r="H3" s="36" t="s">
        <v>726</v>
      </c>
      <c r="I3" s="36">
        <v>12</v>
      </c>
      <c r="J3" s="36">
        <v>11</v>
      </c>
      <c r="K3" s="36">
        <v>10</v>
      </c>
      <c r="L3" s="36">
        <v>9</v>
      </c>
      <c r="M3" s="36">
        <v>8</v>
      </c>
      <c r="N3" s="36">
        <v>7</v>
      </c>
      <c r="O3" s="36">
        <v>6</v>
      </c>
      <c r="P3" s="36">
        <v>5</v>
      </c>
      <c r="Q3" s="36">
        <v>4</v>
      </c>
      <c r="R3" s="36">
        <v>3</v>
      </c>
      <c r="S3" s="36">
        <v>2</v>
      </c>
      <c r="T3" s="36">
        <v>1</v>
      </c>
      <c r="U3" s="37" t="s">
        <v>727</v>
      </c>
    </row>
  </sheetData>
  <hyperlinks>
    <hyperlink ref="A1" location="MENU!A1" display="MENU"/>
  </hyperlinks>
</worksheet>
</file>

<file path=xl/worksheets/sheet15.xml><?xml version="1.0" encoding="utf-8"?>
<worksheet xmlns:r="http://schemas.openxmlformats.org/officeDocument/2006/relationships" xmlns="http://schemas.openxmlformats.org/spreadsheetml/2006/main">
  <sheetPr>
    <tabColor rgb="FF92D050"/>
  </sheetPr>
  <sheetViews>
    <sheetView showGridLines="0" workbookViewId="0">
      <selection activeCell="A4" sqref="A4"/>
    </sheetView>
  </sheetViews>
  <sheetFormatPr defaultRowHeight="15"/>
  <cols>
    <col min="2" max="2" width="22.42578" bestFit="1" customWidth="1"/>
    <col min="3" max="3" width="18.85547" bestFit="1" customWidth="1"/>
    <col min="4" max="4" width="81.42578" customWidth="1"/>
    <col min="5" max="20" width="17.14063" style="34" customWidth="1"/>
    <col min="21" max="21" width="39.42578" bestFit="1" customWidth="1"/>
  </cols>
  <sheetData>
    <row r="1" ht="14.5">
      <c r="A1" s="9" t="s">
        <v>38</v>
      </c>
      <c r="B1" s="38"/>
      <c r="C1" s="38"/>
    </row>
    <row r="2" thickBot="1"/>
    <row r="3" thickBot="1">
      <c r="B3" s="35" t="s">
        <v>720</v>
      </c>
      <c r="C3" s="35" t="s">
        <v>721</v>
      </c>
      <c r="D3" s="35" t="s">
        <v>722</v>
      </c>
      <c r="E3" s="39" t="s">
        <v>723</v>
      </c>
      <c r="F3" s="39" t="s">
        <v>724</v>
      </c>
      <c r="G3" s="39" t="s">
        <v>725</v>
      </c>
      <c r="H3" s="39" t="s">
        <v>726</v>
      </c>
      <c r="I3" s="36">
        <v>12</v>
      </c>
      <c r="J3" s="36">
        <v>11</v>
      </c>
      <c r="K3" s="36">
        <v>10</v>
      </c>
      <c r="L3" s="36">
        <v>9</v>
      </c>
      <c r="M3" s="36">
        <v>8</v>
      </c>
      <c r="N3" s="36">
        <v>7</v>
      </c>
      <c r="O3" s="36">
        <v>6</v>
      </c>
      <c r="P3" s="36">
        <v>5</v>
      </c>
      <c r="Q3" s="36">
        <v>4</v>
      </c>
      <c r="R3" s="36">
        <v>3</v>
      </c>
      <c r="S3" s="36">
        <v>2</v>
      </c>
      <c r="T3" s="36">
        <v>1</v>
      </c>
      <c r="U3" s="37" t="s">
        <v>728</v>
      </c>
    </row>
  </sheetData>
  <hyperlinks>
    <hyperlink ref="A1" location="MENU!A1" display="MENU"/>
  </hyperlinks>
</worksheet>
</file>

<file path=xl/worksheets/sheet16.xml><?xml version="1.0" encoding="utf-8"?>
<worksheet xmlns:r="http://schemas.openxmlformats.org/officeDocument/2006/relationships" xmlns="http://schemas.openxmlformats.org/spreadsheetml/2006/main">
  <sheetPr>
    <tabColor rgb="FFC00000"/>
  </sheetPr>
  <sheetViews>
    <sheetView zoomScale="130" zoomScaleNormal="130" workbookViewId="0" topLeftCell="A43">
      <selection activeCell="D59" sqref="D59"/>
    </sheetView>
  </sheetViews>
  <sheetFormatPr defaultRowHeight="15"/>
  <cols>
    <col min="2" max="2" width="49.85547" bestFit="1" customWidth="1"/>
    <col min="3" max="3" width="32.14063" bestFit="1" customWidth="1"/>
    <col min="4" max="4" width="26.14063" customWidth="1"/>
    <col min="5" max="5" width="30.85547" bestFit="1" customWidth="1"/>
  </cols>
  <sheetData>
    <row r="1" thickBot="1">
      <c r="A1" s="40" t="str">
        <f>SW_SP_CONTI!B2</f>
        <v>Conto</v>
      </c>
      <c r="B1" s="40" t="str">
        <f>SW_SP_CONTI!C2</f>
        <v>Descrizione</v>
      </c>
      <c r="C1" s="40" t="str">
        <f>SW_SP_CONTI!D2</f>
        <v>CATEGORIA</v>
      </c>
      <c r="D1" s="41" t="s">
        <v>11</v>
      </c>
      <c r="E1" s="41" t="s">
        <v>13</v>
      </c>
    </row>
    <row r="2" thickTop="1" thickBot="1" ht="15.5">
      <c r="A2" s="42" t="str">
        <f>SW_SP_CONTI!B3</f>
        <v>10100</v>
      </c>
      <c r="B2" s="42" t="str">
        <f>SW_SP_CONTI!C3</f>
        <v>PARTECIPAZIONI IN IMPRESE CONTROLLATE</v>
      </c>
      <c r="C2" s="42" t="str">
        <f>SW_SP_CONTI!D3</f>
        <v>IMMOBILIZZAZIONI FINANZIARIE</v>
      </c>
      <c r="D2" s="43" t="s">
        <v>729</v>
      </c>
      <c r="E2" s="43"/>
    </row>
    <row r="3" thickTop="1" thickBot="1" ht="15.5">
      <c r="A3" s="42" t="str">
        <f>SW_SP_CONTI!B4</f>
        <v>10200</v>
      </c>
      <c r="B3" s="42" t="str">
        <f>SW_SP_CONTI!C4</f>
        <v>PARTECIPAZIONI IN IMPRESE COLLEGATE</v>
      </c>
      <c r="C3" s="42" t="str">
        <f>SW_SP_CONTI!D4</f>
        <v>IMMOBILIZZAZIONI FINANZIARIE</v>
      </c>
      <c r="D3" s="43" t="s">
        <v>729</v>
      </c>
      <c r="E3" s="43"/>
    </row>
    <row r="4" thickTop="1" thickBot="1" ht="15.5">
      <c r="A4" s="42" t="str">
        <f>SW_SP_CONTI!B5</f>
        <v>10300</v>
      </c>
      <c r="B4" s="42" t="str">
        <f>SW_SP_CONTI!C5</f>
        <v>PARTECIPAZIONI IN IMPRESE CONTROLLANTI</v>
      </c>
      <c r="C4" s="42" t="str">
        <f>SW_SP_CONTI!D5</f>
        <v>IMMOBILIZZAZIONI FINANZIARIE</v>
      </c>
      <c r="D4" s="43" t="s">
        <v>729</v>
      </c>
      <c r="E4" s="43"/>
    </row>
    <row r="5" thickTop="1" thickBot="1" ht="15.5">
      <c r="A5" s="42" t="str">
        <f>SW_SP_CONTI!B6</f>
        <v>10400</v>
      </c>
      <c r="B5" s="42" t="str">
        <f>SW_SP_CONTI!C6</f>
        <v>ALTRE PARTECIPAZIONI</v>
      </c>
      <c r="C5" s="42" t="str">
        <f>SW_SP_CONTI!D6</f>
        <v>IMMOBILIZZAZIONI FINANZIARIE</v>
      </c>
      <c r="D5" s="43" t="s">
        <v>729</v>
      </c>
      <c r="E5" s="43"/>
    </row>
    <row r="6" thickTop="1" thickBot="1" ht="15.5">
      <c r="A6" s="42" t="str">
        <f>SW_SP_CONTI!B7</f>
        <v>10500</v>
      </c>
      <c r="B6" s="42" t="str">
        <f>SW_SP_CONTI!C7</f>
        <v>IMMOBILIZZAZIONI IN CREDITI FINANZIARI</v>
      </c>
      <c r="C6" s="42" t="str">
        <f>SW_SP_CONTI!D7</f>
        <v>IMMOBILIZZAZIONI FINANZIARIE</v>
      </c>
      <c r="D6" s="43" t="s">
        <v>729</v>
      </c>
      <c r="E6" s="43"/>
    </row>
    <row r="7" thickTop="1" thickBot="1" ht="15.5">
      <c r="A7" s="42" t="str">
        <f>SW_SP_CONTI!B8</f>
        <v>10600</v>
      </c>
      <c r="B7" s="42" t="str">
        <f>SW_SP_CONTI!C8</f>
        <v>ALTRI TITOLI</v>
      </c>
      <c r="C7" s="42" t="str">
        <f>SW_SP_CONTI!D8</f>
        <v>IMMOBILIZZAZIONI FINANZIARIE</v>
      </c>
      <c r="D7" s="43" t="s">
        <v>729</v>
      </c>
      <c r="E7" s="43"/>
    </row>
    <row r="8" thickTop="1" thickBot="1" ht="15.5">
      <c r="A8" s="42" t="str">
        <f>SW_SP_CONTI!B9</f>
        <v>10700</v>
      </c>
      <c r="B8" s="42" t="str">
        <f>SW_SP_CONTI!C9</f>
        <v>AZIONI PROPRIE</v>
      </c>
      <c r="C8" s="42" t="str">
        <f>SW_SP_CONTI!D9</f>
        <v>IMMOBILIZZAZIONI FINANZIARIE</v>
      </c>
      <c r="D8" s="43" t="s">
        <v>729</v>
      </c>
      <c r="E8" s="43"/>
    </row>
    <row r="9" thickTop="1" thickBot="1" ht="15.5">
      <c r="A9" s="42" t="str">
        <f>SW_SP_CONTI!B10</f>
        <v>10800</v>
      </c>
      <c r="B9" s="42" t="str">
        <f>SW_SP_CONTI!C10</f>
        <v>STRUMENTI FINANZIARI DER.ATTIVI</v>
      </c>
      <c r="C9" s="42" t="str">
        <f>SW_SP_CONTI!D10</f>
        <v>IMMOBILIZZAZIONI FINANZIARIE</v>
      </c>
      <c r="D9" s="43" t="s">
        <v>729</v>
      </c>
      <c r="E9" s="43"/>
    </row>
    <row r="10" thickTop="1" thickBot="1" ht="15.5">
      <c r="A10" s="42" t="str">
        <f>SW_SP_CONTI!B11</f>
        <v>10900</v>
      </c>
      <c r="B10" s="42" t="str">
        <f>SW_SP_CONTI!C11</f>
        <v>ALTRE IMMOB.ZIONI IMMATERIALI</v>
      </c>
      <c r="C10" s="42" t="str">
        <f>SW_SP_CONTI!D11</f>
        <v>IMMOBILIZZAZIONI IMMATERIALI</v>
      </c>
      <c r="D10" s="43" t="s">
        <v>730</v>
      </c>
      <c r="E10" s="43"/>
    </row>
    <row r="11" thickTop="1" thickBot="1" ht="15.5">
      <c r="A11" s="42" t="str">
        <f>SW_SP_CONTI!B12</f>
        <v>11000</v>
      </c>
      <c r="B11" s="42" t="str">
        <f>SW_SP_CONTI!C12</f>
        <v>AVVIAMENTO</v>
      </c>
      <c r="C11" s="42" t="str">
        <f>SW_SP_CONTI!D12</f>
        <v>IMMOBILIZZAZIONI IMMATERIALI</v>
      </c>
      <c r="D11" s="43" t="s">
        <v>730</v>
      </c>
      <c r="E11" s="43"/>
    </row>
    <row r="12" thickTop="1" thickBot="1" ht="15.5">
      <c r="A12" s="42" t="str">
        <f>SW_SP_CONTI!B13</f>
        <v>11100</v>
      </c>
      <c r="B12" s="42" t="str">
        <f>SW_SP_CONTI!C13</f>
        <v>CONCESSIONI, LICENZE, MARCHI</v>
      </c>
      <c r="C12" s="42" t="str">
        <f>SW_SP_CONTI!D13</f>
        <v>IMMOBILIZZAZIONI IMMATERIALI</v>
      </c>
      <c r="D12" s="43" t="s">
        <v>730</v>
      </c>
      <c r="E12" s="43"/>
    </row>
    <row r="13" thickTop="1" thickBot="1" ht="15.5">
      <c r="A13" s="42" t="str">
        <f>SW_SP_CONTI!B14</f>
        <v>11200</v>
      </c>
      <c r="B13" s="42" t="str">
        <f>SW_SP_CONTI!C14</f>
        <v>COSTI RIC.,SVIL.,PUBBL. DA AMM.</v>
      </c>
      <c r="C13" s="42" t="str">
        <f>SW_SP_CONTI!D14</f>
        <v>IMMOBILIZZAZIONI IMMATERIALI</v>
      </c>
      <c r="D13" s="43" t="s">
        <v>730</v>
      </c>
      <c r="E13" s="43"/>
    </row>
    <row r="14" thickTop="1" thickBot="1" ht="15.5">
      <c r="A14" s="42" t="str">
        <f>SW_SP_CONTI!B15</f>
        <v>11300</v>
      </c>
      <c r="B14" s="42" t="str">
        <f>SW_SP_CONTI!C15</f>
        <v>DIRITTI DI BREV.E UTIL.OPERE ING</v>
      </c>
      <c r="C14" s="42" t="str">
        <f>SW_SP_CONTI!D15</f>
        <v>IMMOBILIZZAZIONI IMMATERIALI</v>
      </c>
      <c r="D14" s="43" t="s">
        <v>730</v>
      </c>
      <c r="E14" s="43"/>
    </row>
    <row r="15" thickTop="1" thickBot="1" ht="15.5">
      <c r="A15" s="42" t="str">
        <f>SW_SP_CONTI!B16</f>
        <v>11400</v>
      </c>
      <c r="B15" s="42" t="str">
        <f>SW_SP_CONTI!C16</f>
        <v>IMM.IMM. IN CORSO E ACCONTI</v>
      </c>
      <c r="C15" s="42" t="str">
        <f>SW_SP_CONTI!D16</f>
        <v>IMMOBILIZZAZIONI IMMATERIALI</v>
      </c>
      <c r="D15" s="43" t="s">
        <v>730</v>
      </c>
      <c r="E15" s="43"/>
    </row>
    <row r="16" thickTop="1" thickBot="1" ht="15.5">
      <c r="A16" s="42" t="str">
        <f>SW_SP_CONTI!B17</f>
        <v>11500</v>
      </c>
      <c r="B16" s="42" t="str">
        <f>SW_SP_CONTI!C17</f>
        <v>ALTRI BENI IMMATERIALI</v>
      </c>
      <c r="C16" s="42" t="str">
        <f>SW_SP_CONTI!D17</f>
        <v>IMMOBILIZZAZIONI IMMATERIALI</v>
      </c>
      <c r="D16" s="43" t="s">
        <v>730</v>
      </c>
      <c r="E16" s="43"/>
    </row>
    <row r="17" thickTop="1" thickBot="1" ht="15.5">
      <c r="A17" s="42" t="str">
        <f>SW_SP_CONTI!B18</f>
        <v>11600</v>
      </c>
      <c r="B17" s="42" t="str">
        <f>SW_SP_CONTI!C18</f>
        <v>ATTREZZATURE IND.LI E COMM.LI</v>
      </c>
      <c r="C17" s="42" t="str">
        <f>SW_SP_CONTI!D18</f>
        <v>IMMOBILIZZAZIONI MATERIALI</v>
      </c>
      <c r="D17" s="43" t="s">
        <v>731</v>
      </c>
      <c r="E17" s="43"/>
    </row>
    <row r="18" thickTop="1" thickBot="1" ht="15.5">
      <c r="A18" s="42" t="str">
        <f>SW_SP_CONTI!B19</f>
        <v>11700</v>
      </c>
      <c r="B18" s="42" t="str">
        <f>SW_SP_CONTI!C19</f>
        <v>AUTOMEZZI (ALTRI BENI)</v>
      </c>
      <c r="C18" s="42" t="str">
        <f>SW_SP_CONTI!D19</f>
        <v>IMMOBILIZZAZIONI MATERIALI</v>
      </c>
      <c r="D18" s="43" t="s">
        <v>731</v>
      </c>
      <c r="E18" s="43"/>
    </row>
    <row r="19" thickTop="1" thickBot="1" ht="15.5">
      <c r="A19" s="42" t="str">
        <f>SW_SP_CONTI!B20</f>
        <v>11800</v>
      </c>
      <c r="B19" s="42" t="str">
        <f>SW_SP_CONTI!C20</f>
        <v>COSTI DI IMPIANTO E AMPLIAMENTO</v>
      </c>
      <c r="C19" s="42" t="str">
        <f>SW_SP_CONTI!D20</f>
        <v>IMMOBILIZZAZIONI IMMATERIALI</v>
      </c>
      <c r="D19" s="43" t="s">
        <v>730</v>
      </c>
      <c r="E19" s="43"/>
    </row>
    <row r="20" thickTop="1" thickBot="1" ht="15.5">
      <c r="A20" s="42" t="str">
        <f>SW_SP_CONTI!B21</f>
        <v>11900</v>
      </c>
      <c r="B20" s="42" t="str">
        <f>SW_SP_CONTI!C21</f>
        <v>IMMOBIL. IN CORSO E ACCONTI</v>
      </c>
      <c r="C20" s="42" t="str">
        <f>SW_SP_CONTI!D21</f>
        <v>IMMOBILIZZAZIONI MATERIALI</v>
      </c>
      <c r="D20" s="43" t="s">
        <v>731</v>
      </c>
      <c r="E20" s="43"/>
    </row>
    <row r="21" thickTop="1" thickBot="1" ht="15.5">
      <c r="A21" s="42" t="str">
        <f>SW_SP_CONTI!B22</f>
        <v>12000</v>
      </c>
      <c r="B21" s="42" t="str">
        <f>SW_SP_CONTI!C22</f>
        <v>IMPIANTI E MACCHINARIO</v>
      </c>
      <c r="C21" s="42" t="str">
        <f>SW_SP_CONTI!D22</f>
        <v>IMMOBILIZZAZIONI MATERIALI</v>
      </c>
      <c r="D21" s="43" t="s">
        <v>731</v>
      </c>
      <c r="E21" s="43"/>
    </row>
    <row r="22" thickTop="1" thickBot="1" ht="15.5">
      <c r="A22" s="42" t="str">
        <f>SW_SP_CONTI!B23</f>
        <v>12100</v>
      </c>
      <c r="B22" s="42" t="str">
        <f>SW_SP_CONTI!C23</f>
        <v>MOBILI E MACC.D'UFF.(ALTRI BENI)</v>
      </c>
      <c r="C22" s="42" t="str">
        <f>SW_SP_CONTI!D23</f>
        <v>IMMOBILIZZAZIONI MATERIALI</v>
      </c>
      <c r="D22" s="43" t="s">
        <v>731</v>
      </c>
      <c r="E22" s="43"/>
    </row>
    <row r="23" thickTop="1" thickBot="1" ht="15.5">
      <c r="A23" s="42" t="str">
        <f>SW_SP_CONTI!B24</f>
        <v>12200</v>
      </c>
      <c r="B23" s="42" t="str">
        <f>SW_SP_CONTI!C24</f>
        <v>TERRENI E FABBRICATI</v>
      </c>
      <c r="C23" s="42" t="str">
        <f>SW_SP_CONTI!D24</f>
        <v>IMMOBILIZZAZIONI MATERIALI</v>
      </c>
      <c r="D23" s="43" t="s">
        <v>731</v>
      </c>
      <c r="E23" s="43"/>
    </row>
    <row r="24" thickTop="1" thickBot="1" ht="15.5">
      <c r="A24" s="42" t="str">
        <f>SW_SP_CONTI!B25</f>
        <v>20100</v>
      </c>
      <c r="B24" s="42" t="str">
        <f>SW_SP_CONTI!C25</f>
        <v>ACCONTI RIMANENZE</v>
      </c>
      <c r="C24" s="42" t="str">
        <f>SW_SP_CONTI!D25</f>
        <v>RIMANENZE</v>
      </c>
      <c r="D24" s="43" t="s">
        <v>732</v>
      </c>
      <c r="E24" s="43"/>
    </row>
    <row r="25" thickTop="1" thickBot="1" ht="15.5">
      <c r="A25" s="42" t="str">
        <f>SW_SP_CONTI!B26</f>
        <v>20200</v>
      </c>
      <c r="B25" s="42" t="str">
        <f>SW_SP_CONTI!C26</f>
        <v>BENI IN LEASING</v>
      </c>
      <c r="C25" s="42" t="str">
        <f>SW_SP_CONTI!D26</f>
        <v>IMMOBILIZZAZIONI LEASING</v>
      </c>
      <c r="D25" s="43" t="s">
        <v>731</v>
      </c>
      <c r="E25" s="43"/>
    </row>
    <row r="26" thickTop="1" thickBot="1" ht="15.5">
      <c r="A26" s="42" t="str">
        <f>SW_SP_CONTI!B27</f>
        <v>20300</v>
      </c>
      <c r="B26" s="42" t="str">
        <f>SW_SP_CONTI!C27</f>
        <v>LAVORI IN CORSO SU ORDINAZIONE</v>
      </c>
      <c r="C26" s="42" t="str">
        <f>SW_SP_CONTI!D27</f>
        <v>RIMANENZE</v>
      </c>
      <c r="D26" s="43" t="s">
        <v>732</v>
      </c>
      <c r="E26" s="43"/>
    </row>
    <row r="27" thickTop="1" thickBot="1" ht="15.5">
      <c r="A27" s="42" t="str">
        <f>SW_SP_CONTI!B28</f>
        <v>20400</v>
      </c>
      <c r="B27" s="42" t="str">
        <f>SW_SP_CONTI!C28</f>
        <v>MATERIE PRIME, SUSS.E DI CONSUMO</v>
      </c>
      <c r="C27" s="42" t="str">
        <f>SW_SP_CONTI!D28</f>
        <v>RIMANENZE</v>
      </c>
      <c r="D27" s="43" t="s">
        <v>732</v>
      </c>
      <c r="E27" s="43"/>
    </row>
    <row r="28" thickTop="1" thickBot="1" ht="15.5">
      <c r="A28" s="42" t="str">
        <f>SW_SP_CONTI!B29</f>
        <v>20500</v>
      </c>
      <c r="B28" s="42" t="str">
        <f>SW_SP_CONTI!C29</f>
        <v>PROD.IN CORSO DI LAV. E SEMILAV.</v>
      </c>
      <c r="C28" s="42" t="str">
        <f>SW_SP_CONTI!D29</f>
        <v>RIMANENZE</v>
      </c>
      <c r="D28" s="43" t="s">
        <v>732</v>
      </c>
      <c r="E28" s="43"/>
    </row>
    <row r="29" thickTop="1" thickBot="1" ht="15.5">
      <c r="A29" s="42" t="str">
        <f>SW_SP_CONTI!B30</f>
        <v>20600</v>
      </c>
      <c r="B29" s="42" t="str">
        <f>SW_SP_CONTI!C30</f>
        <v>PRODOTTI FINITI E MERCI</v>
      </c>
      <c r="C29" s="42" t="str">
        <f>SW_SP_CONTI!D30</f>
        <v>RIMANENZE</v>
      </c>
      <c r="D29" s="43" t="s">
        <v>732</v>
      </c>
      <c r="E29" s="43"/>
    </row>
    <row r="30" thickTop="1" thickBot="1" ht="15.5">
      <c r="A30" s="42" t="str">
        <f>SW_SP_CONTI!B31</f>
        <v>30100</v>
      </c>
      <c r="B30" s="42" t="str">
        <f>SW_SP_CONTI!C31</f>
        <v>ALTRI CREDITI TRIBUTARI</v>
      </c>
      <c r="C30" s="42" t="str">
        <f>SW_SP_CONTI!D31</f>
        <v>CREDITI</v>
      </c>
      <c r="D30" s="43" t="s">
        <v>733</v>
      </c>
      <c r="E30" s="43"/>
    </row>
    <row r="31" thickTop="1" thickBot="1" ht="15.5">
      <c r="A31" s="42" t="str">
        <f>SW_SP_CONTI!B32</f>
        <v>30200</v>
      </c>
      <c r="B31" s="42" t="str">
        <f>SW_SP_CONTI!C32</f>
        <v>ALTRI CREDITI TRIBUTARI oltre i 12 mesi</v>
      </c>
      <c r="C31" s="42" t="str">
        <f>SW_SP_CONTI!D32</f>
        <v>CREDITI</v>
      </c>
      <c r="D31" s="43" t="s">
        <v>733</v>
      </c>
      <c r="E31" s="43"/>
    </row>
    <row r="32" thickTop="1" thickBot="1" ht="15.5">
      <c r="A32" s="42" t="str">
        <f>SW_SP_CONTI!B33</f>
        <v>30300</v>
      </c>
      <c r="B32" s="42" t="str">
        <f>SW_SP_CONTI!C33</f>
        <v>Attività Finanziaria ALTRE PARTECIPAZIONI</v>
      </c>
      <c r="C32" s="42" t="str">
        <f>SW_SP_CONTI!D33</f>
        <v>CREDITI</v>
      </c>
      <c r="D32" s="43" t="s">
        <v>734</v>
      </c>
      <c r="E32" s="43"/>
    </row>
    <row r="33" thickTop="1" thickBot="1" ht="15.5">
      <c r="A33" s="42" t="str">
        <f>SW_SP_CONTI!B34</f>
        <v>30400</v>
      </c>
      <c r="B33" s="42" t="str">
        <f>SW_SP_CONTI!C34</f>
        <v>Attività finanziaria STRUMENTI FINANZIARI</v>
      </c>
      <c r="C33" s="42" t="str">
        <f>SW_SP_CONTI!D34</f>
        <v>CREDITI</v>
      </c>
      <c r="D33" s="43" t="s">
        <v>734</v>
      </c>
      <c r="E33" s="43"/>
    </row>
    <row r="34" thickTop="1" thickBot="1" ht="15.5">
      <c r="A34" s="42" t="str">
        <f>SW_SP_CONTI!B35</f>
        <v>30500</v>
      </c>
      <c r="B34" s="42" t="str">
        <f>SW_SP_CONTI!C35</f>
        <v>Attività FinanziariALTRI TITOLI</v>
      </c>
      <c r="C34" s="42" t="str">
        <f>SW_SP_CONTI!D35</f>
        <v>CREDITI</v>
      </c>
      <c r="D34" s="43" t="s">
        <v>734</v>
      </c>
      <c r="E34" s="43"/>
    </row>
    <row r="35" thickTop="1" thickBot="1" ht="15.5">
      <c r="A35" s="42" t="str">
        <f>SW_SP_CONTI!B36</f>
        <v>30600</v>
      </c>
      <c r="B35" s="42" t="str">
        <f>SW_SP_CONTI!C36</f>
        <v>Attvità Finanziarie IN IMPRESE CONTR.</v>
      </c>
      <c r="C35" s="42" t="str">
        <f>SW_SP_CONTI!D36</f>
        <v>CREDITI</v>
      </c>
      <c r="D35" s="43" t="s">
        <v>734</v>
      </c>
      <c r="E35" s="43"/>
    </row>
    <row r="36" thickTop="1" thickBot="1" ht="15.5">
      <c r="A36" s="42" t="str">
        <f>SW_SP_CONTI!B37</f>
        <v>30700</v>
      </c>
      <c r="B36" s="42" t="str">
        <f>SW_SP_CONTI!C37</f>
        <v>CREDITI PER IMPOSTE ANTICIPATE</v>
      </c>
      <c r="C36" s="42" t="str">
        <f>SW_SP_CONTI!D37</f>
        <v>CREDITI</v>
      </c>
      <c r="D36" s="43" t="s">
        <v>733</v>
      </c>
      <c r="E36" s="43"/>
    </row>
    <row r="37" thickTop="1" thickBot="1" ht="15.5">
      <c r="A37" s="42" t="str">
        <f>SW_SP_CONTI!B38</f>
        <v>30800</v>
      </c>
      <c r="B37" s="42" t="str">
        <f>SW_SP_CONTI!C38</f>
        <v>CREDITI V/CLIENTI inferiori ai 12 mesi</v>
      </c>
      <c r="C37" s="42" t="str">
        <f>SW_SP_CONTI!D38</f>
        <v>CREDITI</v>
      </c>
      <c r="D37" s="43" t="s">
        <v>735</v>
      </c>
      <c r="E37" s="43"/>
    </row>
    <row r="38" thickTop="1" thickBot="1" ht="15.5">
      <c r="A38" s="42" t="str">
        <f>SW_SP_CONTI!B39</f>
        <v>30900</v>
      </c>
      <c r="B38" s="42" t="str">
        <f>SW_SP_CONTI!C39</f>
        <v>CREDITI V/CLIENTI superiori ai 12 mesi</v>
      </c>
      <c r="C38" s="42" t="str">
        <f>SW_SP_CONTI!D39</f>
        <v>CREDITI</v>
      </c>
      <c r="D38" s="43" t="s">
        <v>735</v>
      </c>
      <c r="E38" s="43"/>
    </row>
    <row r="39" thickTop="1" thickBot="1" ht="15.5">
      <c r="A39" s="42" t="str">
        <f>SW_SP_CONTI!B40</f>
        <v>31000</v>
      </c>
      <c r="B39" s="42" t="str">
        <f>SW_SP_CONTI!C40</f>
        <v>CREDITI V/DIPENDENTI</v>
      </c>
      <c r="C39" s="42" t="str">
        <f>SW_SP_CONTI!D40</f>
        <v>CREDITI</v>
      </c>
      <c r="D39" s="43" t="s">
        <v>736</v>
      </c>
      <c r="E39" s="43"/>
    </row>
    <row r="40" thickTop="1" thickBot="1" ht="15.5">
      <c r="A40" s="42" t="str">
        <f>SW_SP_CONTI!B41</f>
        <v>31100</v>
      </c>
      <c r="B40" s="42" t="str">
        <f>SW_SP_CONTI!C41</f>
        <v>CREDITI V/FORNITORI (ACCONTI)</v>
      </c>
      <c r="C40" s="42" t="str">
        <f>SW_SP_CONTI!D41</f>
        <v>CREDITI</v>
      </c>
      <c r="D40" s="43" t="s">
        <v>737</v>
      </c>
      <c r="E40" s="43"/>
    </row>
    <row r="41" thickTop="1" thickBot="1" ht="15.5">
      <c r="A41" s="42" t="str">
        <f>SW_SP_CONTI!B42</f>
        <v>31200</v>
      </c>
      <c r="B41" s="42" t="str">
        <f>SW_SP_CONTI!C42</f>
        <v>CREDITI V/IMPRESE Contr.te-Coll.te-Contr.ti inferiori ai 12 mesi</v>
      </c>
      <c r="C41" s="42" t="str">
        <f>SW_SP_CONTI!D42</f>
        <v>CREDITI</v>
      </c>
      <c r="D41" s="43" t="s">
        <v>738</v>
      </c>
      <c r="E41" s="43"/>
    </row>
    <row r="42" thickTop="1" thickBot="1" ht="15.5">
      <c r="A42" s="42" t="str">
        <f>SW_SP_CONTI!B43</f>
        <v>31300</v>
      </c>
      <c r="B42" s="42" t="str">
        <f>SW_SP_CONTI!C43</f>
        <v>CREDITI V/IMPRESE Contr.te-Coll.te-Contr.ti superiori ai 12 mesi</v>
      </c>
      <c r="C42" s="42" t="str">
        <f>SW_SP_CONTI!D43</f>
        <v>CREDITI</v>
      </c>
      <c r="D42" s="43" t="s">
        <v>738</v>
      </c>
      <c r="E42" s="43"/>
    </row>
    <row r="43" thickTop="1" thickBot="1" ht="15.5">
      <c r="A43" s="42" t="str">
        <f>SW_SP_CONTI!B44</f>
        <v>31400</v>
      </c>
      <c r="B43" s="42" t="str">
        <f>SW_SP_CONTI!C44</f>
        <v>CREDITI V/Istituti Previdenziali inferiori ai 12 mesi</v>
      </c>
      <c r="C43" s="42" t="str">
        <f>SW_SP_CONTI!D44</f>
        <v>CREDITI</v>
      </c>
      <c r="D43" s="43" t="s">
        <v>739</v>
      </c>
      <c r="E43" s="43"/>
    </row>
    <row r="44" thickTop="1" thickBot="1" ht="15.5">
      <c r="A44" s="42" t="str">
        <f>SW_SP_CONTI!B45</f>
        <v>31500</v>
      </c>
      <c r="B44" s="42" t="str">
        <f>SW_SP_CONTI!C45</f>
        <v>CREDITI V/Istituti Previdenziali superiori ai 12 mesi</v>
      </c>
      <c r="C44" s="42" t="str">
        <f>SW_SP_CONTI!D45</f>
        <v>CREDITI</v>
      </c>
      <c r="D44" s="43" t="s">
        <v>739</v>
      </c>
      <c r="E44" s="43"/>
    </row>
    <row r="45" thickTop="1" thickBot="1" ht="15.5">
      <c r="A45" s="42" t="str">
        <f>SW_SP_CONTI!B46</f>
        <v>31600</v>
      </c>
      <c r="B45" s="42" t="str">
        <f>SW_SP_CONTI!C46</f>
        <v>CREDITI V/SOCI</v>
      </c>
      <c r="C45" s="42" t="str">
        <f>SW_SP_CONTI!D46</f>
        <v>CREDITI</v>
      </c>
      <c r="D45" s="43" t="s">
        <v>740</v>
      </c>
      <c r="E45" s="43"/>
    </row>
    <row r="46" thickTop="1" thickBot="1" ht="15.5">
      <c r="A46" s="42" t="str">
        <f>SW_SP_CONTI!B47</f>
        <v>31700</v>
      </c>
      <c r="B46" s="42" t="str">
        <f>SW_SP_CONTI!C47</f>
        <v>CREDITI V/SOCI P/VERS.ANC.DOVUTI</v>
      </c>
      <c r="C46" s="42" t="str">
        <f>SW_SP_CONTI!D47</f>
        <v>CREDITI</v>
      </c>
      <c r="D46" s="43" t="s">
        <v>740</v>
      </c>
      <c r="E46" s="43"/>
    </row>
    <row r="47" thickTop="1" thickBot="1" ht="15.5">
      <c r="A47" s="42" t="str">
        <f>SW_SP_CONTI!B48</f>
        <v>31800</v>
      </c>
      <c r="B47" s="42" t="str">
        <f>SW_SP_CONTI!C48</f>
        <v>CREDITI DIVERSI</v>
      </c>
      <c r="C47" s="42" t="str">
        <f>SW_SP_CONTI!D48</f>
        <v>CREDITI</v>
      </c>
      <c r="D47" s="43" t="s">
        <v>734</v>
      </c>
      <c r="E47" s="43"/>
    </row>
    <row r="48" thickTop="1" thickBot="1" ht="15.5">
      <c r="A48" s="42" t="str">
        <f>SW_SP_CONTI!B49</f>
        <v>31900</v>
      </c>
      <c r="B48" s="42" t="str">
        <f>SW_SP_CONTI!C49</f>
        <v xml:space="preserve">CREDITO D'IMPOSTA </v>
      </c>
      <c r="C48" s="42" t="str">
        <f>SW_SP_CONTI!D49</f>
        <v>CREDITI</v>
      </c>
      <c r="D48" s="43" t="s">
        <v>733</v>
      </c>
      <c r="E48" s="43"/>
    </row>
    <row r="49" thickTop="1" thickBot="1" ht="15.5">
      <c r="A49" s="42" t="str">
        <f>SW_SP_CONTI!B50</f>
        <v>32000</v>
      </c>
      <c r="B49" s="42" t="str">
        <f>SW_SP_CONTI!C50</f>
        <v xml:space="preserve">Credito Ires e Irap </v>
      </c>
      <c r="C49" s="42" t="str">
        <f>SW_SP_CONTI!D50</f>
        <v>CREDITI</v>
      </c>
      <c r="D49" s="43" t="s">
        <v>733</v>
      </c>
      <c r="E49" s="43"/>
    </row>
    <row r="50" thickTop="1" thickBot="1" ht="15.5">
      <c r="A50" s="42" t="str">
        <f>SW_SP_CONTI!B51</f>
        <v>32100</v>
      </c>
      <c r="B50" s="42" t="str">
        <f>SW_SP_CONTI!C51</f>
        <v>Credito Iva</v>
      </c>
      <c r="C50" s="42" t="str">
        <f>SW_SP_CONTI!D51</f>
        <v>CREDITI</v>
      </c>
      <c r="D50" s="43" t="s">
        <v>212</v>
      </c>
      <c r="E50" s="43"/>
    </row>
    <row r="51" thickTop="1" thickBot="1" ht="15.5">
      <c r="A51" s="42" t="str">
        <f>SW_SP_CONTI!B52</f>
        <v>32200</v>
      </c>
      <c r="B51" s="42" t="str">
        <f>SW_SP_CONTI!C52</f>
        <v>Fatture da Emettere</v>
      </c>
      <c r="C51" s="42" t="str">
        <f>SW_SP_CONTI!D52</f>
        <v>CREDITI</v>
      </c>
      <c r="D51" s="43" t="s">
        <v>214</v>
      </c>
      <c r="E51" s="43"/>
    </row>
    <row r="52" thickTop="1" thickBot="1" ht="15.5">
      <c r="A52" s="42" t="str">
        <f>SW_SP_CONTI!B53</f>
        <v>32300</v>
      </c>
      <c r="B52" s="42" t="str">
        <f>SW_SP_CONTI!C53</f>
        <v>PARTECIPAZIONI V/IMPRESE Contr.te-Coll.te-Contr.ti inferiori ai 12 mesi</v>
      </c>
      <c r="C52" s="42" t="str">
        <f>SW_SP_CONTI!D53</f>
        <v>CREDITI</v>
      </c>
      <c r="D52" s="43" t="s">
        <v>729</v>
      </c>
      <c r="E52" s="43"/>
    </row>
    <row r="53" thickTop="1" thickBot="1" ht="15.5">
      <c r="A53" s="42" t="str">
        <f>SW_SP_CONTI!B54</f>
        <v>32400</v>
      </c>
      <c r="B53" s="42" t="str">
        <f>SW_SP_CONTI!C54</f>
        <v>RATEI ATTIVI</v>
      </c>
      <c r="C53" s="42" t="str">
        <f>SW_SP_CONTI!D54</f>
        <v>RATEI E RISCONTI</v>
      </c>
      <c r="D53" s="43" t="s">
        <v>741</v>
      </c>
      <c r="E53" s="43"/>
    </row>
    <row r="54" thickTop="1" thickBot="1" ht="15.5">
      <c r="A54" s="42" t="str">
        <f>SW_SP_CONTI!B55</f>
        <v>32500</v>
      </c>
      <c r="B54" s="42" t="str">
        <f>SW_SP_CONTI!C55</f>
        <v>RISCONTI ATTIVI</v>
      </c>
      <c r="C54" s="42" t="str">
        <f>SW_SP_CONTI!D55</f>
        <v>RATEI E RISCONTI</v>
      </c>
      <c r="D54" s="43" t="s">
        <v>742</v>
      </c>
      <c r="E54" s="43"/>
    </row>
    <row r="55" thickTop="1" thickBot="1" ht="15.5">
      <c r="A55" s="42" t="str">
        <f>SW_SP_CONTI!B56</f>
        <v>32600</v>
      </c>
      <c r="B55" s="42" t="str">
        <f>SW_SP_CONTI!C56</f>
        <v>ASSEGNI</v>
      </c>
      <c r="C55" s="42" t="str">
        <f>SW_SP_CONTI!D56</f>
        <v>LIQUIDITA E ESIGIBILITA' IMMEDIATE</v>
      </c>
      <c r="D55" s="43" t="s">
        <v>743</v>
      </c>
      <c r="E55" s="43"/>
    </row>
    <row r="56" thickTop="1" thickBot="1" ht="15.5">
      <c r="A56" s="42" t="str">
        <f>SW_SP_CONTI!B57</f>
        <v>32700</v>
      </c>
      <c r="B56" s="42" t="str">
        <f>SW_SP_CONTI!C57</f>
        <v>DENARO E VALORI IN CASSA</v>
      </c>
      <c r="C56" s="42" t="str">
        <f>SW_SP_CONTI!D57</f>
        <v>LIQUIDITA E ESIGIBILITA' IMMEDIATE</v>
      </c>
      <c r="D56" s="43" t="s">
        <v>743</v>
      </c>
      <c r="E56" s="43"/>
    </row>
    <row r="57" thickTop="1" thickBot="1" ht="15.5">
      <c r="A57" s="42" t="str">
        <f>SW_SP_CONTI!B58</f>
        <v>32800</v>
      </c>
      <c r="B57" s="42" t="str">
        <f>SW_SP_CONTI!C58</f>
        <v>DEPOSITI BANCARI E POSTALI attivi</v>
      </c>
      <c r="C57" s="42" t="str">
        <f>SW_SP_CONTI!D58</f>
        <v>LIQUIDITA E ESIGIBILITA' IMMEDIATE</v>
      </c>
      <c r="D57" s="43" t="s">
        <v>744</v>
      </c>
      <c r="E57" s="43"/>
    </row>
    <row r="58" thickTop="1" thickBot="1" ht="15.5">
      <c r="A58" s="42" t="str">
        <f>SW_SP_CONTI!B59</f>
        <v>40000</v>
      </c>
      <c r="B58" s="42" t="str">
        <f>SW_SP_CONTI!C59</f>
        <v>ALTRI FONDI PER RISCHI ED ONERI</v>
      </c>
      <c r="C58" s="42" t="str">
        <f>SW_SP_CONTI!D59</f>
        <v>FONDI</v>
      </c>
      <c r="D58" s="43"/>
      <c r="E58" s="43" t="s">
        <v>745</v>
      </c>
    </row>
    <row r="59" thickTop="1" thickBot="1" ht="15.5">
      <c r="A59" s="42" t="str">
        <f>SW_SP_CONTI!B60</f>
        <v>40100</v>
      </c>
      <c r="B59" s="42" t="str">
        <f>SW_SP_CONTI!C60</f>
        <v>F.DI P/TRAT.QUIESC.E OBBL.SIMILI</v>
      </c>
      <c r="C59" s="42" t="str">
        <f>SW_SP_CONTI!D60</f>
        <v>FONDI</v>
      </c>
      <c r="D59" s="43"/>
      <c r="E59" s="43" t="s">
        <v>745</v>
      </c>
    </row>
    <row r="60" thickTop="1" thickBot="1" ht="15.5">
      <c r="A60" s="42" t="str">
        <f>SW_SP_CONTI!B61</f>
        <v>40200</v>
      </c>
      <c r="B60" s="42" t="str">
        <f>SW_SP_CONTI!C61</f>
        <v>F.DI RISCHI SU CREDITI V. CLIENT</v>
      </c>
      <c r="C60" s="42" t="str">
        <f>SW_SP_CONTI!D61</f>
        <v>FONDI</v>
      </c>
      <c r="D60" s="43" t="s">
        <v>735</v>
      </c>
      <c r="E60" s="43"/>
    </row>
    <row r="61" thickTop="1" thickBot="1" ht="15.5">
      <c r="A61" s="42" t="str">
        <f>SW_SP_CONTI!B62</f>
        <v>40300</v>
      </c>
      <c r="B61" s="42" t="str">
        <f>SW_SP_CONTI!C62</f>
        <v>F.DO SVALUT. IMMOB. IMMATERIALI</v>
      </c>
      <c r="C61" s="42" t="str">
        <f>SW_SP_CONTI!D62</f>
        <v>FONDI</v>
      </c>
      <c r="D61" s="43"/>
      <c r="E61" s="43" t="s">
        <v>746</v>
      </c>
    </row>
    <row r="62" thickTop="1" thickBot="1" ht="15.5">
      <c r="A62" s="42" t="str">
        <f>SW_SP_CONTI!B63</f>
        <v>40400</v>
      </c>
      <c r="B62" s="42" t="str">
        <f>SW_SP_CONTI!C63</f>
        <v>F.DO SVALUT. IMMOB. MATERIALI</v>
      </c>
      <c r="C62" s="42" t="str">
        <f>SW_SP_CONTI!D63</f>
        <v>FONDI</v>
      </c>
      <c r="D62" s="43"/>
      <c r="E62" s="43" t="s">
        <v>747</v>
      </c>
    </row>
    <row r="63" thickTop="1" thickBot="1" ht="15.5">
      <c r="A63" s="42" t="str">
        <f>SW_SP_CONTI!B64</f>
        <v>40500</v>
      </c>
      <c r="B63" s="42" t="str">
        <f>SW_SP_CONTI!C64</f>
        <v>F.DO SVALUTAZIONE MAGAZZINO</v>
      </c>
      <c r="C63" s="42" t="str">
        <f>SW_SP_CONTI!D64</f>
        <v>FONDI</v>
      </c>
      <c r="D63" s="43" t="s">
        <v>732</v>
      </c>
      <c r="E63" s="43"/>
    </row>
    <row r="64" thickTop="1" thickBot="1" ht="15.5">
      <c r="A64" s="42" t="str">
        <f>SW_SP_CONTI!B65</f>
        <v>40600</v>
      </c>
      <c r="B64" s="42" t="str">
        <f>SW_SP_CONTI!C65</f>
        <v>F/SVAL. IMM. FINANZIARIE</v>
      </c>
      <c r="C64" s="42" t="str">
        <f>SW_SP_CONTI!D65</f>
        <v>FONDI</v>
      </c>
      <c r="D64" s="43" t="s">
        <v>729</v>
      </c>
      <c r="E64" s="43"/>
    </row>
    <row r="65" thickTop="1" thickBot="1" ht="15.5">
      <c r="A65" s="42" t="str">
        <f>SW_SP_CONTI!B66</f>
        <v>40700</v>
      </c>
      <c r="B65" s="42" t="str">
        <f>SW_SP_CONTI!C66</f>
        <v>FONDO PER IMPOSTE</v>
      </c>
      <c r="C65" s="42" t="str">
        <f>SW_SP_CONTI!D66</f>
        <v>FONDI</v>
      </c>
      <c r="D65" s="43"/>
      <c r="E65" s="43" t="s">
        <v>748</v>
      </c>
    </row>
    <row r="66" thickTop="1" thickBot="1" ht="15.5">
      <c r="A66" s="42" t="str">
        <f>SW_SP_CONTI!B67</f>
        <v>40800</v>
      </c>
      <c r="B66" s="42" t="str">
        <f>SW_SP_CONTI!C67</f>
        <v>TFR LAVORO SUBORDINATO</v>
      </c>
      <c r="C66" s="42" t="str">
        <f>SW_SP_CONTI!D67</f>
        <v>FONDI</v>
      </c>
      <c r="D66" s="43"/>
      <c r="E66" s="43" t="s">
        <v>749</v>
      </c>
    </row>
    <row r="67" thickTop="1" thickBot="1" ht="15.5">
      <c r="A67" s="42" t="str">
        <f>SW_SP_CONTI!B68</f>
        <v>50100</v>
      </c>
      <c r="B67" s="42" t="str">
        <f>SW_SP_CONTI!C68</f>
        <v>F/AMM ALTRE IMMOB. IMMATERIALI</v>
      </c>
      <c r="C67" s="42" t="str">
        <f>SW_SP_CONTI!D68</f>
        <v>F.DO AMM.TO IMM.NI IMMATERIALI</v>
      </c>
      <c r="D67" s="43"/>
      <c r="E67" s="43" t="s">
        <v>746</v>
      </c>
    </row>
    <row r="68" thickTop="1" thickBot="1" ht="15.5">
      <c r="A68" s="42" t="str">
        <f>SW_SP_CONTI!B69</f>
        <v>50200</v>
      </c>
      <c r="B68" s="42" t="str">
        <f>SW_SP_CONTI!C69</f>
        <v>F/AMM ATTREZ. IND.LI E COMM.LI</v>
      </c>
      <c r="C68" s="42" t="str">
        <f>SW_SP_CONTI!D69</f>
        <v>F.DO AMM.TO IMM.NI MATERIALI</v>
      </c>
      <c r="D68" s="43"/>
      <c r="E68" s="43" t="s">
        <v>747</v>
      </c>
    </row>
    <row r="69" thickTop="1" thickBot="1" ht="15.5">
      <c r="A69" s="42" t="str">
        <f>SW_SP_CONTI!B70</f>
        <v>50300</v>
      </c>
      <c r="B69" s="42" t="str">
        <f>SW_SP_CONTI!C70</f>
        <v>F/AMM AVVIAMENTO</v>
      </c>
      <c r="C69" s="42" t="str">
        <f>SW_SP_CONTI!D70</f>
        <v>F.DO AMM.TO IMM.NI IMMATERIALI</v>
      </c>
      <c r="D69" s="43"/>
      <c r="E69" s="43" t="s">
        <v>746</v>
      </c>
    </row>
    <row r="70" thickTop="1" thickBot="1" ht="15.5">
      <c r="A70" s="42" t="str">
        <f>SW_SP_CONTI!B71</f>
        <v>50400</v>
      </c>
      <c r="B70" s="42" t="str">
        <f>SW_SP_CONTI!C71</f>
        <v>F/AMM CONCESS. LICENZE MARCHI</v>
      </c>
      <c r="C70" s="42" t="str">
        <f>SW_SP_CONTI!D71</f>
        <v>F.DO AMM.TO IMM.NI IMMATERIALI</v>
      </c>
      <c r="D70" s="43"/>
      <c r="E70" s="43" t="s">
        <v>746</v>
      </c>
    </row>
    <row r="71" thickTop="1" thickBot="1" ht="15.5">
      <c r="A71" s="42" t="str">
        <f>SW_SP_CONTI!B72</f>
        <v>50500</v>
      </c>
      <c r="B71" s="42" t="str">
        <f>SW_SP_CONTI!C72</f>
        <v>F/AMM COSTI DI IMPIANTO E AMPL.</v>
      </c>
      <c r="C71" s="42" t="str">
        <f>SW_SP_CONTI!D72</f>
        <v>F.DO AMM.TO IMM.NI IMMATERIALI</v>
      </c>
      <c r="D71" s="43"/>
      <c r="E71" s="43" t="s">
        <v>746</v>
      </c>
    </row>
    <row r="72" thickTop="1" thickBot="1" ht="15.5">
      <c r="A72" s="42" t="str">
        <f>SW_SP_CONTI!B73</f>
        <v>50600</v>
      </c>
      <c r="B72" s="42" t="str">
        <f>SW_SP_CONTI!C73</f>
        <v>F/AMM COSTI DI RIC,SVIL,PUBB.AMM</v>
      </c>
      <c r="C72" s="42" t="str">
        <f>SW_SP_CONTI!D73</f>
        <v>F.DO AMM.TO IMM.NI IMMATERIALI</v>
      </c>
      <c r="D72" s="43"/>
      <c r="E72" s="43" t="s">
        <v>746</v>
      </c>
    </row>
    <row r="73" thickTop="1" thickBot="1" ht="15.5">
      <c r="A73" s="42" t="str">
        <f>SW_SP_CONTI!B74</f>
        <v>50700</v>
      </c>
      <c r="B73" s="42" t="str">
        <f>SW_SP_CONTI!C74</f>
        <v>F/AMM DIRITTI DI BREV. E UT. OP.</v>
      </c>
      <c r="C73" s="42" t="str">
        <f>SW_SP_CONTI!D74</f>
        <v>F.DO AMM.TO IMM.NI IMMATERIALI</v>
      </c>
      <c r="D73" s="43"/>
      <c r="E73" s="43" t="s">
        <v>746</v>
      </c>
    </row>
    <row r="74" thickTop="1" thickBot="1" ht="15.5">
      <c r="A74" s="42" t="str">
        <f>SW_SP_CONTI!B75</f>
        <v>50800</v>
      </c>
      <c r="B74" s="42" t="str">
        <f>SW_SP_CONTI!C75</f>
        <v>F/AMM FABBRICATI</v>
      </c>
      <c r="C74" s="42" t="str">
        <f>SW_SP_CONTI!D75</f>
        <v>F.DO AMM.TO IMM.NI MATERIALI</v>
      </c>
      <c r="D74" s="43"/>
      <c r="E74" s="43" t="s">
        <v>747</v>
      </c>
    </row>
    <row r="75" thickTop="1" thickBot="1" ht="15.5">
      <c r="A75" s="42" t="str">
        <f>SW_SP_CONTI!B76</f>
        <v>50900</v>
      </c>
      <c r="B75" s="42" t="str">
        <f>SW_SP_CONTI!C76</f>
        <v>F/AMM IMPIANTI E MACCHINARIO</v>
      </c>
      <c r="C75" s="42" t="str">
        <f>SW_SP_CONTI!D76</f>
        <v>F.DO AMM.TO IMM.NI MATERIALI</v>
      </c>
      <c r="D75" s="43"/>
      <c r="E75" s="43" t="s">
        <v>747</v>
      </c>
    </row>
    <row r="76" thickTop="1" thickBot="1" ht="15.5">
      <c r="A76" s="42" t="str">
        <f>SW_SP_CONTI!B77</f>
        <v>51000</v>
      </c>
      <c r="B76" s="42" t="str">
        <f>SW_SP_CONTI!C77</f>
        <v>F/AMM. ALTRI BENI MATERIALI</v>
      </c>
      <c r="C76" s="42" t="str">
        <f>SW_SP_CONTI!D77</f>
        <v>F.DO AMM.TO IMM.NI MATERIALI</v>
      </c>
      <c r="D76" s="43"/>
      <c r="E76" s="43" t="s">
        <v>747</v>
      </c>
    </row>
    <row r="77" thickTop="1" thickBot="1" ht="15.5">
      <c r="A77" s="42" t="str">
        <f>SW_SP_CONTI!B78</f>
        <v>51100</v>
      </c>
      <c r="B77" s="42" t="str">
        <f>SW_SP_CONTI!C78</f>
        <v>F/AMM. AUTOMEZZI (ALTRI BENI)</v>
      </c>
      <c r="C77" s="42" t="str">
        <f>SW_SP_CONTI!D78</f>
        <v>F.DO AMM.TO IMM.NI MATERIALI</v>
      </c>
      <c r="D77" s="43"/>
      <c r="E77" s="43" t="s">
        <v>747</v>
      </c>
    </row>
    <row r="78" thickTop="1" thickBot="1" ht="15.5">
      <c r="A78" s="42" t="str">
        <f>SW_SP_CONTI!B79</f>
        <v>51200</v>
      </c>
      <c r="B78" s="42" t="str">
        <f>SW_SP_CONTI!C79</f>
        <v>F/AMM. MOBILI E MACCH. D'UFFICIO</v>
      </c>
      <c r="C78" s="42" t="str">
        <f>SW_SP_CONTI!D79</f>
        <v>F.DO AMM.TO IMM.NI MATERIALI</v>
      </c>
      <c r="D78" s="43"/>
      <c r="E78" s="43" t="s">
        <v>747</v>
      </c>
    </row>
    <row r="79" thickTop="1" thickBot="1" ht="15.5">
      <c r="A79" s="42" t="str">
        <f>SW_SP_CONTI!B80</f>
        <v>60000</v>
      </c>
      <c r="B79" s="42" t="str">
        <f>SW_SP_CONTI!C80</f>
        <v>ALTRE RISERVE</v>
      </c>
      <c r="C79" s="42" t="str">
        <f>SW_SP_CONTI!D80</f>
        <v>RISERVE</v>
      </c>
      <c r="D79" s="43"/>
      <c r="E79" s="43" t="s">
        <v>750</v>
      </c>
    </row>
    <row r="80" thickTop="1" thickBot="1" ht="15.5">
      <c r="A80" s="42" t="str">
        <f>SW_SP_CONTI!B81</f>
        <v>60100</v>
      </c>
      <c r="B80" s="42" t="str">
        <f>SW_SP_CONTI!C81</f>
        <v>CAPITALE</v>
      </c>
      <c r="C80" s="42" t="str">
        <f>SW_SP_CONTI!D81</f>
        <v>CAPITALE</v>
      </c>
      <c r="D80" s="43"/>
      <c r="E80" s="43" t="s">
        <v>751</v>
      </c>
    </row>
    <row r="81" thickTop="1" thickBot="1" ht="15.5">
      <c r="A81" s="42" t="str">
        <f>SW_SP_CONTI!B82</f>
        <v>60200</v>
      </c>
      <c r="B81" s="42" t="str">
        <f>SW_SP_CONTI!C82</f>
        <v>RISERVA DA SOPRAPREZ. AZ./QUOTE</v>
      </c>
      <c r="C81" s="42" t="str">
        <f>SW_SP_CONTI!D82</f>
        <v>RISERVE</v>
      </c>
      <c r="D81" s="43"/>
      <c r="E81" s="43" t="s">
        <v>752</v>
      </c>
    </row>
    <row r="82" thickTop="1" thickBot="1" ht="15.5">
      <c r="A82" s="42" t="str">
        <f>SW_SP_CONTI!B83</f>
        <v>60300</v>
      </c>
      <c r="B82" s="42" t="str">
        <f>SW_SP_CONTI!C83</f>
        <v>RISERVA LEGALE</v>
      </c>
      <c r="C82" s="42" t="str">
        <f>SW_SP_CONTI!D83</f>
        <v>RISERVE</v>
      </c>
      <c r="D82" s="43"/>
      <c r="E82" s="43" t="s">
        <v>753</v>
      </c>
    </row>
    <row r="83" thickTop="1" thickBot="1" ht="15.5">
      <c r="A83" s="42" t="str">
        <f>SW_SP_CONTI!B84</f>
        <v>60400</v>
      </c>
      <c r="B83" s="42" t="str">
        <f>SW_SP_CONTI!C84</f>
        <v>RISERVE DI RIVALUTAZIONE</v>
      </c>
      <c r="C83" s="42" t="str">
        <f>SW_SP_CONTI!D84</f>
        <v>RISERVE</v>
      </c>
      <c r="D83" s="43"/>
      <c r="E83" s="43" t="s">
        <v>754</v>
      </c>
    </row>
    <row r="84" thickTop="1" thickBot="1" ht="15.5">
      <c r="A84" s="42" t="str">
        <f>SW_SP_CONTI!B85</f>
        <v>60500</v>
      </c>
      <c r="B84" s="42" t="str">
        <f>SW_SP_CONTI!C85</f>
        <v>Riserve di Utili non distribuiti</v>
      </c>
      <c r="C84" s="42" t="str">
        <f>SW_SP_CONTI!D85</f>
        <v>RISERVE</v>
      </c>
      <c r="D84" s="43"/>
      <c r="E84" s="43" t="s">
        <v>755</v>
      </c>
    </row>
    <row r="85" thickTop="1" thickBot="1" ht="15.5">
      <c r="A85" s="42" t="str">
        <f>SW_SP_CONTI!B86</f>
        <v>60600</v>
      </c>
      <c r="B85" s="42" t="str">
        <f>SW_SP_CONTI!C86</f>
        <v>RISERVE STATUTARIE</v>
      </c>
      <c r="C85" s="42" t="str">
        <f>SW_SP_CONTI!D86</f>
        <v>RISERVE</v>
      </c>
      <c r="D85" s="43"/>
      <c r="E85" s="43" t="s">
        <v>752</v>
      </c>
    </row>
    <row r="86" thickTop="1" thickBot="1" ht="15.5">
      <c r="A86" s="42" t="str">
        <f>SW_SP_CONTI!B87</f>
        <v>60700</v>
      </c>
      <c r="B86" s="42" t="str">
        <f>SW_SP_CONTI!C87</f>
        <v>UTILE (PERDITA) DELL'ESERCIZIO</v>
      </c>
      <c r="C86" s="42" t="str">
        <f>SW_SP_CONTI!D87</f>
        <v>UTILE PERDITA ESERCIZIO</v>
      </c>
      <c r="D86" s="43"/>
      <c r="E86" s="43" t="s">
        <v>755</v>
      </c>
    </row>
    <row r="87" thickTop="1" thickBot="1" ht="15.5">
      <c r="A87" s="42" t="str">
        <f>SW_SP_CONTI!B88</f>
        <v>60800</v>
      </c>
      <c r="B87" s="42" t="str">
        <f>SW_SP_CONTI!C88</f>
        <v>UTILI (PERDITE) PORTATI A NUOVO</v>
      </c>
      <c r="C87" s="42" t="str">
        <f>SW_SP_CONTI!D88</f>
        <v>UTILE PERDITA A NUOVO</v>
      </c>
      <c r="D87" s="43"/>
      <c r="E87" s="43" t="s">
        <v>755</v>
      </c>
    </row>
    <row r="88" thickTop="1" thickBot="1" ht="15.5">
      <c r="A88" s="42" t="str">
        <f>SW_SP_CONTI!B89</f>
        <v>60900</v>
      </c>
      <c r="B88" s="42" t="str">
        <f>SW_SP_CONTI!C89</f>
        <v>Crediti Versamenti Aumento Capitale</v>
      </c>
      <c r="C88" s="42" t="str">
        <f>SW_SP_CONTI!D89</f>
        <v>CREDITI X AUMENTO CAPITALE</v>
      </c>
      <c r="D88" s="43"/>
      <c r="E88" s="43" t="s">
        <v>752</v>
      </c>
    </row>
    <row r="89" thickTop="1" thickBot="1" ht="15.5">
      <c r="A89" s="42" t="str">
        <f>SW_SP_CONTI!B90</f>
        <v>70000</v>
      </c>
      <c r="B89" s="42" t="str">
        <f>SW_SP_CONTI!C90</f>
        <v>DEBITI V/BANCHE c/c passivi</v>
      </c>
      <c r="C89" s="42" t="str">
        <f>SW_SP_CONTI!D90</f>
        <v>DEBITI</v>
      </c>
      <c r="D89" s="43"/>
      <c r="E89" s="43" t="s">
        <v>756</v>
      </c>
    </row>
    <row r="90" thickTop="1" thickBot="1" ht="15.5">
      <c r="A90" s="42" t="str">
        <f>SW_SP_CONTI!B91</f>
        <v>70100</v>
      </c>
      <c r="B90" s="42" t="str">
        <f>SW_SP_CONTI!C91</f>
        <v>ACCONTI DA CLIENTI E CAPARRE</v>
      </c>
      <c r="C90" s="42" t="str">
        <f>SW_SP_CONTI!D91</f>
        <v>DEBITI</v>
      </c>
      <c r="D90" s="43"/>
      <c r="E90" s="43" t="s">
        <v>757</v>
      </c>
    </row>
    <row r="91" thickTop="1" thickBot="1" ht="15.5">
      <c r="A91" s="42" t="str">
        <f>SW_SP_CONTI!B92</f>
        <v>70200</v>
      </c>
      <c r="B91" s="42" t="str">
        <f>SW_SP_CONTI!C92</f>
        <v>ALTRI DEBITI TRIBUTARI (OLTRE ESERCIZIO)</v>
      </c>
      <c r="C91" s="42" t="str">
        <f>SW_SP_CONTI!D92</f>
        <v>DEBITI</v>
      </c>
      <c r="D91" s="43"/>
      <c r="E91" s="43" t="s">
        <v>748</v>
      </c>
    </row>
    <row r="92" thickTop="1" thickBot="1" ht="15.5">
      <c r="A92" s="42" t="str">
        <f>SW_SP_CONTI!B93</f>
        <v>70300</v>
      </c>
      <c r="B92" s="42" t="str">
        <f>SW_SP_CONTI!C93</f>
        <v>ALTRI DEBITI V/DIPENDENTI (OLTRE ESERCIZIO)</v>
      </c>
      <c r="C92" s="42" t="str">
        <f>SW_SP_CONTI!D93</f>
        <v>DEBITI</v>
      </c>
      <c r="D92" s="43"/>
      <c r="E92" s="43" t="s">
        <v>758</v>
      </c>
    </row>
    <row r="93" thickTop="1" thickBot="1" ht="15.5">
      <c r="A93" s="42" t="str">
        <f>SW_SP_CONTI!B94</f>
        <v>70400</v>
      </c>
      <c r="B93" s="42" t="str">
        <f>SW_SP_CONTI!C94</f>
        <v>SINDACI E AMMINISTRATORI C/COMPENSI</v>
      </c>
      <c r="C93" s="42" t="str">
        <f>SW_SP_CONTI!D94</f>
        <v>DEBITI</v>
      </c>
      <c r="D93" s="43"/>
      <c r="E93" s="43" t="s">
        <v>757</v>
      </c>
    </row>
    <row r="94" thickTop="1" thickBot="1" ht="15.5">
      <c r="A94" s="42" t="str">
        <f>SW_SP_CONTI!B95</f>
        <v>70500</v>
      </c>
      <c r="B94" s="42" t="str">
        <f>SW_SP_CONTI!C95</f>
        <v>DEBITI DIVERSI E FATTURE DA RICEVERE</v>
      </c>
      <c r="C94" s="42" t="str">
        <f>SW_SP_CONTI!D95</f>
        <v>DEBITI</v>
      </c>
      <c r="D94" s="43"/>
      <c r="E94" s="43" t="s">
        <v>759</v>
      </c>
    </row>
    <row r="95" thickTop="1" thickBot="1" ht="15.5">
      <c r="A95" s="42" t="str">
        <f>SW_SP_CONTI!B96</f>
        <v>70600</v>
      </c>
      <c r="B95" s="42" t="str">
        <f>SW_SP_CONTI!C96</f>
        <v>DEBITI PREVIDENZIALI</v>
      </c>
      <c r="C95" s="42" t="str">
        <f>SW_SP_CONTI!D96</f>
        <v>DEBITI</v>
      </c>
      <c r="D95" s="43"/>
      <c r="E95" s="43" t="s">
        <v>760</v>
      </c>
    </row>
    <row r="96" thickTop="1" thickBot="1" ht="15.5">
      <c r="A96" s="42" t="str">
        <f>SW_SP_CONTI!B97</f>
        <v>70700</v>
      </c>
      <c r="B96" s="42" t="str">
        <f>SW_SP_CONTI!C97</f>
        <v>DEBITI PREVIDENZIALI RATEIZZATI</v>
      </c>
      <c r="C96" s="42" t="str">
        <f>SW_SP_CONTI!D97</f>
        <v>DEBITI</v>
      </c>
      <c r="D96" s="43"/>
      <c r="E96" s="43" t="s">
        <v>760</v>
      </c>
    </row>
    <row r="97" thickTop="1" thickBot="1" ht="15.5">
      <c r="A97" s="42" t="str">
        <f>SW_SP_CONTI!B98</f>
        <v>70800</v>
      </c>
      <c r="B97" s="42" t="str">
        <f>SW_SP_CONTI!C98</f>
        <v>DEBITI RAPP. DA TITOLI DI CRED.</v>
      </c>
      <c r="C97" s="42" t="str">
        <f>SW_SP_CONTI!D98</f>
        <v>DEBITI</v>
      </c>
      <c r="D97" s="43"/>
      <c r="E97" s="43" t="s">
        <v>757</v>
      </c>
    </row>
    <row r="98" thickTop="1" thickBot="1" ht="15.5">
      <c r="A98" s="42" t="str">
        <f>SW_SP_CONTI!B99</f>
        <v>70900</v>
      </c>
      <c r="B98" s="42" t="str">
        <f>SW_SP_CONTI!C99</f>
        <v>DEBITI TRIBUTARI RATEIZZATI</v>
      </c>
      <c r="C98" s="42" t="str">
        <f>SW_SP_CONTI!D99</f>
        <v>DEBITI</v>
      </c>
      <c r="D98" s="43"/>
      <c r="E98" s="43" t="s">
        <v>761</v>
      </c>
    </row>
    <row r="99" thickTop="1" thickBot="1" ht="15.5">
      <c r="A99" s="42" t="str">
        <f>SW_SP_CONTI!B100</f>
        <v>71000</v>
      </c>
      <c r="B99" s="42" t="str">
        <f>SW_SP_CONTI!C100</f>
        <v>DEBITI V/ALTRI FINANZIATORI</v>
      </c>
      <c r="C99" s="42" t="str">
        <f>SW_SP_CONTI!D100</f>
        <v>DEBITI</v>
      </c>
      <c r="D99" s="43"/>
      <c r="E99" s="43" t="s">
        <v>762</v>
      </c>
    </row>
    <row r="100" thickTop="1" thickBot="1" ht="15.5">
      <c r="A100" s="42" t="str">
        <f>SW_SP_CONTI!B101</f>
        <v>71100</v>
      </c>
      <c r="B100" s="42" t="str">
        <f>SW_SP_CONTI!C101</f>
        <v>DEBITI V/BANCHE Finanziamenti e Leasing</v>
      </c>
      <c r="C100" s="42" t="str">
        <f>SW_SP_CONTI!D101</f>
        <v>DEBITI</v>
      </c>
      <c r="D100" s="43"/>
      <c r="E100" s="43" t="s">
        <v>763</v>
      </c>
    </row>
    <row r="101" thickTop="1" thickBot="1" ht="15.5">
      <c r="A101" s="42" t="str">
        <f>SW_SP_CONTI!B102</f>
        <v>71200</v>
      </c>
      <c r="B101" s="42" t="str">
        <f>SW_SP_CONTI!C102</f>
        <v>DEBITI V/DIPENDENTI</v>
      </c>
      <c r="C101" s="42" t="str">
        <f>SW_SP_CONTI!D102</f>
        <v>DEBITI</v>
      </c>
      <c r="D101" s="43"/>
      <c r="E101" s="43" t="s">
        <v>758</v>
      </c>
    </row>
    <row r="102" thickTop="1" thickBot="1" ht="15.5">
      <c r="A102" s="42" t="str">
        <f>SW_SP_CONTI!B103</f>
        <v>71300</v>
      </c>
      <c r="B102" s="42" t="str">
        <f>SW_SP_CONTI!C103</f>
        <v>DEBITI V/FINANZIAMENTO SOCI</v>
      </c>
      <c r="C102" s="42" t="str">
        <f>SW_SP_CONTI!D103</f>
        <v>DEBITI</v>
      </c>
      <c r="D102" s="43"/>
      <c r="E102" s="43" t="s">
        <v>762</v>
      </c>
    </row>
    <row r="103" thickTop="1" thickBot="1" ht="15.5">
      <c r="A103" s="42" t="str">
        <f>SW_SP_CONTI!B104</f>
        <v>71400</v>
      </c>
      <c r="B103" s="42" t="str">
        <f>SW_SP_CONTI!C104</f>
        <v>DEBITI V/FORNITORI</v>
      </c>
      <c r="C103" s="42" t="str">
        <f>SW_SP_CONTI!D104</f>
        <v>DEBITI</v>
      </c>
      <c r="D103" s="43"/>
      <c r="E103" s="43" t="s">
        <v>759</v>
      </c>
    </row>
    <row r="104" thickTop="1" thickBot="1" ht="15.5">
      <c r="A104" s="42" t="str">
        <f>SW_SP_CONTI!B105</f>
        <v>71500</v>
      </c>
      <c r="B104" s="42" t="str">
        <f>SW_SP_CONTI!C105</f>
        <v>DEBITI V/FORNITORI BENI STRUMENTALI</v>
      </c>
      <c r="C104" s="42" t="str">
        <f>SW_SP_CONTI!D105</f>
        <v>DEBITI</v>
      </c>
      <c r="D104" s="43"/>
      <c r="E104" s="43" t="s">
        <v>759</v>
      </c>
    </row>
    <row r="105" thickTop="1" thickBot="1" ht="15.5">
      <c r="A105" s="42" t="str">
        <f>SW_SP_CONTI!B106</f>
        <v>71600</v>
      </c>
      <c r="B105" s="42" t="str">
        <f>SW_SP_CONTI!C106</f>
        <v>DEBITI V/GRUPPO FINANZIARI BREVE</v>
      </c>
      <c r="C105" s="42" t="str">
        <f>SW_SP_CONTI!D106</f>
        <v>DEBITI</v>
      </c>
      <c r="D105" s="43"/>
      <c r="E105" s="43" t="s">
        <v>762</v>
      </c>
    </row>
    <row r="106" thickTop="1" thickBot="1" ht="15.5">
      <c r="A106" s="42" t="str">
        <f>SW_SP_CONTI!B107</f>
        <v>71700</v>
      </c>
      <c r="B106" s="42" t="str">
        <f>SW_SP_CONTI!C107</f>
        <v>DEBITI V/GRUPPO FINANZIARI MEDIO LUNGO</v>
      </c>
      <c r="C106" s="42" t="str">
        <f>SW_SP_CONTI!D107</f>
        <v>DEBITI</v>
      </c>
      <c r="D106" s="43"/>
      <c r="E106" s="43" t="s">
        <v>762</v>
      </c>
    </row>
    <row r="107" thickTop="1" thickBot="1" ht="15.5">
      <c r="A107" s="42" t="str">
        <f>SW_SP_CONTI!B108</f>
        <v>71800</v>
      </c>
      <c r="B107" s="42" t="str">
        <f>SW_SP_CONTI!C108</f>
        <v>DEBITI V/IMPRESE GRUPPO COMM.LI BREVE</v>
      </c>
      <c r="C107" s="42" t="str">
        <f>SW_SP_CONTI!D108</f>
        <v>DEBITI</v>
      </c>
      <c r="D107" s="43"/>
      <c r="E107" s="43" t="s">
        <v>759</v>
      </c>
    </row>
    <row r="108" thickTop="1" thickBot="1" ht="15.5">
      <c r="A108" s="42" t="str">
        <f>SW_SP_CONTI!B109</f>
        <v>71900</v>
      </c>
      <c r="B108" s="42" t="str">
        <f>SW_SP_CONTI!C109</f>
        <v>DEBITI V/IMPRESE GRUPPO MEDIO LUNGO</v>
      </c>
      <c r="C108" s="42" t="str">
        <f>SW_SP_CONTI!D109</f>
        <v>DEBITI</v>
      </c>
      <c r="D108" s="43"/>
      <c r="E108" s="43" t="s">
        <v>759</v>
      </c>
    </row>
    <row r="109" thickTop="1" thickBot="1" ht="15.5">
      <c r="A109" s="42" t="str">
        <f>SW_SP_CONTI!B110</f>
        <v>72000</v>
      </c>
      <c r="B109" s="42" t="str">
        <f>SW_SP_CONTI!C110</f>
        <v>ERARIO C/IRES E IRAP BREVE</v>
      </c>
      <c r="C109" s="42" t="str">
        <f>SW_SP_CONTI!D110</f>
        <v>DEBITI</v>
      </c>
      <c r="D109" s="43"/>
      <c r="E109" s="43" t="s">
        <v>748</v>
      </c>
    </row>
    <row r="110" thickTop="1" thickBot="1" ht="15.5">
      <c r="A110" s="42" t="str">
        <f>SW_SP_CONTI!B111</f>
        <v>72100</v>
      </c>
      <c r="B110" s="42" t="str">
        <f>SW_SP_CONTI!C111</f>
        <v>ERARIO C/IVA</v>
      </c>
      <c r="C110" s="42" t="str">
        <f>SW_SP_CONTI!D111</f>
        <v>DEBITI</v>
      </c>
      <c r="D110" s="43"/>
      <c r="E110" s="43" t="s">
        <v>764</v>
      </c>
    </row>
    <row r="111" thickTop="1" thickBot="1" ht="15.5">
      <c r="A111" s="42" t="str">
        <f>SW_SP_CONTI!B112</f>
        <v>72200</v>
      </c>
      <c r="B111" s="42" t="str">
        <f>SW_SP_CONTI!C112</f>
        <v>ERARIO C/RIT. LAVORO DIPENDENTE E COLLABORATORI</v>
      </c>
      <c r="C111" s="42" t="str">
        <f>SW_SP_CONTI!D112</f>
        <v>DEBITI</v>
      </c>
      <c r="D111" s="43"/>
      <c r="E111" s="43" t="s">
        <v>748</v>
      </c>
    </row>
    <row r="112" thickTop="1" thickBot="1" ht="15.5">
      <c r="A112" s="42" t="str">
        <f>SW_SP_CONTI!B113</f>
        <v>72300</v>
      </c>
      <c r="B112" s="42" t="str">
        <f>SW_SP_CONTI!C113</f>
        <v>NOTE CREDITO DA EMETTERE</v>
      </c>
      <c r="C112" s="42" t="str">
        <f>SW_SP_CONTI!D113</f>
        <v>DEBITI</v>
      </c>
      <c r="D112" s="43"/>
      <c r="E112" s="43" t="s">
        <v>759</v>
      </c>
    </row>
    <row r="113" thickTop="1" thickBot="1" ht="15.5">
      <c r="A113" s="42" t="str">
        <f>SW_SP_CONTI!B114</f>
        <v>72400</v>
      </c>
      <c r="B113" s="42" t="str">
        <f>SW_SP_CONTI!C114</f>
        <v>OBBLIGAZIONI</v>
      </c>
      <c r="C113" s="42" t="str">
        <f>SW_SP_CONTI!D114</f>
        <v>DEBITI</v>
      </c>
      <c r="D113" s="43"/>
      <c r="E113" s="43" t="s">
        <v>762</v>
      </c>
    </row>
    <row r="114" thickTop="1" thickBot="1" ht="15.5">
      <c r="A114" s="42" t="str">
        <f>SW_SP_CONTI!B115</f>
        <v>72500</v>
      </c>
      <c r="B114" s="42" t="str">
        <f>SW_SP_CONTI!C115</f>
        <v>RATEI PASSIVI</v>
      </c>
      <c r="C114" s="42" t="str">
        <f>SW_SP_CONTI!D115</f>
        <v>DEBITI</v>
      </c>
      <c r="D114" s="43"/>
      <c r="E114" s="43" t="s">
        <v>765</v>
      </c>
    </row>
    <row r="115" thickTop="1" thickBot="1" ht="15.5">
      <c r="A115" s="42" t="str">
        <f>SW_SP_CONTI!B116</f>
        <v>72600</v>
      </c>
      <c r="B115" s="42" t="str">
        <f>SW_SP_CONTI!C116</f>
        <v>RISCONTI PASSIVI</v>
      </c>
      <c r="C115" s="42" t="str">
        <f>SW_SP_CONTI!D116</f>
        <v>DEBITI</v>
      </c>
      <c r="D115" s="43"/>
      <c r="E115" s="43" t="s">
        <v>765</v>
      </c>
    </row>
    <row r="116" thickTop="1" thickBot="1" ht="15.5">
      <c r="A116" s="42" t="str">
        <f>SW_SP_CONTI!B117</f>
        <v>72700</v>
      </c>
      <c r="B116" s="42" t="str">
        <f>SW_SP_CONTI!C117</f>
        <v>ALTRI DEBITI</v>
      </c>
      <c r="C116" s="42" t="str">
        <f>SW_SP_CONTI!D117</f>
        <v>DEBITI</v>
      </c>
      <c r="D116" s="43"/>
      <c r="E116" s="43" t="s">
        <v>757</v>
      </c>
    </row>
    <row r="117" thickTop="1" thickBot="1" ht="15.5">
      <c r="A117" s="42" t="str">
        <f>SW_SP_CONTI!B118</f>
        <v>72800</v>
      </c>
      <c r="B117" s="42" t="str">
        <f>SW_SP_CONTI!C118</f>
        <v>SOCI C/UTILI</v>
      </c>
      <c r="C117" s="42" t="str">
        <f>SW_SP_CONTI!D118</f>
        <v>DEBITI</v>
      </c>
      <c r="D117" s="43"/>
      <c r="E117" s="43" t="s">
        <v>752</v>
      </c>
    </row>
    <row r="118" thickTop="1"/>
  </sheetData>
</worksheet>
</file>

<file path=xl/worksheets/sheet17.xml><?xml version="1.0" encoding="utf-8"?>
<worksheet xmlns:r="http://schemas.openxmlformats.org/officeDocument/2006/relationships" xmlns="http://schemas.openxmlformats.org/spreadsheetml/2006/main">
  <sheetPr>
    <tabColor rgb="FFC00000"/>
  </sheetPr>
  <sheetViews>
    <sheetView workbookViewId="0">
      <selection activeCell="I1" sqref="I1"/>
    </sheetView>
  </sheetViews>
  <sheetFormatPr defaultRowHeight="15"/>
  <cols>
    <col min="2" max="2" width="21.42578" bestFit="1" customWidth="1"/>
    <col min="3" max="3" width="20.85547" bestFit="1" customWidth="1"/>
    <col min="4" max="4" width="49.57031" bestFit="1" customWidth="1"/>
    <col min="5" max="5" width="32.14063" bestFit="1" customWidth="1"/>
    <col min="6" max="6" width="42.42578" bestFit="1" customWidth="1"/>
    <col min="7" max="7" width="30.42578" bestFit="1" customWidth="1"/>
    <col min="8" max="8" width="15.14063" bestFit="1" customWidth="1"/>
    <col min="10" max="10" width="11.42578" bestFit="1" customWidth="1"/>
  </cols>
  <sheetData>
    <row r="1" thickBot="1" ht="27.65" customHeight="1">
      <c r="A1" s="44" t="s">
        <v>766</v>
      </c>
      <c r="B1" s="40" t="s">
        <v>720</v>
      </c>
      <c r="C1" s="40" t="s">
        <v>721</v>
      </c>
      <c r="D1" s="40" t="s">
        <v>722</v>
      </c>
      <c r="E1" s="40" t="s">
        <v>767</v>
      </c>
      <c r="F1" s="40" t="s">
        <v>11</v>
      </c>
      <c r="G1" s="40" t="s">
        <v>13</v>
      </c>
      <c r="H1" s="45" t="s">
        <v>768</v>
      </c>
      <c r="I1" s="45" t="s">
        <v>769</v>
      </c>
      <c r="J1" s="45" t="s">
        <v>770</v>
      </c>
    </row>
    <row r="2" thickTop="1" thickBot="1" ht="15.5">
      <c r="A2" s="46" t="s">
        <v>11</v>
      </c>
      <c r="B2">
        <f>'SW_SP_REP-01'!B4</f>
        <v>0</v>
      </c>
      <c r="C2">
        <f>'SW_SP_REP-01'!C4</f>
        <v>0</v>
      </c>
      <c r="D2">
        <f>'SW_SP_REP-01'!D4</f>
        <v>0</v>
      </c>
      <c r="E2" t="e">
        <f>_xlfn.XLOOKUP(B2,'SW_SP_BIL-01'!B:B,'SW_SP_BIL-01'!D:D)</f>
        <v>#NAME?</v>
      </c>
      <c r="F2" t="str">
        <f>+IFERROR(VLOOKUP($B2,'Riclassificato con Piano crisi'!$A:$E,4,FALSE),"")</f>
        <v/>
      </c>
      <c r="G2" t="str">
        <f>+IFERROR(VLOOKUP($B2,'Riclassificato con Piano crisi'!$A:$E,5,FALSE),"")</f>
        <v/>
      </c>
      <c r="H2" s="47">
        <f>SUMIF('SW_SP_REP-01'!C:C,$C2,'SW_SP_REP-01'!T:T)</f>
        <v>0</v>
      </c>
      <c r="I2" s="48"/>
      <c r="J2" s="47">
        <f>H2+I2</f>
        <v>0</v>
      </c>
    </row>
    <row r="3" thickTop="1" thickBot="1" ht="15.5">
      <c r="B3">
        <f>'SW_SP_REP-01'!B5</f>
        <v>0</v>
      </c>
      <c r="C3">
        <f>'SW_SP_REP-01'!C5</f>
        <v>0</v>
      </c>
      <c r="D3">
        <f>'SW_SP_REP-01'!D5</f>
        <v>0</v>
      </c>
      <c r="E3" t="e">
        <f>_xlfn.XLOOKUP(B3,'SW_SP_BIL-01'!B:B,'SW_SP_BIL-01'!D:D)</f>
        <v>#NAME?</v>
      </c>
      <c r="F3" t="str">
        <f>+IFERROR(VLOOKUP($B3,'Riclassificato con Piano crisi'!$A:$E,4,FALSE),"")</f>
        <v/>
      </c>
      <c r="G3" t="str">
        <f>+IFERROR(VLOOKUP($B3,'Riclassificato con Piano crisi'!$A:$E,5,FALSE),"")</f>
        <v/>
      </c>
      <c r="H3" s="47">
        <f>SUMIF('SW_SP_REP-01'!C:C,$C3,'SW_SP_REP-01'!T:T)</f>
        <v>0</v>
      </c>
      <c r="I3" s="48"/>
      <c r="J3" s="47">
        <f t="shared" ref="J3:J66" si="0">H3+I3</f>
        <v>0</v>
      </c>
    </row>
    <row r="4" thickTop="1" thickBot="1" ht="15.5">
      <c r="A4" s="49" t="s">
        <v>13</v>
      </c>
      <c r="B4">
        <f>'SW_SP_REP-01'!B6</f>
        <v>0</v>
      </c>
      <c r="C4">
        <f>'SW_SP_REP-01'!C6</f>
        <v>0</v>
      </c>
      <c r="D4">
        <f>'SW_SP_REP-01'!D6</f>
        <v>0</v>
      </c>
      <c r="E4" t="e">
        <f>_xlfn.XLOOKUP(B4,'SW_SP_BIL-01'!B:B,'SW_SP_BIL-01'!D:D)</f>
        <v>#NAME?</v>
      </c>
      <c r="F4" t="str">
        <f>+IFERROR(VLOOKUP($B4,'Riclassificato con Piano crisi'!$A:$E,4,FALSE),"")</f>
        <v/>
      </c>
      <c r="G4" t="str">
        <f>+IFERROR(VLOOKUP($B4,'Riclassificato con Piano crisi'!$A:$E,5,FALSE),"")</f>
        <v/>
      </c>
      <c r="H4" s="47">
        <f>SUMIF('SW_SP_REP-01'!C:C,$C4,'SW_SP_REP-01'!T:T)</f>
        <v>0</v>
      </c>
      <c r="I4" s="48"/>
      <c r="J4" s="47">
        <f t="shared" si="0"/>
        <v>0</v>
      </c>
    </row>
    <row r="5" thickTop="1" thickBot="1" ht="15.5">
      <c r="B5">
        <f>'SW_SP_REP-01'!B7</f>
        <v>0</v>
      </c>
      <c r="C5">
        <f>'SW_SP_REP-01'!C7</f>
        <v>0</v>
      </c>
      <c r="D5">
        <f>'SW_SP_REP-01'!D7</f>
        <v>0</v>
      </c>
      <c r="E5" t="e">
        <f>_xlfn.XLOOKUP(B5,'SW_SP_BIL-01'!B:B,'SW_SP_BIL-01'!D:D)</f>
        <v>#NAME?</v>
      </c>
      <c r="F5" t="str">
        <f>+IFERROR(VLOOKUP($B5,'Riclassificato con Piano crisi'!$A:$E,4,FALSE),"")</f>
        <v/>
      </c>
      <c r="G5" t="str">
        <f>+IFERROR(VLOOKUP($B5,'Riclassificato con Piano crisi'!$A:$E,5,FALSE),"")</f>
        <v/>
      </c>
      <c r="H5" s="47">
        <f>SUMIF('SW_SP_REP-01'!C:C,$C5,'SW_SP_REP-01'!T:T)</f>
        <v>0</v>
      </c>
      <c r="I5" s="48"/>
      <c r="J5" s="47">
        <f t="shared" si="0"/>
        <v>0</v>
      </c>
    </row>
    <row r="6" thickTop="1" thickBot="1" ht="15.5">
      <c r="B6">
        <f>'SW_SP_REP-01'!B8</f>
        <v>0</v>
      </c>
      <c r="C6">
        <f>'SW_SP_REP-01'!C8</f>
        <v>0</v>
      </c>
      <c r="D6">
        <f>'SW_SP_REP-01'!D8</f>
        <v>0</v>
      </c>
      <c r="E6" t="e">
        <f>_xlfn.XLOOKUP(B6,'SW_SP_BIL-01'!B:B,'SW_SP_BIL-01'!D:D)</f>
        <v>#NAME?</v>
      </c>
      <c r="F6" t="str">
        <f>+IFERROR(VLOOKUP($B6,'Riclassificato con Piano crisi'!$A:$E,4,FALSE),"")</f>
        <v/>
      </c>
      <c r="G6" t="str">
        <f>+IFERROR(VLOOKUP($B6,'Riclassificato con Piano crisi'!$A:$E,5,FALSE),"")</f>
        <v/>
      </c>
      <c r="H6" s="47">
        <f>SUMIF('SW_SP_REP-01'!C:C,$C6,'SW_SP_REP-01'!T:T)</f>
        <v>0</v>
      </c>
      <c r="I6" s="48"/>
      <c r="J6" s="47">
        <f t="shared" si="0"/>
        <v>0</v>
      </c>
    </row>
    <row r="7" thickTop="1" thickBot="1" ht="15.5">
      <c r="B7">
        <f>'SW_SP_REP-01'!B9</f>
        <v>0</v>
      </c>
      <c r="C7">
        <f>'SW_SP_REP-01'!C9</f>
        <v>0</v>
      </c>
      <c r="D7">
        <f>'SW_SP_REP-01'!D9</f>
        <v>0</v>
      </c>
      <c r="E7" t="e">
        <f>_xlfn.XLOOKUP(B7,'SW_SP_BIL-01'!B:B,'SW_SP_BIL-01'!D:D)</f>
        <v>#NAME?</v>
      </c>
      <c r="F7" t="str">
        <f>+IFERROR(VLOOKUP($B7,'Riclassificato con Piano crisi'!$A:$E,4,FALSE),"")</f>
        <v/>
      </c>
      <c r="G7" t="str">
        <f>+IFERROR(VLOOKUP($B7,'Riclassificato con Piano crisi'!$A:$E,5,FALSE),"")</f>
        <v/>
      </c>
      <c r="H7" s="47">
        <f>SUMIF('SW_SP_REP-01'!C:C,$C7,'SW_SP_REP-01'!T:T)</f>
        <v>0</v>
      </c>
      <c r="I7" s="48"/>
      <c r="J7" s="47">
        <f t="shared" si="0"/>
        <v>0</v>
      </c>
    </row>
    <row r="8" thickTop="1" thickBot="1" ht="15.5">
      <c r="B8">
        <f>'SW_SP_REP-01'!B10</f>
        <v>0</v>
      </c>
      <c r="C8">
        <f>'SW_SP_REP-01'!C10</f>
        <v>0</v>
      </c>
      <c r="D8">
        <f>'SW_SP_REP-01'!D10</f>
        <v>0</v>
      </c>
      <c r="E8" t="e">
        <f>_xlfn.XLOOKUP(B8,'SW_SP_BIL-01'!B:B,'SW_SP_BIL-01'!D:D)</f>
        <v>#NAME?</v>
      </c>
      <c r="F8" t="str">
        <f>+IFERROR(VLOOKUP($B8,'Riclassificato con Piano crisi'!$A:$E,4,FALSE),"")</f>
        <v/>
      </c>
      <c r="G8" t="str">
        <f>+IFERROR(VLOOKUP($B8,'Riclassificato con Piano crisi'!$A:$E,5,FALSE),"")</f>
        <v/>
      </c>
      <c r="H8" s="47">
        <f>SUMIF('SW_SP_REP-01'!C:C,$C8,'SW_SP_REP-01'!T:T)</f>
        <v>0</v>
      </c>
      <c r="I8" s="48"/>
      <c r="J8" s="47">
        <f t="shared" si="0"/>
        <v>0</v>
      </c>
    </row>
    <row r="9" thickTop="1" thickBot="1" ht="15.5">
      <c r="B9">
        <f>'SW_SP_REP-01'!B11</f>
        <v>0</v>
      </c>
      <c r="C9">
        <f>'SW_SP_REP-01'!C11</f>
        <v>0</v>
      </c>
      <c r="D9">
        <f>'SW_SP_REP-01'!D11</f>
        <v>0</v>
      </c>
      <c r="E9" t="e">
        <f>_xlfn.XLOOKUP(B9,'SW_SP_BIL-01'!B:B,'SW_SP_BIL-01'!D:D)</f>
        <v>#NAME?</v>
      </c>
      <c r="F9" t="str">
        <f>+IFERROR(VLOOKUP($B9,'Riclassificato con Piano crisi'!$A:$E,4,FALSE),"")</f>
        <v/>
      </c>
      <c r="G9" t="str">
        <f>+IFERROR(VLOOKUP($B9,'Riclassificato con Piano crisi'!$A:$E,5,FALSE),"")</f>
        <v/>
      </c>
      <c r="H9" s="47">
        <f>SUMIF('SW_SP_REP-01'!C:C,$C9,'SW_SP_REP-01'!T:T)</f>
        <v>0</v>
      </c>
      <c r="I9" s="48"/>
      <c r="J9" s="47">
        <f t="shared" si="0"/>
        <v>0</v>
      </c>
    </row>
    <row r="10" thickTop="1" thickBot="1" ht="15.5">
      <c r="B10">
        <f>'SW_SP_REP-01'!B12</f>
        <v>0</v>
      </c>
      <c r="C10">
        <f>'SW_SP_REP-01'!C12</f>
        <v>0</v>
      </c>
      <c r="D10">
        <f>'SW_SP_REP-01'!D12</f>
        <v>0</v>
      </c>
      <c r="E10" t="e">
        <f>_xlfn.XLOOKUP(B10,'SW_SP_BIL-01'!B:B,'SW_SP_BIL-01'!D:D)</f>
        <v>#NAME?</v>
      </c>
      <c r="F10" t="str">
        <f>+IFERROR(VLOOKUP($B10,'Riclassificato con Piano crisi'!$A:$E,4,FALSE),"")</f>
        <v/>
      </c>
      <c r="G10" t="str">
        <f>+IFERROR(VLOOKUP($B10,'Riclassificato con Piano crisi'!$A:$E,5,FALSE),"")</f>
        <v/>
      </c>
      <c r="H10" s="47">
        <f>SUMIF('SW_SP_REP-01'!C:C,$C10,'SW_SP_REP-01'!T:T)</f>
        <v>0</v>
      </c>
      <c r="I10" s="48"/>
      <c r="J10" s="47">
        <f t="shared" si="0"/>
        <v>0</v>
      </c>
    </row>
    <row r="11" thickTop="1" thickBot="1" ht="15.5">
      <c r="B11">
        <f>'SW_SP_REP-01'!B13</f>
        <v>0</v>
      </c>
      <c r="C11">
        <f>'SW_SP_REP-01'!C13</f>
        <v>0</v>
      </c>
      <c r="D11">
        <f>'SW_SP_REP-01'!D13</f>
        <v>0</v>
      </c>
      <c r="E11" t="e">
        <f>_xlfn.XLOOKUP(B11,'SW_SP_BIL-01'!B:B,'SW_SP_BIL-01'!D:D)</f>
        <v>#NAME?</v>
      </c>
      <c r="F11" t="str">
        <f>+IFERROR(VLOOKUP($B11,'Riclassificato con Piano crisi'!$A:$E,4,FALSE),"")</f>
        <v/>
      </c>
      <c r="G11" t="str">
        <f>+IFERROR(VLOOKUP($B11,'Riclassificato con Piano crisi'!$A:$E,5,FALSE),"")</f>
        <v/>
      </c>
      <c r="H11" s="47">
        <f>SUMIF('SW_SP_REP-01'!C:C,$C11,'SW_SP_REP-01'!T:T)</f>
        <v>0</v>
      </c>
      <c r="I11" s="48"/>
      <c r="J11" s="47">
        <f t="shared" si="0"/>
        <v>0</v>
      </c>
    </row>
    <row r="12" thickTop="1" thickBot="1" ht="15.5">
      <c r="B12">
        <f>'SW_SP_REP-01'!B14</f>
        <v>0</v>
      </c>
      <c r="C12">
        <f>'SW_SP_REP-01'!C14</f>
        <v>0</v>
      </c>
      <c r="D12">
        <f>'SW_SP_REP-01'!D14</f>
        <v>0</v>
      </c>
      <c r="E12" t="e">
        <f>_xlfn.XLOOKUP(B12,'SW_SP_BIL-01'!B:B,'SW_SP_BIL-01'!D:D)</f>
        <v>#NAME?</v>
      </c>
      <c r="F12" t="str">
        <f>+IFERROR(VLOOKUP($B12,'Riclassificato con Piano crisi'!$A:$E,4,FALSE),"")</f>
        <v/>
      </c>
      <c r="G12" t="str">
        <f>+IFERROR(VLOOKUP($B12,'Riclassificato con Piano crisi'!$A:$E,5,FALSE),"")</f>
        <v/>
      </c>
      <c r="H12" s="47">
        <f>SUMIF('SW_SP_REP-01'!C:C,$C12,'SW_SP_REP-01'!T:T)</f>
        <v>0</v>
      </c>
      <c r="I12" s="48"/>
      <c r="J12" s="47">
        <f t="shared" si="0"/>
        <v>0</v>
      </c>
    </row>
    <row r="13" thickTop="1" thickBot="1" ht="15.5">
      <c r="B13">
        <f>'SW_SP_REP-01'!B15</f>
        <v>0</v>
      </c>
      <c r="C13">
        <f>'SW_SP_REP-01'!C15</f>
        <v>0</v>
      </c>
      <c r="D13">
        <f>'SW_SP_REP-01'!D15</f>
        <v>0</v>
      </c>
      <c r="E13" t="e">
        <f>_xlfn.XLOOKUP(B13,'SW_SP_BIL-01'!B:B,'SW_SP_BIL-01'!D:D)</f>
        <v>#NAME?</v>
      </c>
      <c r="F13" t="str">
        <f>+IFERROR(VLOOKUP($B13,'Riclassificato con Piano crisi'!$A:$E,4,FALSE),"")</f>
        <v/>
      </c>
      <c r="G13" t="str">
        <f>+IFERROR(VLOOKUP($B13,'Riclassificato con Piano crisi'!$A:$E,5,FALSE),"")</f>
        <v/>
      </c>
      <c r="H13" s="47">
        <f>SUMIF('SW_SP_REP-01'!C:C,$C13,'SW_SP_REP-01'!T:T)</f>
        <v>0</v>
      </c>
      <c r="I13" s="48"/>
      <c r="J13" s="47">
        <f t="shared" si="0"/>
        <v>0</v>
      </c>
    </row>
    <row r="14" thickTop="1" thickBot="1" ht="15.5">
      <c r="B14">
        <f>'SW_SP_REP-01'!B16</f>
        <v>0</v>
      </c>
      <c r="C14">
        <f>'SW_SP_REP-01'!C16</f>
        <v>0</v>
      </c>
      <c r="D14">
        <f>'SW_SP_REP-01'!D16</f>
        <v>0</v>
      </c>
      <c r="E14" t="e">
        <f>_xlfn.XLOOKUP(B14,'SW_SP_BIL-01'!B:B,'SW_SP_BIL-01'!D:D)</f>
        <v>#NAME?</v>
      </c>
      <c r="F14" t="str">
        <f>+IFERROR(VLOOKUP($B14,'Riclassificato con Piano crisi'!$A:$E,4,FALSE),"")</f>
        <v/>
      </c>
      <c r="G14" t="str">
        <f>+IFERROR(VLOOKUP($B14,'Riclassificato con Piano crisi'!$A:$E,5,FALSE),"")</f>
        <v/>
      </c>
      <c r="H14" s="47">
        <f>SUMIF('SW_SP_REP-01'!C:C,$C14,'SW_SP_REP-01'!T:T)</f>
        <v>0</v>
      </c>
      <c r="I14" s="48"/>
      <c r="J14" s="47">
        <f t="shared" si="0"/>
        <v>0</v>
      </c>
    </row>
    <row r="15" thickTop="1" thickBot="1" ht="15.5">
      <c r="B15">
        <f>'SW_SP_REP-01'!B17</f>
        <v>0</v>
      </c>
      <c r="C15">
        <f>'SW_SP_REP-01'!C17</f>
        <v>0</v>
      </c>
      <c r="D15">
        <f>'SW_SP_REP-01'!D17</f>
        <v>0</v>
      </c>
      <c r="E15" t="e">
        <f>_xlfn.XLOOKUP(B15,'SW_SP_BIL-01'!B:B,'SW_SP_BIL-01'!D:D)</f>
        <v>#NAME?</v>
      </c>
      <c r="F15" t="str">
        <f>+IFERROR(VLOOKUP($B15,'Riclassificato con Piano crisi'!$A:$E,4,FALSE),"")</f>
        <v/>
      </c>
      <c r="G15" t="str">
        <f>+IFERROR(VLOOKUP($B15,'Riclassificato con Piano crisi'!$A:$E,5,FALSE),"")</f>
        <v/>
      </c>
      <c r="H15" s="47">
        <f>SUMIF('SW_SP_REP-01'!C:C,$C15,'SW_SP_REP-01'!T:T)</f>
        <v>0</v>
      </c>
      <c r="I15" s="48"/>
      <c r="J15" s="47">
        <f t="shared" si="0"/>
        <v>0</v>
      </c>
    </row>
    <row r="16" thickTop="1" thickBot="1" ht="15.5">
      <c r="B16">
        <f>'SW_SP_REP-01'!B18</f>
        <v>0</v>
      </c>
      <c r="C16">
        <f>'SW_SP_REP-01'!C18</f>
        <v>0</v>
      </c>
      <c r="D16">
        <f>'SW_SP_REP-01'!D18</f>
        <v>0</v>
      </c>
      <c r="E16" t="e">
        <f>_xlfn.XLOOKUP(B16,'SW_SP_BIL-01'!B:B,'SW_SP_BIL-01'!D:D)</f>
        <v>#NAME?</v>
      </c>
      <c r="F16" t="str">
        <f>+IFERROR(VLOOKUP($B16,'Riclassificato con Piano crisi'!$A:$E,4,FALSE),"")</f>
        <v/>
      </c>
      <c r="G16" t="str">
        <f>+IFERROR(VLOOKUP($B16,'Riclassificato con Piano crisi'!$A:$E,5,FALSE),"")</f>
        <v/>
      </c>
      <c r="H16" s="47">
        <f>SUMIF('SW_SP_REP-01'!C:C,$C16,'SW_SP_REP-01'!T:T)</f>
        <v>0</v>
      </c>
      <c r="I16" s="48"/>
      <c r="J16" s="47">
        <f t="shared" si="0"/>
        <v>0</v>
      </c>
    </row>
    <row r="17" thickTop="1" thickBot="1" ht="15.5">
      <c r="B17">
        <f>'SW_SP_REP-01'!B19</f>
        <v>0</v>
      </c>
      <c r="C17">
        <f>'SW_SP_REP-01'!C19</f>
        <v>0</v>
      </c>
      <c r="D17">
        <f>'SW_SP_REP-01'!D19</f>
        <v>0</v>
      </c>
      <c r="E17" t="e">
        <f>_xlfn.XLOOKUP(B17,'SW_SP_BIL-01'!B:B,'SW_SP_BIL-01'!D:D)</f>
        <v>#NAME?</v>
      </c>
      <c r="F17" t="str">
        <f>+IFERROR(VLOOKUP($B17,'Riclassificato con Piano crisi'!$A:$E,4,FALSE),"")</f>
        <v/>
      </c>
      <c r="G17" t="str">
        <f>+IFERROR(VLOOKUP($B17,'Riclassificato con Piano crisi'!$A:$E,5,FALSE),"")</f>
        <v/>
      </c>
      <c r="H17" s="47">
        <f>SUMIF('SW_SP_REP-01'!C:C,$C17,'SW_SP_REP-01'!T:T)</f>
        <v>0</v>
      </c>
      <c r="I17" s="48"/>
      <c r="J17" s="47">
        <f t="shared" si="0"/>
        <v>0</v>
      </c>
    </row>
    <row r="18" thickTop="1" thickBot="1" ht="15.5">
      <c r="B18">
        <f>'SW_SP_REP-01'!B20</f>
        <v>0</v>
      </c>
      <c r="C18">
        <f>'SW_SP_REP-01'!C20</f>
        <v>0</v>
      </c>
      <c r="D18">
        <f>'SW_SP_REP-01'!D20</f>
        <v>0</v>
      </c>
      <c r="E18" t="e">
        <f>_xlfn.XLOOKUP(B18,'SW_SP_BIL-01'!B:B,'SW_SP_BIL-01'!D:D)</f>
        <v>#NAME?</v>
      </c>
      <c r="F18" t="str">
        <f>+IFERROR(VLOOKUP($B18,'Riclassificato con Piano crisi'!$A:$E,4,FALSE),"")</f>
        <v/>
      </c>
      <c r="G18" t="str">
        <f>+IFERROR(VLOOKUP($B18,'Riclassificato con Piano crisi'!$A:$E,5,FALSE),"")</f>
        <v/>
      </c>
      <c r="H18" s="47">
        <f>SUMIF('SW_SP_REP-01'!C:C,$C18,'SW_SP_REP-01'!T:T)</f>
        <v>0</v>
      </c>
      <c r="I18" s="48"/>
      <c r="J18" s="47">
        <f t="shared" si="0"/>
        <v>0</v>
      </c>
    </row>
    <row r="19" thickTop="1" thickBot="1" ht="15.5">
      <c r="B19">
        <f>'SW_SP_REP-01'!B21</f>
        <v>0</v>
      </c>
      <c r="C19">
        <f>'SW_SP_REP-01'!C21</f>
        <v>0</v>
      </c>
      <c r="D19">
        <f>'SW_SP_REP-01'!D21</f>
        <v>0</v>
      </c>
      <c r="E19" t="e">
        <f>_xlfn.XLOOKUP(B19,'SW_SP_BIL-01'!B:B,'SW_SP_BIL-01'!D:D)</f>
        <v>#NAME?</v>
      </c>
      <c r="F19" t="str">
        <f>+IFERROR(VLOOKUP($B19,'Riclassificato con Piano crisi'!$A:$E,4,FALSE),"")</f>
        <v/>
      </c>
      <c r="G19" t="str">
        <f>+IFERROR(VLOOKUP($B19,'Riclassificato con Piano crisi'!$A:$E,5,FALSE),"")</f>
        <v/>
      </c>
      <c r="H19" s="47">
        <f>SUMIF('SW_SP_REP-01'!C:C,$C19,'SW_SP_REP-01'!T:T)</f>
        <v>0</v>
      </c>
      <c r="I19" s="48"/>
      <c r="J19" s="47">
        <f t="shared" si="0"/>
        <v>0</v>
      </c>
    </row>
    <row r="20" thickTop="1" thickBot="1" ht="15.5">
      <c r="B20">
        <f>'SW_SP_REP-01'!B22</f>
        <v>0</v>
      </c>
      <c r="C20">
        <f>'SW_SP_REP-01'!C22</f>
        <v>0</v>
      </c>
      <c r="D20">
        <f>'SW_SP_REP-01'!D22</f>
        <v>0</v>
      </c>
      <c r="E20" t="e">
        <f>_xlfn.XLOOKUP(B20,'SW_SP_BIL-01'!B:B,'SW_SP_BIL-01'!D:D)</f>
        <v>#NAME?</v>
      </c>
      <c r="F20" t="str">
        <f>+IFERROR(VLOOKUP($B20,'Riclassificato con Piano crisi'!$A:$E,4,FALSE),"")</f>
        <v/>
      </c>
      <c r="G20" t="str">
        <f>+IFERROR(VLOOKUP($B20,'Riclassificato con Piano crisi'!$A:$E,5,FALSE),"")</f>
        <v/>
      </c>
      <c r="H20" s="47">
        <f>SUMIF('SW_SP_REP-01'!C:C,$C20,'SW_SP_REP-01'!T:T)</f>
        <v>0</v>
      </c>
      <c r="I20" s="48"/>
      <c r="J20" s="47">
        <f t="shared" si="0"/>
        <v>0</v>
      </c>
    </row>
    <row r="21" thickTop="1" thickBot="1" ht="15.5">
      <c r="B21">
        <f>'SW_SP_REP-01'!B23</f>
        <v>0</v>
      </c>
      <c r="C21">
        <f>'SW_SP_REP-01'!C23</f>
        <v>0</v>
      </c>
      <c r="D21">
        <f>'SW_SP_REP-01'!D23</f>
        <v>0</v>
      </c>
      <c r="E21" t="e">
        <f>_xlfn.XLOOKUP(B21,'SW_SP_BIL-01'!B:B,'SW_SP_BIL-01'!D:D)</f>
        <v>#NAME?</v>
      </c>
      <c r="F21" t="str">
        <f>+IFERROR(VLOOKUP($B21,'Riclassificato con Piano crisi'!$A:$E,4,FALSE),"")</f>
        <v/>
      </c>
      <c r="G21" t="str">
        <f>+IFERROR(VLOOKUP($B21,'Riclassificato con Piano crisi'!$A:$E,5,FALSE),"")</f>
        <v/>
      </c>
      <c r="H21" s="47">
        <f>SUMIF('SW_SP_REP-01'!C:C,$C21,'SW_SP_REP-01'!T:T)</f>
        <v>0</v>
      </c>
      <c r="I21" s="48"/>
      <c r="J21" s="47">
        <f t="shared" si="0"/>
        <v>0</v>
      </c>
    </row>
    <row r="22" thickTop="1" thickBot="1" ht="15.5">
      <c r="B22">
        <f>'SW_SP_REP-01'!B24</f>
        <v>0</v>
      </c>
      <c r="C22">
        <f>'SW_SP_REP-01'!C24</f>
        <v>0</v>
      </c>
      <c r="D22">
        <f>'SW_SP_REP-01'!D24</f>
        <v>0</v>
      </c>
      <c r="E22" t="e">
        <f>_xlfn.XLOOKUP(B22,'SW_SP_BIL-01'!B:B,'SW_SP_BIL-01'!D:D)</f>
        <v>#NAME?</v>
      </c>
      <c r="F22" t="str">
        <f>+IFERROR(VLOOKUP($B22,'Riclassificato con Piano crisi'!$A:$E,4,FALSE),"")</f>
        <v/>
      </c>
      <c r="G22" t="str">
        <f>+IFERROR(VLOOKUP($B22,'Riclassificato con Piano crisi'!$A:$E,5,FALSE),"")</f>
        <v/>
      </c>
      <c r="H22" s="47">
        <f>SUMIF('SW_SP_REP-01'!C:C,$C22,'SW_SP_REP-01'!T:T)</f>
        <v>0</v>
      </c>
      <c r="I22" s="48"/>
      <c r="J22" s="47">
        <f t="shared" si="0"/>
        <v>0</v>
      </c>
    </row>
    <row r="23" thickTop="1" thickBot="1" ht="15.5">
      <c r="B23">
        <f>'SW_SP_REP-01'!B25</f>
        <v>0</v>
      </c>
      <c r="C23">
        <f>'SW_SP_REP-01'!C25</f>
        <v>0</v>
      </c>
      <c r="D23">
        <f>'SW_SP_REP-01'!D25</f>
        <v>0</v>
      </c>
      <c r="E23" t="e">
        <f>_xlfn.XLOOKUP(B23,'SW_SP_BIL-01'!B:B,'SW_SP_BIL-01'!D:D)</f>
        <v>#NAME?</v>
      </c>
      <c r="F23" t="str">
        <f>+IFERROR(VLOOKUP($B23,'Riclassificato con Piano crisi'!$A:$E,4,FALSE),"")</f>
        <v/>
      </c>
      <c r="G23" t="str">
        <f>+IFERROR(VLOOKUP($B23,'Riclassificato con Piano crisi'!$A:$E,5,FALSE),"")</f>
        <v/>
      </c>
      <c r="H23" s="47">
        <f>SUMIF('SW_SP_REP-01'!C:C,$C23,'SW_SP_REP-01'!T:T)</f>
        <v>0</v>
      </c>
      <c r="I23" s="48"/>
      <c r="J23" s="47">
        <f t="shared" si="0"/>
        <v>0</v>
      </c>
    </row>
    <row r="24" thickTop="1" thickBot="1" ht="15.5">
      <c r="B24">
        <f>'SW_SP_REP-01'!B26</f>
        <v>0</v>
      </c>
      <c r="C24">
        <f>'SW_SP_REP-01'!C26</f>
        <v>0</v>
      </c>
      <c r="D24">
        <f>'SW_SP_REP-01'!D26</f>
        <v>0</v>
      </c>
      <c r="E24" t="e">
        <f>_xlfn.XLOOKUP(B24,'SW_SP_BIL-01'!B:B,'SW_SP_BIL-01'!D:D)</f>
        <v>#NAME?</v>
      </c>
      <c r="F24" t="str">
        <f>+IFERROR(VLOOKUP($B24,'Riclassificato con Piano crisi'!$A:$E,4,FALSE),"")</f>
        <v/>
      </c>
      <c r="G24" t="str">
        <f>+IFERROR(VLOOKUP($B24,'Riclassificato con Piano crisi'!$A:$E,5,FALSE),"")</f>
        <v/>
      </c>
      <c r="H24" s="47">
        <f>SUMIF('SW_SP_REP-01'!C:C,$C24,'SW_SP_REP-01'!T:T)</f>
        <v>0</v>
      </c>
      <c r="I24" s="48"/>
      <c r="J24" s="47">
        <f t="shared" si="0"/>
        <v>0</v>
      </c>
    </row>
    <row r="25" thickTop="1" thickBot="1" ht="15.5">
      <c r="B25">
        <f>'SW_SP_REP-01'!B27</f>
        <v>0</v>
      </c>
      <c r="C25">
        <f>'SW_SP_REP-01'!C27</f>
        <v>0</v>
      </c>
      <c r="D25">
        <f>'SW_SP_REP-01'!D27</f>
        <v>0</v>
      </c>
      <c r="E25" t="e">
        <f>_xlfn.XLOOKUP(B25,'SW_SP_BIL-01'!B:B,'SW_SP_BIL-01'!D:D)</f>
        <v>#NAME?</v>
      </c>
      <c r="F25" t="str">
        <f>+IFERROR(VLOOKUP($B25,'Riclassificato con Piano crisi'!$A:$E,4,FALSE),"")</f>
        <v/>
      </c>
      <c r="G25" t="str">
        <f>+IFERROR(VLOOKUP($B25,'Riclassificato con Piano crisi'!$A:$E,5,FALSE),"")</f>
        <v/>
      </c>
      <c r="H25" s="47">
        <f>SUMIF('SW_SP_REP-01'!C:C,$C25,'SW_SP_REP-01'!T:T)</f>
        <v>0</v>
      </c>
      <c r="I25" s="48"/>
      <c r="J25" s="47">
        <f t="shared" si="0"/>
        <v>0</v>
      </c>
    </row>
    <row r="26" thickTop="1" thickBot="1" ht="15.5">
      <c r="B26">
        <f>'SW_SP_REP-01'!B28</f>
        <v>0</v>
      </c>
      <c r="C26">
        <f>'SW_SP_REP-01'!C28</f>
        <v>0</v>
      </c>
      <c r="D26">
        <f>'SW_SP_REP-01'!D28</f>
        <v>0</v>
      </c>
      <c r="E26" t="e">
        <f>_xlfn.XLOOKUP(B26,'SW_SP_BIL-01'!B:B,'SW_SP_BIL-01'!D:D)</f>
        <v>#NAME?</v>
      </c>
      <c r="F26" t="str">
        <f>+IFERROR(VLOOKUP($B26,'Riclassificato con Piano crisi'!$A:$E,4,FALSE),"")</f>
        <v/>
      </c>
      <c r="G26" t="str">
        <f>+IFERROR(VLOOKUP($B26,'Riclassificato con Piano crisi'!$A:$E,5,FALSE),"")</f>
        <v/>
      </c>
      <c r="H26" s="47">
        <f>SUMIF('SW_SP_REP-01'!C:C,$C26,'SW_SP_REP-01'!T:T)</f>
        <v>0</v>
      </c>
      <c r="I26" s="48"/>
      <c r="J26" s="47">
        <f t="shared" si="0"/>
        <v>0</v>
      </c>
    </row>
    <row r="27" thickTop="1" thickBot="1" ht="15.5">
      <c r="B27">
        <f>'SW_SP_REP-01'!B29</f>
        <v>0</v>
      </c>
      <c r="C27">
        <f>'SW_SP_REP-01'!C29</f>
        <v>0</v>
      </c>
      <c r="D27">
        <f>'SW_SP_REP-01'!D29</f>
        <v>0</v>
      </c>
      <c r="E27" t="e">
        <f>_xlfn.XLOOKUP(B27,'SW_SP_BIL-01'!B:B,'SW_SP_BIL-01'!D:D)</f>
        <v>#NAME?</v>
      </c>
      <c r="F27" t="str">
        <f>+IFERROR(VLOOKUP($B27,'Riclassificato con Piano crisi'!$A:$E,4,FALSE),"")</f>
        <v/>
      </c>
      <c r="G27" t="str">
        <f>+IFERROR(VLOOKUP($B27,'Riclassificato con Piano crisi'!$A:$E,5,FALSE),"")</f>
        <v/>
      </c>
      <c r="H27" s="47">
        <f>SUMIF('SW_SP_REP-01'!C:C,$C27,'SW_SP_REP-01'!T:T)</f>
        <v>0</v>
      </c>
      <c r="I27" s="48"/>
      <c r="J27" s="47">
        <f t="shared" si="0"/>
        <v>0</v>
      </c>
    </row>
    <row r="28" thickTop="1" thickBot="1" ht="15.5">
      <c r="B28">
        <f>'SW_SP_REP-01'!B30</f>
        <v>0</v>
      </c>
      <c r="C28">
        <f>'SW_SP_REP-01'!C30</f>
        <v>0</v>
      </c>
      <c r="D28">
        <f>'SW_SP_REP-01'!D30</f>
        <v>0</v>
      </c>
      <c r="E28" t="e">
        <f>_xlfn.XLOOKUP(B28,'SW_SP_BIL-01'!B:B,'SW_SP_BIL-01'!D:D)</f>
        <v>#NAME?</v>
      </c>
      <c r="F28" t="str">
        <f>+IFERROR(VLOOKUP($B28,'Riclassificato con Piano crisi'!$A:$E,4,FALSE),"")</f>
        <v/>
      </c>
      <c r="G28" t="str">
        <f>+IFERROR(VLOOKUP($B28,'Riclassificato con Piano crisi'!$A:$E,5,FALSE),"")</f>
        <v/>
      </c>
      <c r="H28" s="47">
        <f>SUMIF('SW_SP_REP-01'!C:C,$C28,'SW_SP_REP-01'!T:T)</f>
        <v>0</v>
      </c>
      <c r="I28" s="48"/>
      <c r="J28" s="47">
        <f t="shared" si="0"/>
        <v>0</v>
      </c>
    </row>
    <row r="29" thickTop="1" thickBot="1" ht="15.5">
      <c r="B29">
        <f>'SW_SP_REP-01'!B31</f>
        <v>0</v>
      </c>
      <c r="C29">
        <f>'SW_SP_REP-01'!C31</f>
        <v>0</v>
      </c>
      <c r="D29">
        <f>'SW_SP_REP-01'!D31</f>
        <v>0</v>
      </c>
      <c r="E29" t="e">
        <f>_xlfn.XLOOKUP(B29,'SW_SP_BIL-01'!B:B,'SW_SP_BIL-01'!D:D)</f>
        <v>#NAME?</v>
      </c>
      <c r="F29" t="str">
        <f>+IFERROR(VLOOKUP($B29,'Riclassificato con Piano crisi'!$A:$E,4,FALSE),"")</f>
        <v/>
      </c>
      <c r="G29" t="str">
        <f>+IFERROR(VLOOKUP($B29,'Riclassificato con Piano crisi'!$A:$E,5,FALSE),"")</f>
        <v/>
      </c>
      <c r="H29" s="47">
        <f>SUMIF('SW_SP_REP-01'!C:C,$C29,'SW_SP_REP-01'!T:T)</f>
        <v>0</v>
      </c>
      <c r="I29" s="48"/>
      <c r="J29" s="47">
        <f t="shared" si="0"/>
        <v>0</v>
      </c>
    </row>
    <row r="30" thickTop="1" thickBot="1" ht="15.5">
      <c r="B30">
        <f>'SW_SP_REP-01'!B32</f>
        <v>0</v>
      </c>
      <c r="C30">
        <f>'SW_SP_REP-01'!C32</f>
        <v>0</v>
      </c>
      <c r="D30">
        <f>'SW_SP_REP-01'!D32</f>
        <v>0</v>
      </c>
      <c r="E30" t="e">
        <f>_xlfn.XLOOKUP(B30,'SW_SP_BIL-01'!B:B,'SW_SP_BIL-01'!D:D)</f>
        <v>#NAME?</v>
      </c>
      <c r="F30" t="str">
        <f>+IFERROR(VLOOKUP($B30,'Riclassificato con Piano crisi'!$A:$E,4,FALSE),"")</f>
        <v/>
      </c>
      <c r="G30" t="str">
        <f>+IFERROR(VLOOKUP($B30,'Riclassificato con Piano crisi'!$A:$E,5,FALSE),"")</f>
        <v/>
      </c>
      <c r="H30" s="47">
        <f>SUMIF('SW_SP_REP-01'!C:C,$C30,'SW_SP_REP-01'!T:T)</f>
        <v>0</v>
      </c>
      <c r="I30" s="48"/>
      <c r="J30" s="47">
        <f t="shared" si="0"/>
        <v>0</v>
      </c>
    </row>
    <row r="31" thickTop="1" thickBot="1" ht="15.5">
      <c r="B31">
        <f>'SW_SP_REP-01'!B33</f>
        <v>0</v>
      </c>
      <c r="C31">
        <f>'SW_SP_REP-01'!C33</f>
        <v>0</v>
      </c>
      <c r="D31">
        <f>'SW_SP_REP-01'!D33</f>
        <v>0</v>
      </c>
      <c r="E31" t="e">
        <f>_xlfn.XLOOKUP(B31,'SW_SP_BIL-01'!B:B,'SW_SP_BIL-01'!D:D)</f>
        <v>#NAME?</v>
      </c>
      <c r="F31" t="str">
        <f>+IFERROR(VLOOKUP($B31,'Riclassificato con Piano crisi'!$A:$E,4,FALSE),"")</f>
        <v/>
      </c>
      <c r="G31" t="str">
        <f>+IFERROR(VLOOKUP($B31,'Riclassificato con Piano crisi'!$A:$E,5,FALSE),"")</f>
        <v/>
      </c>
      <c r="H31" s="47">
        <f>SUMIF('SW_SP_REP-01'!C:C,$C31,'SW_SP_REP-01'!T:T)</f>
        <v>0</v>
      </c>
      <c r="I31" s="48"/>
      <c r="J31" s="47">
        <f t="shared" si="0"/>
        <v>0</v>
      </c>
    </row>
    <row r="32" thickTop="1" thickBot="1" ht="15.5">
      <c r="B32">
        <f>'SW_SP_REP-01'!B34</f>
        <v>0</v>
      </c>
      <c r="C32">
        <f>'SW_SP_REP-01'!C34</f>
        <v>0</v>
      </c>
      <c r="D32">
        <f>'SW_SP_REP-01'!D34</f>
        <v>0</v>
      </c>
      <c r="E32" t="e">
        <f>_xlfn.XLOOKUP(B32,'SW_SP_BIL-01'!B:B,'SW_SP_BIL-01'!D:D)</f>
        <v>#NAME?</v>
      </c>
      <c r="F32" t="str">
        <f>+IFERROR(VLOOKUP($B32,'Riclassificato con Piano crisi'!$A:$E,4,FALSE),"")</f>
        <v/>
      </c>
      <c r="G32" t="str">
        <f>+IFERROR(VLOOKUP($B32,'Riclassificato con Piano crisi'!$A:$E,5,FALSE),"")</f>
        <v/>
      </c>
      <c r="H32" s="47">
        <f>SUMIF('SW_SP_REP-01'!C:C,$C32,'SW_SP_REP-01'!T:T)</f>
        <v>0</v>
      </c>
      <c r="I32" s="48"/>
      <c r="J32" s="47">
        <f t="shared" si="0"/>
        <v>0</v>
      </c>
    </row>
    <row r="33" thickTop="1" thickBot="1" ht="15.5">
      <c r="B33">
        <f>'SW_SP_REP-01'!B35</f>
        <v>0</v>
      </c>
      <c r="C33">
        <f>'SW_SP_REP-01'!C35</f>
        <v>0</v>
      </c>
      <c r="D33">
        <f>'SW_SP_REP-01'!D35</f>
        <v>0</v>
      </c>
      <c r="E33" t="e">
        <f>_xlfn.XLOOKUP(B33,'SW_SP_BIL-01'!B:B,'SW_SP_BIL-01'!D:D)</f>
        <v>#NAME?</v>
      </c>
      <c r="F33" t="str">
        <f>+IFERROR(VLOOKUP($B33,'Riclassificato con Piano crisi'!$A:$E,4,FALSE),"")</f>
        <v/>
      </c>
      <c r="G33" t="str">
        <f>+IFERROR(VLOOKUP($B33,'Riclassificato con Piano crisi'!$A:$E,5,FALSE),"")</f>
        <v/>
      </c>
      <c r="H33" s="47">
        <f>SUMIF('SW_SP_REP-01'!C:C,$C33,'SW_SP_REP-01'!T:T)</f>
        <v>0</v>
      </c>
      <c r="I33" s="48"/>
      <c r="J33" s="47">
        <f t="shared" si="0"/>
        <v>0</v>
      </c>
    </row>
    <row r="34" thickTop="1" thickBot="1" ht="15.5">
      <c r="B34">
        <f>'SW_SP_REP-01'!B36</f>
        <v>0</v>
      </c>
      <c r="C34">
        <f>'SW_SP_REP-01'!C36</f>
        <v>0</v>
      </c>
      <c r="D34">
        <f>'SW_SP_REP-01'!D36</f>
        <v>0</v>
      </c>
      <c r="E34" t="e">
        <f>_xlfn.XLOOKUP(B34,'SW_SP_BIL-01'!B:B,'SW_SP_BIL-01'!D:D)</f>
        <v>#NAME?</v>
      </c>
      <c r="F34" t="str">
        <f>+IFERROR(VLOOKUP($B34,'Riclassificato con Piano crisi'!$A:$E,4,FALSE),"")</f>
        <v/>
      </c>
      <c r="G34" t="str">
        <f>+IFERROR(VLOOKUP($B34,'Riclassificato con Piano crisi'!$A:$E,5,FALSE),"")</f>
        <v/>
      </c>
      <c r="H34" s="47">
        <f>SUMIF('SW_SP_REP-01'!C:C,$C34,'SW_SP_REP-01'!T:T)</f>
        <v>0</v>
      </c>
      <c r="I34" s="48"/>
      <c r="J34" s="47">
        <f t="shared" si="0"/>
        <v>0</v>
      </c>
    </row>
    <row r="35" thickTop="1" thickBot="1" ht="15.5">
      <c r="B35">
        <f>'SW_SP_REP-01'!B37</f>
        <v>0</v>
      </c>
      <c r="C35">
        <f>'SW_SP_REP-01'!C37</f>
        <v>0</v>
      </c>
      <c r="D35">
        <f>'SW_SP_REP-01'!D37</f>
        <v>0</v>
      </c>
      <c r="E35" t="e">
        <f>_xlfn.XLOOKUP(B35,'SW_SP_BIL-01'!B:B,'SW_SP_BIL-01'!D:D)</f>
        <v>#NAME?</v>
      </c>
      <c r="F35" t="str">
        <f>+IFERROR(VLOOKUP($B35,'Riclassificato con Piano crisi'!$A:$E,4,FALSE),"")</f>
        <v/>
      </c>
      <c r="G35" t="str">
        <f>+IFERROR(VLOOKUP($B35,'Riclassificato con Piano crisi'!$A:$E,5,FALSE),"")</f>
        <v/>
      </c>
      <c r="H35" s="47">
        <f>SUMIF('SW_SP_REP-01'!C:C,$C35,'SW_SP_REP-01'!T:T)</f>
        <v>0</v>
      </c>
      <c r="I35" s="48"/>
      <c r="J35" s="47">
        <f t="shared" si="0"/>
        <v>0</v>
      </c>
    </row>
    <row r="36" thickTop="1" thickBot="1" ht="15.5">
      <c r="B36">
        <f>'SW_SP_REP-01'!B38</f>
        <v>0</v>
      </c>
      <c r="C36">
        <f>'SW_SP_REP-01'!C38</f>
        <v>0</v>
      </c>
      <c r="D36">
        <f>'SW_SP_REP-01'!D38</f>
        <v>0</v>
      </c>
      <c r="E36" t="e">
        <f>_xlfn.XLOOKUP(B36,'SW_SP_BIL-01'!B:B,'SW_SP_BIL-01'!D:D)</f>
        <v>#NAME?</v>
      </c>
      <c r="F36" t="str">
        <f>+IFERROR(VLOOKUP($B36,'Riclassificato con Piano crisi'!$A:$E,4,FALSE),"")</f>
        <v/>
      </c>
      <c r="G36" t="str">
        <f>+IFERROR(VLOOKUP($B36,'Riclassificato con Piano crisi'!$A:$E,5,FALSE),"")</f>
        <v/>
      </c>
      <c r="H36" s="47">
        <f>SUMIF('SW_SP_REP-01'!C:C,$C36,'SW_SP_REP-01'!T:T)</f>
        <v>0</v>
      </c>
      <c r="I36" s="48"/>
      <c r="J36" s="47">
        <f t="shared" si="0"/>
        <v>0</v>
      </c>
    </row>
    <row r="37" thickTop="1" thickBot="1" ht="15.5">
      <c r="B37">
        <f>'SW_SP_REP-01'!B39</f>
        <v>0</v>
      </c>
      <c r="C37">
        <f>'SW_SP_REP-01'!C39</f>
        <v>0</v>
      </c>
      <c r="D37">
        <f>'SW_SP_REP-01'!D39</f>
        <v>0</v>
      </c>
      <c r="E37" t="e">
        <f>_xlfn.XLOOKUP(B37,'SW_SP_BIL-01'!B:B,'SW_SP_BIL-01'!D:D)</f>
        <v>#NAME?</v>
      </c>
      <c r="F37" t="str">
        <f>+IFERROR(VLOOKUP($B37,'Riclassificato con Piano crisi'!$A:$E,4,FALSE),"")</f>
        <v/>
      </c>
      <c r="G37" t="str">
        <f>+IFERROR(VLOOKUP($B37,'Riclassificato con Piano crisi'!$A:$E,5,FALSE),"")</f>
        <v/>
      </c>
      <c r="H37" s="47">
        <f>SUMIF('SW_SP_REP-01'!C:C,$C37,'SW_SP_REP-01'!T:T)</f>
        <v>0</v>
      </c>
      <c r="I37" s="48"/>
      <c r="J37" s="47">
        <f t="shared" si="0"/>
        <v>0</v>
      </c>
    </row>
    <row r="38" thickTop="1" thickBot="1" ht="15.5">
      <c r="B38">
        <f>'SW_SP_REP-01'!B40</f>
        <v>0</v>
      </c>
      <c r="C38">
        <f>'SW_SP_REP-01'!C40</f>
        <v>0</v>
      </c>
      <c r="D38">
        <f>'SW_SP_REP-01'!D40</f>
        <v>0</v>
      </c>
      <c r="E38" t="e">
        <f>_xlfn.XLOOKUP(B38,'SW_SP_BIL-01'!B:B,'SW_SP_BIL-01'!D:D)</f>
        <v>#NAME?</v>
      </c>
      <c r="F38" t="str">
        <f>+IFERROR(VLOOKUP($B38,'Riclassificato con Piano crisi'!$A:$E,4,FALSE),"")</f>
        <v/>
      </c>
      <c r="G38" t="str">
        <f>+IFERROR(VLOOKUP($B38,'Riclassificato con Piano crisi'!$A:$E,5,FALSE),"")</f>
        <v/>
      </c>
      <c r="H38" s="47">
        <f>SUMIF('SW_SP_REP-01'!C:C,$C38,'SW_SP_REP-01'!T:T)</f>
        <v>0</v>
      </c>
      <c r="I38" s="48"/>
      <c r="J38" s="47">
        <f t="shared" si="0"/>
        <v>0</v>
      </c>
    </row>
    <row r="39" thickTop="1" thickBot="1" ht="15.5">
      <c r="B39">
        <f>'SW_SP_REP-01'!B41</f>
        <v>0</v>
      </c>
      <c r="C39">
        <f>'SW_SP_REP-01'!C41</f>
        <v>0</v>
      </c>
      <c r="D39">
        <f>'SW_SP_REP-01'!D41</f>
        <v>0</v>
      </c>
      <c r="E39" t="e">
        <f>_xlfn.XLOOKUP(B39,'SW_SP_BIL-01'!B:B,'SW_SP_BIL-01'!D:D)</f>
        <v>#NAME?</v>
      </c>
      <c r="F39" t="str">
        <f>+IFERROR(VLOOKUP($B39,'Riclassificato con Piano crisi'!$A:$E,4,FALSE),"")</f>
        <v/>
      </c>
      <c r="G39" t="str">
        <f>+IFERROR(VLOOKUP($B39,'Riclassificato con Piano crisi'!$A:$E,5,FALSE),"")</f>
        <v/>
      </c>
      <c r="H39" s="47">
        <f>SUMIF('SW_SP_REP-01'!C:C,$C39,'SW_SP_REP-01'!T:T)</f>
        <v>0</v>
      </c>
      <c r="I39" s="48"/>
      <c r="J39" s="47">
        <f t="shared" si="0"/>
        <v>0</v>
      </c>
    </row>
    <row r="40" thickTop="1" thickBot="1" ht="15.5">
      <c r="B40">
        <f>'SW_SP_REP-01'!B42</f>
        <v>0</v>
      </c>
      <c r="C40">
        <f>'SW_SP_REP-01'!C42</f>
        <v>0</v>
      </c>
      <c r="D40">
        <f>'SW_SP_REP-01'!D42</f>
        <v>0</v>
      </c>
      <c r="E40" t="e">
        <f>_xlfn.XLOOKUP(B40,'SW_SP_BIL-01'!B:B,'SW_SP_BIL-01'!D:D)</f>
        <v>#NAME?</v>
      </c>
      <c r="F40" t="str">
        <f>+IFERROR(VLOOKUP($B40,'Riclassificato con Piano crisi'!$A:$E,4,FALSE),"")</f>
        <v/>
      </c>
      <c r="G40" t="str">
        <f>+IFERROR(VLOOKUP($B40,'Riclassificato con Piano crisi'!$A:$E,5,FALSE),"")</f>
        <v/>
      </c>
      <c r="H40" s="47">
        <f>SUMIF('SW_SP_REP-01'!C:C,$C40,'SW_SP_REP-01'!T:T)</f>
        <v>0</v>
      </c>
      <c r="I40" s="48"/>
      <c r="J40" s="47">
        <f t="shared" si="0"/>
        <v>0</v>
      </c>
    </row>
    <row r="41" thickTop="1" thickBot="1" ht="15.5">
      <c r="B41">
        <f>'SW_SP_REP-01'!B43</f>
        <v>0</v>
      </c>
      <c r="C41">
        <f>'SW_SP_REP-01'!C43</f>
        <v>0</v>
      </c>
      <c r="D41">
        <f>'SW_SP_REP-01'!D43</f>
        <v>0</v>
      </c>
      <c r="E41" t="e">
        <f>_xlfn.XLOOKUP(B41,'SW_SP_BIL-01'!B:B,'SW_SP_BIL-01'!D:D)</f>
        <v>#NAME?</v>
      </c>
      <c r="F41" t="str">
        <f>+IFERROR(VLOOKUP($B41,'Riclassificato con Piano crisi'!$A:$E,4,FALSE),"")</f>
        <v/>
      </c>
      <c r="G41" t="str">
        <f>+IFERROR(VLOOKUP($B41,'Riclassificato con Piano crisi'!$A:$E,5,FALSE),"")</f>
        <v/>
      </c>
      <c r="H41" s="47">
        <f>SUMIF('SW_SP_REP-01'!C:C,$C41,'SW_SP_REP-01'!T:T)</f>
        <v>0</v>
      </c>
      <c r="I41" s="48"/>
      <c r="J41" s="47">
        <f t="shared" si="0"/>
        <v>0</v>
      </c>
    </row>
    <row r="42" thickTop="1" thickBot="1" ht="15.5">
      <c r="B42">
        <f>'SW_SP_REP-01'!B44</f>
        <v>0</v>
      </c>
      <c r="C42">
        <f>'SW_SP_REP-01'!C44</f>
        <v>0</v>
      </c>
      <c r="D42">
        <f>'SW_SP_REP-01'!D44</f>
        <v>0</v>
      </c>
      <c r="E42" t="e">
        <f>_xlfn.XLOOKUP(B42,'SW_SP_BIL-01'!B:B,'SW_SP_BIL-01'!D:D)</f>
        <v>#NAME?</v>
      </c>
      <c r="F42" t="str">
        <f>+IFERROR(VLOOKUP($B42,'Riclassificato con Piano crisi'!$A:$E,4,FALSE),"")</f>
        <v/>
      </c>
      <c r="G42" t="str">
        <f>+IFERROR(VLOOKUP($B42,'Riclassificato con Piano crisi'!$A:$E,5,FALSE),"")</f>
        <v/>
      </c>
      <c r="H42" s="47">
        <f>SUMIF('SW_SP_REP-01'!C:C,$C42,'SW_SP_REP-01'!T:T)</f>
        <v>0</v>
      </c>
      <c r="I42" s="48"/>
      <c r="J42" s="47">
        <f t="shared" si="0"/>
        <v>0</v>
      </c>
    </row>
    <row r="43" thickTop="1" thickBot="1" ht="15.5">
      <c r="B43">
        <f>'SW_SP_REP-01'!B45</f>
        <v>0</v>
      </c>
      <c r="C43">
        <f>'SW_SP_REP-01'!C45</f>
        <v>0</v>
      </c>
      <c r="D43">
        <f>'SW_SP_REP-01'!D45</f>
        <v>0</v>
      </c>
      <c r="E43" t="e">
        <f>_xlfn.XLOOKUP(B43,'SW_SP_BIL-01'!B:B,'SW_SP_BIL-01'!D:D)</f>
        <v>#NAME?</v>
      </c>
      <c r="F43" t="str">
        <f>+IFERROR(VLOOKUP($B43,'Riclassificato con Piano crisi'!$A:$E,4,FALSE),"")</f>
        <v/>
      </c>
      <c r="G43" t="str">
        <f>+IFERROR(VLOOKUP($B43,'Riclassificato con Piano crisi'!$A:$E,5,FALSE),"")</f>
        <v/>
      </c>
      <c r="H43" s="47">
        <f>SUMIF('SW_SP_REP-01'!C:C,$C43,'SW_SP_REP-01'!T:T)</f>
        <v>0</v>
      </c>
      <c r="I43" s="48"/>
      <c r="J43" s="47">
        <f t="shared" si="0"/>
        <v>0</v>
      </c>
    </row>
    <row r="44" thickTop="1" thickBot="1" ht="15.5">
      <c r="B44">
        <f>'SW_SP_REP-01'!B46</f>
        <v>0</v>
      </c>
      <c r="C44">
        <f>'SW_SP_REP-01'!C46</f>
        <v>0</v>
      </c>
      <c r="D44">
        <f>'SW_SP_REP-01'!D46</f>
        <v>0</v>
      </c>
      <c r="E44" t="e">
        <f>_xlfn.XLOOKUP(B44,'SW_SP_BIL-01'!B:B,'SW_SP_BIL-01'!D:D)</f>
        <v>#NAME?</v>
      </c>
      <c r="F44" t="str">
        <f>+IFERROR(VLOOKUP($B44,'Riclassificato con Piano crisi'!$A:$E,4,FALSE),"")</f>
        <v/>
      </c>
      <c r="G44" t="str">
        <f>+IFERROR(VLOOKUP($B44,'Riclassificato con Piano crisi'!$A:$E,5,FALSE),"")</f>
        <v/>
      </c>
      <c r="H44" s="47">
        <f>SUMIF('SW_SP_REP-01'!C:C,$C44,'SW_SP_REP-01'!T:T)</f>
        <v>0</v>
      </c>
      <c r="I44" s="48"/>
      <c r="J44" s="47">
        <f t="shared" si="0"/>
        <v>0</v>
      </c>
    </row>
    <row r="45" thickTop="1" thickBot="1" ht="15.5">
      <c r="B45">
        <f>'SW_SP_REP-01'!B47</f>
        <v>0</v>
      </c>
      <c r="C45">
        <f>'SW_SP_REP-01'!C47</f>
        <v>0</v>
      </c>
      <c r="D45">
        <f>'SW_SP_REP-01'!D47</f>
        <v>0</v>
      </c>
      <c r="E45" t="e">
        <f>_xlfn.XLOOKUP(B45,'SW_SP_BIL-01'!B:B,'SW_SP_BIL-01'!D:D)</f>
        <v>#NAME?</v>
      </c>
      <c r="F45" t="str">
        <f>+IFERROR(VLOOKUP($B45,'Riclassificato con Piano crisi'!$A:$E,4,FALSE),"")</f>
        <v/>
      </c>
      <c r="G45" t="str">
        <f>+IFERROR(VLOOKUP($B45,'Riclassificato con Piano crisi'!$A:$E,5,FALSE),"")</f>
        <v/>
      </c>
      <c r="H45" s="47">
        <f>SUMIF('SW_SP_REP-01'!C:C,$C45,'SW_SP_REP-01'!T:T)</f>
        <v>0</v>
      </c>
      <c r="I45" s="48"/>
      <c r="J45" s="47">
        <f t="shared" si="0"/>
        <v>0</v>
      </c>
    </row>
    <row r="46" thickTop="1" thickBot="1" ht="15.5">
      <c r="B46">
        <f>'SW_SP_REP-01'!B48</f>
        <v>0</v>
      </c>
      <c r="C46">
        <f>'SW_SP_REP-01'!C48</f>
        <v>0</v>
      </c>
      <c r="D46">
        <f>'SW_SP_REP-01'!D48</f>
        <v>0</v>
      </c>
      <c r="E46" t="e">
        <f>_xlfn.XLOOKUP(B46,'SW_SP_BIL-01'!B:B,'SW_SP_BIL-01'!D:D)</f>
        <v>#NAME?</v>
      </c>
      <c r="F46" t="str">
        <f>+IFERROR(VLOOKUP($B46,'Riclassificato con Piano crisi'!$A:$E,4,FALSE),"")</f>
        <v/>
      </c>
      <c r="G46" t="str">
        <f>+IFERROR(VLOOKUP($B46,'Riclassificato con Piano crisi'!$A:$E,5,FALSE),"")</f>
        <v/>
      </c>
      <c r="H46" s="47">
        <f>SUMIF('SW_SP_REP-01'!C:C,$C46,'SW_SP_REP-01'!T:T)</f>
        <v>0</v>
      </c>
      <c r="I46" s="48"/>
      <c r="J46" s="47">
        <f t="shared" si="0"/>
        <v>0</v>
      </c>
    </row>
    <row r="47" thickTop="1" thickBot="1" ht="15.5">
      <c r="B47">
        <f>'SW_SP_REP-01'!B49</f>
        <v>0</v>
      </c>
      <c r="C47">
        <f>'SW_SP_REP-01'!C49</f>
        <v>0</v>
      </c>
      <c r="D47">
        <f>'SW_SP_REP-01'!D49</f>
        <v>0</v>
      </c>
      <c r="E47" t="e">
        <f>_xlfn.XLOOKUP(B47,'SW_SP_BIL-01'!B:B,'SW_SP_BIL-01'!D:D)</f>
        <v>#NAME?</v>
      </c>
      <c r="F47" t="str">
        <f>+IFERROR(VLOOKUP($B47,'Riclassificato con Piano crisi'!$A:$E,4,FALSE),"")</f>
        <v/>
      </c>
      <c r="G47" t="str">
        <f>+IFERROR(VLOOKUP($B47,'Riclassificato con Piano crisi'!$A:$E,5,FALSE),"")</f>
        <v/>
      </c>
      <c r="H47" s="47">
        <f>SUMIF('SW_SP_REP-01'!C:C,$C47,'SW_SP_REP-01'!T:T)</f>
        <v>0</v>
      </c>
      <c r="I47" s="48"/>
      <c r="J47" s="47">
        <f t="shared" si="0"/>
        <v>0</v>
      </c>
    </row>
    <row r="48" thickTop="1" thickBot="1" ht="15.5">
      <c r="B48">
        <f>'SW_SP_REP-01'!B50</f>
        <v>0</v>
      </c>
      <c r="C48">
        <f>'SW_SP_REP-01'!C50</f>
        <v>0</v>
      </c>
      <c r="D48">
        <f>'SW_SP_REP-01'!D50</f>
        <v>0</v>
      </c>
      <c r="E48" t="e">
        <f>_xlfn.XLOOKUP(B48,'SW_SP_BIL-01'!B:B,'SW_SP_BIL-01'!D:D)</f>
        <v>#NAME?</v>
      </c>
      <c r="F48" t="str">
        <f>+IFERROR(VLOOKUP($B48,'Riclassificato con Piano crisi'!$A:$E,4,FALSE),"")</f>
        <v/>
      </c>
      <c r="G48" t="str">
        <f>+IFERROR(VLOOKUP($B48,'Riclassificato con Piano crisi'!$A:$E,5,FALSE),"")</f>
        <v/>
      </c>
      <c r="H48" s="47">
        <f>SUMIF('SW_SP_REP-01'!C:C,$C48,'SW_SP_REP-01'!T:T)</f>
        <v>0</v>
      </c>
      <c r="I48" s="48"/>
      <c r="J48" s="47">
        <f t="shared" si="0"/>
        <v>0</v>
      </c>
    </row>
    <row r="49" thickTop="1" thickBot="1" ht="15.5">
      <c r="B49">
        <f>'SW_SP_REP-01'!B51</f>
        <v>0</v>
      </c>
      <c r="C49">
        <f>'SW_SP_REP-01'!C51</f>
        <v>0</v>
      </c>
      <c r="D49">
        <f>'SW_SP_REP-01'!D51</f>
        <v>0</v>
      </c>
      <c r="E49" t="e">
        <f>_xlfn.XLOOKUP(B49,'SW_SP_BIL-01'!B:B,'SW_SP_BIL-01'!D:D)</f>
        <v>#NAME?</v>
      </c>
      <c r="F49" t="str">
        <f>+IFERROR(VLOOKUP($B49,'Riclassificato con Piano crisi'!$A:$E,4,FALSE),"")</f>
        <v/>
      </c>
      <c r="G49" t="str">
        <f>+IFERROR(VLOOKUP($B49,'Riclassificato con Piano crisi'!$A:$E,5,FALSE),"")</f>
        <v/>
      </c>
      <c r="H49" s="47">
        <f>SUMIF('SW_SP_REP-01'!C:C,$C49,'SW_SP_REP-01'!T:T)</f>
        <v>0</v>
      </c>
      <c r="I49" s="48"/>
      <c r="J49" s="47">
        <f t="shared" si="0"/>
        <v>0</v>
      </c>
    </row>
    <row r="50" thickTop="1" thickBot="1" ht="15.5">
      <c r="B50">
        <f>'SW_SP_REP-01'!B52</f>
        <v>0</v>
      </c>
      <c r="C50">
        <f>'SW_SP_REP-01'!C52</f>
        <v>0</v>
      </c>
      <c r="D50">
        <f>'SW_SP_REP-01'!D52</f>
        <v>0</v>
      </c>
      <c r="E50" t="e">
        <f>_xlfn.XLOOKUP(B50,'SW_SP_BIL-01'!B:B,'SW_SP_BIL-01'!D:D)</f>
        <v>#NAME?</v>
      </c>
      <c r="F50" t="str">
        <f>+IFERROR(VLOOKUP($B50,'Riclassificato con Piano crisi'!$A:$E,4,FALSE),"")</f>
        <v/>
      </c>
      <c r="G50" t="str">
        <f>+IFERROR(VLOOKUP($B50,'Riclassificato con Piano crisi'!$A:$E,5,FALSE),"")</f>
        <v/>
      </c>
      <c r="H50" s="47">
        <f>SUMIF('SW_SP_REP-01'!C:C,$C50,'SW_SP_REP-01'!T:T)</f>
        <v>0</v>
      </c>
      <c r="I50" s="48"/>
      <c r="J50" s="47">
        <f t="shared" si="0"/>
        <v>0</v>
      </c>
    </row>
    <row r="51" thickTop="1" thickBot="1" ht="15.5">
      <c r="B51">
        <f>'SW_SP_REP-01'!B53</f>
        <v>0</v>
      </c>
      <c r="C51">
        <f>'SW_SP_REP-01'!C53</f>
        <v>0</v>
      </c>
      <c r="D51">
        <f>'SW_SP_REP-01'!D53</f>
        <v>0</v>
      </c>
      <c r="E51" t="e">
        <f>_xlfn.XLOOKUP(B51,'SW_SP_BIL-01'!B:B,'SW_SP_BIL-01'!D:D)</f>
        <v>#NAME?</v>
      </c>
      <c r="F51" t="str">
        <f>+IFERROR(VLOOKUP($B51,'Riclassificato con Piano crisi'!$A:$E,4,FALSE),"")</f>
        <v/>
      </c>
      <c r="G51" t="str">
        <f>+IFERROR(VLOOKUP($B51,'Riclassificato con Piano crisi'!$A:$E,5,FALSE),"")</f>
        <v/>
      </c>
      <c r="H51" s="47">
        <f>SUMIF('SW_SP_REP-01'!C:C,$C51,'SW_SP_REP-01'!T:T)</f>
        <v>0</v>
      </c>
      <c r="I51" s="48"/>
      <c r="J51" s="47">
        <f t="shared" si="0"/>
        <v>0</v>
      </c>
    </row>
    <row r="52" thickTop="1" thickBot="1" ht="15.5">
      <c r="B52">
        <f>'SW_SP_REP-01'!B54</f>
        <v>0</v>
      </c>
      <c r="C52">
        <f>'SW_SP_REP-01'!C54</f>
        <v>0</v>
      </c>
      <c r="D52">
        <f>'SW_SP_REP-01'!D54</f>
        <v>0</v>
      </c>
      <c r="E52" t="e">
        <f>_xlfn.XLOOKUP(B52,'SW_SP_BIL-01'!B:B,'SW_SP_BIL-01'!D:D)</f>
        <v>#NAME?</v>
      </c>
      <c r="F52" t="str">
        <f>+IFERROR(VLOOKUP($B52,'Riclassificato con Piano crisi'!$A:$E,4,FALSE),"")</f>
        <v/>
      </c>
      <c r="G52" t="str">
        <f>+IFERROR(VLOOKUP($B52,'Riclassificato con Piano crisi'!$A:$E,5,FALSE),"")</f>
        <v/>
      </c>
      <c r="H52" s="47">
        <f>SUMIF('SW_SP_REP-01'!C:C,$C52,'SW_SP_REP-01'!T:T)</f>
        <v>0</v>
      </c>
      <c r="I52" s="48"/>
      <c r="J52" s="47">
        <f t="shared" si="0"/>
        <v>0</v>
      </c>
    </row>
    <row r="53" thickTop="1" thickBot="1" ht="15.5">
      <c r="B53">
        <f>'SW_SP_REP-01'!B55</f>
        <v>0</v>
      </c>
      <c r="C53">
        <f>'SW_SP_REP-01'!C55</f>
        <v>0</v>
      </c>
      <c r="D53">
        <f>'SW_SP_REP-01'!D55</f>
        <v>0</v>
      </c>
      <c r="E53" t="e">
        <f>_xlfn.XLOOKUP(B53,'SW_SP_BIL-01'!B:B,'SW_SP_BIL-01'!D:D)</f>
        <v>#NAME?</v>
      </c>
      <c r="F53" t="str">
        <f>+IFERROR(VLOOKUP($B53,'Riclassificato con Piano crisi'!$A:$E,4,FALSE),"")</f>
        <v/>
      </c>
      <c r="G53" t="str">
        <f>+IFERROR(VLOOKUP($B53,'Riclassificato con Piano crisi'!$A:$E,5,FALSE),"")</f>
        <v/>
      </c>
      <c r="H53" s="47">
        <f>SUMIF('SW_SP_REP-01'!C:C,$C53,'SW_SP_REP-01'!T:T)</f>
        <v>0</v>
      </c>
      <c r="I53" s="48"/>
      <c r="J53" s="47">
        <f t="shared" si="0"/>
        <v>0</v>
      </c>
    </row>
    <row r="54" thickTop="1" thickBot="1" ht="15.5">
      <c r="B54">
        <f>'SW_SP_REP-01'!B56</f>
        <v>0</v>
      </c>
      <c r="C54">
        <f>'SW_SP_REP-01'!C56</f>
        <v>0</v>
      </c>
      <c r="D54">
        <f>'SW_SP_REP-01'!D56</f>
        <v>0</v>
      </c>
      <c r="E54" t="e">
        <f>_xlfn.XLOOKUP(B54,'SW_SP_BIL-01'!B:B,'SW_SP_BIL-01'!D:D)</f>
        <v>#NAME?</v>
      </c>
      <c r="F54" t="str">
        <f>+IFERROR(VLOOKUP($B54,'Riclassificato con Piano crisi'!$A:$E,4,FALSE),"")</f>
        <v/>
      </c>
      <c r="G54" t="str">
        <f>+IFERROR(VLOOKUP($B54,'Riclassificato con Piano crisi'!$A:$E,5,FALSE),"")</f>
        <v/>
      </c>
      <c r="H54" s="47">
        <f>SUMIF('SW_SP_REP-01'!C:C,$C54,'SW_SP_REP-01'!T:T)</f>
        <v>0</v>
      </c>
      <c r="I54" s="48"/>
      <c r="J54" s="47">
        <f t="shared" si="0"/>
        <v>0</v>
      </c>
    </row>
    <row r="55" thickTop="1" thickBot="1" ht="15.5">
      <c r="B55">
        <f>'SW_SP_REP-01'!B57</f>
        <v>0</v>
      </c>
      <c r="C55">
        <f>'SW_SP_REP-01'!C57</f>
        <v>0</v>
      </c>
      <c r="D55">
        <f>'SW_SP_REP-01'!D57</f>
        <v>0</v>
      </c>
      <c r="E55" t="e">
        <f>_xlfn.XLOOKUP(B55,'SW_SP_BIL-01'!B:B,'SW_SP_BIL-01'!D:D)</f>
        <v>#NAME?</v>
      </c>
      <c r="F55" t="str">
        <f>+IFERROR(VLOOKUP($B55,'Riclassificato con Piano crisi'!$A:$E,4,FALSE),"")</f>
        <v/>
      </c>
      <c r="G55" t="str">
        <f>+IFERROR(VLOOKUP($B55,'Riclassificato con Piano crisi'!$A:$E,5,FALSE),"")</f>
        <v/>
      </c>
      <c r="H55" s="47">
        <f>SUMIF('SW_SP_REP-01'!C:C,$C55,'SW_SP_REP-01'!T:T)</f>
        <v>0</v>
      </c>
      <c r="I55" s="48"/>
      <c r="J55" s="47">
        <f t="shared" si="0"/>
        <v>0</v>
      </c>
    </row>
    <row r="56" thickTop="1" thickBot="1" ht="15.5">
      <c r="B56">
        <f>'SW_SP_REP-01'!B58</f>
        <v>0</v>
      </c>
      <c r="C56">
        <f>'SW_SP_REP-01'!C58</f>
        <v>0</v>
      </c>
      <c r="D56">
        <f>'SW_SP_REP-01'!D58</f>
        <v>0</v>
      </c>
      <c r="E56" t="e">
        <f>_xlfn.XLOOKUP(B56,'SW_SP_BIL-01'!B:B,'SW_SP_BIL-01'!D:D)</f>
        <v>#NAME?</v>
      </c>
      <c r="F56" t="str">
        <f>+IFERROR(VLOOKUP($B56,'Riclassificato con Piano crisi'!$A:$E,4,FALSE),"")</f>
        <v/>
      </c>
      <c r="G56" t="str">
        <f>+IFERROR(VLOOKUP($B56,'Riclassificato con Piano crisi'!$A:$E,5,FALSE),"")</f>
        <v/>
      </c>
      <c r="H56" s="47">
        <f>SUMIF('SW_SP_REP-01'!C:C,$C56,'SW_SP_REP-01'!T:T)</f>
        <v>0</v>
      </c>
      <c r="I56" s="48"/>
      <c r="J56" s="47">
        <f t="shared" si="0"/>
        <v>0</v>
      </c>
    </row>
    <row r="57" thickTop="1" thickBot="1" ht="15.5">
      <c r="B57">
        <f>'SW_SP_REP-01'!B59</f>
        <v>0</v>
      </c>
      <c r="C57">
        <f>'SW_SP_REP-01'!C59</f>
        <v>0</v>
      </c>
      <c r="D57">
        <f>'SW_SP_REP-01'!D59</f>
        <v>0</v>
      </c>
      <c r="E57" t="e">
        <f>_xlfn.XLOOKUP(B57,'SW_SP_BIL-01'!B:B,'SW_SP_BIL-01'!D:D)</f>
        <v>#NAME?</v>
      </c>
      <c r="F57" t="str">
        <f>+IFERROR(VLOOKUP($B57,'Riclassificato con Piano crisi'!$A:$E,4,FALSE),"")</f>
        <v/>
      </c>
      <c r="G57" t="str">
        <f>+IFERROR(VLOOKUP($B57,'Riclassificato con Piano crisi'!$A:$E,5,FALSE),"")</f>
        <v/>
      </c>
      <c r="H57" s="47">
        <f>SUMIF('SW_SP_REP-01'!C:C,$C57,'SW_SP_REP-01'!T:T)</f>
        <v>0</v>
      </c>
      <c r="I57" s="48"/>
      <c r="J57" s="47">
        <f t="shared" si="0"/>
        <v>0</v>
      </c>
    </row>
    <row r="58" thickTop="1" thickBot="1" ht="15.5">
      <c r="B58">
        <f>'SW_SP_REP-01'!B60</f>
        <v>0</v>
      </c>
      <c r="C58">
        <f>'SW_SP_REP-01'!C60</f>
        <v>0</v>
      </c>
      <c r="D58">
        <f>'SW_SP_REP-01'!D60</f>
        <v>0</v>
      </c>
      <c r="E58" t="e">
        <f>_xlfn.XLOOKUP(B58,'SW_SP_BIL-01'!B:B,'SW_SP_BIL-01'!D:D)</f>
        <v>#NAME?</v>
      </c>
      <c r="F58" t="str">
        <f>+IFERROR(VLOOKUP($B58,'Riclassificato con Piano crisi'!$A:$E,4,FALSE),"")</f>
        <v/>
      </c>
      <c r="G58" t="str">
        <f>+IFERROR(VLOOKUP($B58,'Riclassificato con Piano crisi'!$A:$E,5,FALSE),"")</f>
        <v/>
      </c>
      <c r="H58" s="47">
        <f>SUMIF('SW_SP_REP-01'!C:C,$C58,'SW_SP_REP-01'!T:T)</f>
        <v>0</v>
      </c>
      <c r="I58" s="48"/>
      <c r="J58" s="47">
        <f t="shared" si="0"/>
        <v>0</v>
      </c>
    </row>
    <row r="59" thickTop="1" thickBot="1" ht="15.5">
      <c r="B59">
        <f>'SW_SP_REP-01'!B61</f>
        <v>0</v>
      </c>
      <c r="C59">
        <f>'SW_SP_REP-01'!C61</f>
        <v>0</v>
      </c>
      <c r="D59">
        <f>'SW_SP_REP-01'!D61</f>
        <v>0</v>
      </c>
      <c r="E59" t="e">
        <f>_xlfn.XLOOKUP(B59,'SW_SP_BIL-01'!B:B,'SW_SP_BIL-01'!D:D)</f>
        <v>#NAME?</v>
      </c>
      <c r="F59" t="str">
        <f>+IFERROR(VLOOKUP($B59,'Riclassificato con Piano crisi'!$A:$E,4,FALSE),"")</f>
        <v/>
      </c>
      <c r="G59" t="str">
        <f>+IFERROR(VLOOKUP($B59,'Riclassificato con Piano crisi'!$A:$E,5,FALSE),"")</f>
        <v/>
      </c>
      <c r="H59" s="47">
        <f>SUMIF('SW_SP_REP-01'!C:C,$C59,'SW_SP_REP-01'!T:T)</f>
        <v>0</v>
      </c>
      <c r="I59" s="48"/>
      <c r="J59" s="47">
        <f t="shared" si="0"/>
        <v>0</v>
      </c>
    </row>
    <row r="60" thickTop="1" thickBot="1" ht="15.5">
      <c r="B60">
        <f>'SW_SP_REP-01'!B62</f>
        <v>0</v>
      </c>
      <c r="C60">
        <f>'SW_SP_REP-01'!C62</f>
        <v>0</v>
      </c>
      <c r="D60">
        <f>'SW_SP_REP-01'!D62</f>
        <v>0</v>
      </c>
      <c r="E60" t="e">
        <f>_xlfn.XLOOKUP(B60,'SW_SP_BIL-01'!B:B,'SW_SP_BIL-01'!D:D)</f>
        <v>#NAME?</v>
      </c>
      <c r="F60" t="str">
        <f>+IFERROR(VLOOKUP($B60,'Riclassificato con Piano crisi'!$A:$E,4,FALSE),"")</f>
        <v/>
      </c>
      <c r="G60" t="str">
        <f>+IFERROR(VLOOKUP($B60,'Riclassificato con Piano crisi'!$A:$E,5,FALSE),"")</f>
        <v/>
      </c>
      <c r="H60" s="47">
        <f>SUMIF('SW_SP_REP-01'!C:C,$C60,'SW_SP_REP-01'!T:T)</f>
        <v>0</v>
      </c>
      <c r="I60" s="48"/>
      <c r="J60" s="47">
        <f t="shared" si="0"/>
        <v>0</v>
      </c>
    </row>
    <row r="61" thickTop="1" thickBot="1" ht="15.5">
      <c r="B61">
        <f>'SW_SP_REP-01'!B63</f>
        <v>0</v>
      </c>
      <c r="C61">
        <f>'SW_SP_REP-01'!C63</f>
        <v>0</v>
      </c>
      <c r="D61">
        <f>'SW_SP_REP-01'!D63</f>
        <v>0</v>
      </c>
      <c r="E61" t="e">
        <f>_xlfn.XLOOKUP(B61,'SW_SP_BIL-01'!B:B,'SW_SP_BIL-01'!D:D)</f>
        <v>#NAME?</v>
      </c>
      <c r="F61" t="str">
        <f>+IFERROR(VLOOKUP($B61,'Riclassificato con Piano crisi'!$A:$E,4,FALSE),"")</f>
        <v/>
      </c>
      <c r="G61" t="str">
        <f>+IFERROR(VLOOKUP($B61,'Riclassificato con Piano crisi'!$A:$E,5,FALSE),"")</f>
        <v/>
      </c>
      <c r="H61" s="47">
        <f>SUMIF('SW_SP_REP-01'!C:C,$C61,'SW_SP_REP-01'!T:T)</f>
        <v>0</v>
      </c>
      <c r="I61" s="48"/>
      <c r="J61" s="47">
        <f t="shared" si="0"/>
        <v>0</v>
      </c>
    </row>
    <row r="62" thickTop="1" thickBot="1" ht="15.5">
      <c r="B62">
        <f>'SW_SP_REP-01'!B64</f>
        <v>0</v>
      </c>
      <c r="C62">
        <f>'SW_SP_REP-01'!C64</f>
        <v>0</v>
      </c>
      <c r="D62">
        <f>'SW_SP_REP-01'!D64</f>
        <v>0</v>
      </c>
      <c r="E62" t="e">
        <f>_xlfn.XLOOKUP(B62,'SW_SP_BIL-01'!B:B,'SW_SP_BIL-01'!D:D)</f>
        <v>#NAME?</v>
      </c>
      <c r="F62" t="str">
        <f>+IFERROR(VLOOKUP($B62,'Riclassificato con Piano crisi'!$A:$E,4,FALSE),"")</f>
        <v/>
      </c>
      <c r="G62" t="str">
        <f>+IFERROR(VLOOKUP($B62,'Riclassificato con Piano crisi'!$A:$E,5,FALSE),"")</f>
        <v/>
      </c>
      <c r="H62" s="47">
        <f>SUMIF('SW_SP_REP-01'!C:C,$C62,'SW_SP_REP-01'!T:T)</f>
        <v>0</v>
      </c>
      <c r="I62" s="48"/>
      <c r="J62" s="47">
        <f t="shared" si="0"/>
        <v>0</v>
      </c>
    </row>
    <row r="63" thickTop="1" thickBot="1" ht="15.5">
      <c r="B63">
        <f>'SW_SP_REP-01'!B65</f>
        <v>0</v>
      </c>
      <c r="C63">
        <f>'SW_SP_REP-01'!C65</f>
        <v>0</v>
      </c>
      <c r="D63">
        <f>'SW_SP_REP-01'!D65</f>
        <v>0</v>
      </c>
      <c r="E63" t="e">
        <f>_xlfn.XLOOKUP(B63,'SW_SP_BIL-01'!B:B,'SW_SP_BIL-01'!D:D)</f>
        <v>#NAME?</v>
      </c>
      <c r="F63" t="str">
        <f>+IFERROR(VLOOKUP($B63,'Riclassificato con Piano crisi'!$A:$E,4,FALSE),"")</f>
        <v/>
      </c>
      <c r="G63" t="str">
        <f>+IFERROR(VLOOKUP($B63,'Riclassificato con Piano crisi'!$A:$E,5,FALSE),"")</f>
        <v/>
      </c>
      <c r="H63" s="47">
        <f>SUMIF('SW_SP_REP-01'!C:C,$C63,'SW_SP_REP-01'!T:T)</f>
        <v>0</v>
      </c>
      <c r="I63" s="48"/>
      <c r="J63" s="47">
        <f t="shared" si="0"/>
        <v>0</v>
      </c>
    </row>
    <row r="64" thickTop="1" thickBot="1" ht="15.5">
      <c r="B64">
        <f>'SW_SP_REP-01'!B66</f>
        <v>0</v>
      </c>
      <c r="C64">
        <f>'SW_SP_REP-01'!C66</f>
        <v>0</v>
      </c>
      <c r="D64">
        <f>'SW_SP_REP-01'!D66</f>
        <v>0</v>
      </c>
      <c r="E64" t="e">
        <f>_xlfn.XLOOKUP(B64,'SW_SP_BIL-01'!B:B,'SW_SP_BIL-01'!D:D)</f>
        <v>#NAME?</v>
      </c>
      <c r="F64" t="str">
        <f>+IFERROR(VLOOKUP($B64,'Riclassificato con Piano crisi'!$A:$E,4,FALSE),"")</f>
        <v/>
      </c>
      <c r="G64" t="str">
        <f>+IFERROR(VLOOKUP($B64,'Riclassificato con Piano crisi'!$A:$E,5,FALSE),"")</f>
        <v/>
      </c>
      <c r="H64" s="47">
        <f>SUMIF('SW_SP_REP-01'!C:C,$C64,'SW_SP_REP-01'!T:T)</f>
        <v>0</v>
      </c>
      <c r="I64" s="48"/>
      <c r="J64" s="47">
        <f t="shared" si="0"/>
        <v>0</v>
      </c>
    </row>
    <row r="65" thickTop="1" thickBot="1" ht="15.5">
      <c r="B65">
        <f>'SW_SP_REP-01'!B67</f>
        <v>0</v>
      </c>
      <c r="C65">
        <f>'SW_SP_REP-01'!C67</f>
        <v>0</v>
      </c>
      <c r="D65">
        <f>'SW_SP_REP-01'!D67</f>
        <v>0</v>
      </c>
      <c r="E65" t="e">
        <f>_xlfn.XLOOKUP(B65,'SW_SP_BIL-01'!B:B,'SW_SP_BIL-01'!D:D)</f>
        <v>#NAME?</v>
      </c>
      <c r="F65" t="str">
        <f>+IFERROR(VLOOKUP($B65,'Riclassificato con Piano crisi'!$A:$E,4,FALSE),"")</f>
        <v/>
      </c>
      <c r="G65" t="str">
        <f>+IFERROR(VLOOKUP($B65,'Riclassificato con Piano crisi'!$A:$E,5,FALSE),"")</f>
        <v/>
      </c>
      <c r="H65" s="47">
        <f>SUMIF('SW_SP_REP-01'!C:C,$C65,'SW_SP_REP-01'!T:T)</f>
        <v>0</v>
      </c>
      <c r="I65" s="48"/>
      <c r="J65" s="47">
        <f t="shared" si="0"/>
        <v>0</v>
      </c>
    </row>
    <row r="66" thickTop="1" thickBot="1" ht="15.5">
      <c r="B66">
        <f>'SW_SP_REP-01'!B68</f>
        <v>0</v>
      </c>
      <c r="C66">
        <f>'SW_SP_REP-01'!C68</f>
        <v>0</v>
      </c>
      <c r="D66">
        <f>'SW_SP_REP-01'!D68</f>
        <v>0</v>
      </c>
      <c r="E66" t="e">
        <f>_xlfn.XLOOKUP(B66,'SW_SP_BIL-01'!B:B,'SW_SP_BIL-01'!D:D)</f>
        <v>#NAME?</v>
      </c>
      <c r="F66" t="str">
        <f>+IFERROR(VLOOKUP($B66,'Riclassificato con Piano crisi'!$A:$E,4,FALSE),"")</f>
        <v/>
      </c>
      <c r="G66" t="str">
        <f>+IFERROR(VLOOKUP($B66,'Riclassificato con Piano crisi'!$A:$E,5,FALSE),"")</f>
        <v/>
      </c>
      <c r="H66" s="47">
        <f>SUMIF('SW_SP_REP-01'!C:C,$C66,'SW_SP_REP-01'!T:T)</f>
        <v>0</v>
      </c>
      <c r="I66" s="48"/>
      <c r="J66" s="47">
        <f t="shared" si="0"/>
        <v>0</v>
      </c>
    </row>
    <row r="67" thickTop="1" thickBot="1" ht="15.5">
      <c r="B67">
        <f>'SW_SP_REP-01'!B69</f>
        <v>0</v>
      </c>
      <c r="C67">
        <f>'SW_SP_REP-01'!C69</f>
        <v>0</v>
      </c>
      <c r="D67">
        <f>'SW_SP_REP-01'!D69</f>
        <v>0</v>
      </c>
      <c r="E67" t="e">
        <f>_xlfn.XLOOKUP(B67,'SW_SP_BIL-01'!B:B,'SW_SP_BIL-01'!D:D)</f>
        <v>#NAME?</v>
      </c>
      <c r="F67" t="str">
        <f>+IFERROR(VLOOKUP($B67,'Riclassificato con Piano crisi'!$A:$E,4,FALSE),"")</f>
        <v/>
      </c>
      <c r="G67" t="str">
        <f>+IFERROR(VLOOKUP($B67,'Riclassificato con Piano crisi'!$A:$E,5,FALSE),"")</f>
        <v/>
      </c>
      <c r="H67" s="47">
        <f>SUMIF('SW_SP_REP-01'!C:C,$C67,'SW_SP_REP-01'!T:T)</f>
        <v>0</v>
      </c>
      <c r="I67" s="48"/>
      <c r="J67" s="47">
        <f t="shared" ref="J67:J126" si="1">H67+I67</f>
        <v>0</v>
      </c>
    </row>
    <row r="68" thickTop="1" thickBot="1" ht="15.5">
      <c r="B68">
        <f>'SW_SP_REP-01'!B70</f>
        <v>0</v>
      </c>
      <c r="C68">
        <f>'SW_SP_REP-01'!C70</f>
        <v>0</v>
      </c>
      <c r="D68">
        <f>'SW_SP_REP-01'!D70</f>
        <v>0</v>
      </c>
      <c r="E68" t="e">
        <f>_xlfn.XLOOKUP(B68,'SW_SP_BIL-01'!B:B,'SW_SP_BIL-01'!D:D)</f>
        <v>#NAME?</v>
      </c>
      <c r="F68" t="str">
        <f>+IFERROR(VLOOKUP($B68,'Riclassificato con Piano crisi'!$A:$E,4,FALSE),"")</f>
        <v/>
      </c>
      <c r="G68" t="str">
        <f>+IFERROR(VLOOKUP($B68,'Riclassificato con Piano crisi'!$A:$E,5,FALSE),"")</f>
        <v/>
      </c>
      <c r="H68" s="47">
        <f>SUMIF('SW_SP_REP-01'!C:C,$C68,'SW_SP_REP-01'!T:T)</f>
        <v>0</v>
      </c>
      <c r="I68" s="48"/>
      <c r="J68" s="47">
        <f t="shared" si="1"/>
        <v>0</v>
      </c>
    </row>
    <row r="69" thickTop="1" thickBot="1" ht="15.5">
      <c r="B69">
        <f>'SW_SP_REP-01'!B71</f>
        <v>0</v>
      </c>
      <c r="C69">
        <f>'SW_SP_REP-01'!C71</f>
        <v>0</v>
      </c>
      <c r="D69">
        <f>'SW_SP_REP-01'!D71</f>
        <v>0</v>
      </c>
      <c r="E69" t="e">
        <f>_xlfn.XLOOKUP(B69,'SW_SP_BIL-01'!B:B,'SW_SP_BIL-01'!D:D)</f>
        <v>#NAME?</v>
      </c>
      <c r="F69" t="str">
        <f>+IFERROR(VLOOKUP($B69,'Riclassificato con Piano crisi'!$A:$E,4,FALSE),"")</f>
        <v/>
      </c>
      <c r="G69" t="str">
        <f>+IFERROR(VLOOKUP($B69,'Riclassificato con Piano crisi'!$A:$E,5,FALSE),"")</f>
        <v/>
      </c>
      <c r="H69" s="47">
        <f>SUMIF('SW_SP_REP-01'!C:C,$C69,'SW_SP_REP-01'!T:T)</f>
        <v>0</v>
      </c>
      <c r="I69" s="48"/>
      <c r="J69" s="47">
        <f t="shared" si="1"/>
        <v>0</v>
      </c>
    </row>
    <row r="70" thickTop="1" thickBot="1" ht="15.5">
      <c r="B70">
        <f>'SW_SP_REP-01'!B72</f>
        <v>0</v>
      </c>
      <c r="C70">
        <f>'SW_SP_REP-01'!C72</f>
        <v>0</v>
      </c>
      <c r="D70">
        <f>'SW_SP_REP-01'!D72</f>
        <v>0</v>
      </c>
      <c r="E70" t="e">
        <f>_xlfn.XLOOKUP(B70,'SW_SP_BIL-01'!B:B,'SW_SP_BIL-01'!D:D)</f>
        <v>#NAME?</v>
      </c>
      <c r="F70" t="str">
        <f>+IFERROR(VLOOKUP($B70,'Riclassificato con Piano crisi'!$A:$E,4,FALSE),"")</f>
        <v/>
      </c>
      <c r="G70" t="str">
        <f>+IFERROR(VLOOKUP($B70,'Riclassificato con Piano crisi'!$A:$E,5,FALSE),"")</f>
        <v/>
      </c>
      <c r="H70" s="47">
        <f>SUMIF('SW_SP_REP-01'!C:C,$C70,'SW_SP_REP-01'!T:T)</f>
        <v>0</v>
      </c>
      <c r="I70" s="48"/>
      <c r="J70" s="47">
        <f t="shared" si="1"/>
        <v>0</v>
      </c>
    </row>
    <row r="71" thickTop="1" thickBot="1" ht="15.5">
      <c r="B71">
        <f>'SW_SP_REP-01'!B73</f>
        <v>0</v>
      </c>
      <c r="C71">
        <f>'SW_SP_REP-01'!C73</f>
        <v>0</v>
      </c>
      <c r="D71">
        <f>'SW_SP_REP-01'!D73</f>
        <v>0</v>
      </c>
      <c r="E71" t="e">
        <f>_xlfn.XLOOKUP(B71,'SW_SP_BIL-01'!B:B,'SW_SP_BIL-01'!D:D)</f>
        <v>#NAME?</v>
      </c>
      <c r="F71" t="str">
        <f>+IFERROR(VLOOKUP($B71,'Riclassificato con Piano crisi'!$A:$E,4,FALSE),"")</f>
        <v/>
      </c>
      <c r="G71" t="str">
        <f>+IFERROR(VLOOKUP($B71,'Riclassificato con Piano crisi'!$A:$E,5,FALSE),"")</f>
        <v/>
      </c>
      <c r="H71" s="47">
        <f>SUMIF('SW_SP_REP-01'!C:C,$C71,'SW_SP_REP-01'!T:T)</f>
        <v>0</v>
      </c>
      <c r="I71" s="48"/>
      <c r="J71" s="47">
        <f t="shared" si="1"/>
        <v>0</v>
      </c>
    </row>
    <row r="72" thickTop="1" thickBot="1" ht="15.5">
      <c r="B72">
        <f>'SW_SP_REP-01'!B74</f>
        <v>0</v>
      </c>
      <c r="C72">
        <f>'SW_SP_REP-01'!C74</f>
        <v>0</v>
      </c>
      <c r="D72">
        <f>'SW_SP_REP-01'!D74</f>
        <v>0</v>
      </c>
      <c r="E72" t="e">
        <f>_xlfn.XLOOKUP(B72,'SW_SP_BIL-01'!B:B,'SW_SP_BIL-01'!D:D)</f>
        <v>#NAME?</v>
      </c>
      <c r="F72" t="str">
        <f>+IFERROR(VLOOKUP($B72,'Riclassificato con Piano crisi'!$A:$E,4,FALSE),"")</f>
        <v/>
      </c>
      <c r="G72" t="str">
        <f>+IFERROR(VLOOKUP($B72,'Riclassificato con Piano crisi'!$A:$E,5,FALSE),"")</f>
        <v/>
      </c>
      <c r="H72" s="47">
        <f>SUMIF('SW_SP_REP-01'!C:C,$C72,'SW_SP_REP-01'!T:T)</f>
        <v>0</v>
      </c>
      <c r="I72" s="48"/>
      <c r="J72" s="47">
        <f t="shared" si="1"/>
        <v>0</v>
      </c>
    </row>
    <row r="73" thickTop="1" thickBot="1" ht="15.5">
      <c r="B73">
        <f>'SW_SP_REP-01'!B75</f>
        <v>0</v>
      </c>
      <c r="C73">
        <f>'SW_SP_REP-01'!C75</f>
        <v>0</v>
      </c>
      <c r="D73">
        <f>'SW_SP_REP-01'!D75</f>
        <v>0</v>
      </c>
      <c r="E73" t="e">
        <f>_xlfn.XLOOKUP(B73,'SW_SP_BIL-01'!B:B,'SW_SP_BIL-01'!D:D)</f>
        <v>#NAME?</v>
      </c>
      <c r="F73" t="str">
        <f>+IFERROR(VLOOKUP($B73,'Riclassificato con Piano crisi'!$A:$E,4,FALSE),"")</f>
        <v/>
      </c>
      <c r="G73" t="str">
        <f>+IFERROR(VLOOKUP($B73,'Riclassificato con Piano crisi'!$A:$E,5,FALSE),"")</f>
        <v/>
      </c>
      <c r="H73" s="47">
        <f>SUMIF('SW_SP_REP-01'!C:C,$C73,'SW_SP_REP-01'!T:T)</f>
        <v>0</v>
      </c>
      <c r="I73" s="48"/>
      <c r="J73" s="47">
        <f t="shared" si="1"/>
        <v>0</v>
      </c>
    </row>
    <row r="74" thickTop="1" thickBot="1" ht="15.5">
      <c r="B74">
        <f>'SW_SP_REP-01'!B76</f>
        <v>0</v>
      </c>
      <c r="C74">
        <f>'SW_SP_REP-01'!C76</f>
        <v>0</v>
      </c>
      <c r="D74">
        <f>'SW_SP_REP-01'!D76</f>
        <v>0</v>
      </c>
      <c r="E74" t="e">
        <f>_xlfn.XLOOKUP(B74,'SW_SP_BIL-01'!B:B,'SW_SP_BIL-01'!D:D)</f>
        <v>#NAME?</v>
      </c>
      <c r="F74" t="str">
        <f>+IFERROR(VLOOKUP($B74,'Riclassificato con Piano crisi'!$A:$E,4,FALSE),"")</f>
        <v/>
      </c>
      <c r="G74" t="str">
        <f>+IFERROR(VLOOKUP($B74,'Riclassificato con Piano crisi'!$A:$E,5,FALSE),"")</f>
        <v/>
      </c>
      <c r="H74" s="47">
        <f>SUMIF('SW_SP_REP-01'!C:C,$C74,'SW_SP_REP-01'!T:T)</f>
        <v>0</v>
      </c>
      <c r="I74" s="48"/>
      <c r="J74" s="47">
        <f t="shared" si="1"/>
        <v>0</v>
      </c>
    </row>
    <row r="75" thickTop="1" thickBot="1" ht="15.5">
      <c r="B75">
        <f>'SW_SP_REP-01'!B77</f>
        <v>0</v>
      </c>
      <c r="C75">
        <f>'SW_SP_REP-01'!C77</f>
        <v>0</v>
      </c>
      <c r="D75">
        <f>'SW_SP_REP-01'!D77</f>
        <v>0</v>
      </c>
      <c r="E75" t="e">
        <f>_xlfn.XLOOKUP(B75,'SW_SP_BIL-01'!B:B,'SW_SP_BIL-01'!D:D)</f>
        <v>#NAME?</v>
      </c>
      <c r="F75" t="str">
        <f>+IFERROR(VLOOKUP($B75,'Riclassificato con Piano crisi'!$A:$E,4,FALSE),"")</f>
        <v/>
      </c>
      <c r="G75" t="str">
        <f>+IFERROR(VLOOKUP($B75,'Riclassificato con Piano crisi'!$A:$E,5,FALSE),"")</f>
        <v/>
      </c>
      <c r="H75" s="47">
        <f>SUMIF('SW_SP_REP-01'!C:C,$C75,'SW_SP_REP-01'!T:T)</f>
        <v>0</v>
      </c>
      <c r="I75" s="48"/>
      <c r="J75" s="47">
        <f t="shared" si="1"/>
        <v>0</v>
      </c>
    </row>
    <row r="76" thickTop="1" thickBot="1" ht="15.5">
      <c r="B76">
        <f>'SW_SP_REP-01'!B78</f>
        <v>0</v>
      </c>
      <c r="C76">
        <f>'SW_SP_REP-01'!C78</f>
        <v>0</v>
      </c>
      <c r="D76">
        <f>'SW_SP_REP-01'!D78</f>
        <v>0</v>
      </c>
      <c r="E76" t="e">
        <f>_xlfn.XLOOKUP(B76,'SW_SP_BIL-01'!B:B,'SW_SP_BIL-01'!D:D)</f>
        <v>#NAME?</v>
      </c>
      <c r="F76" t="str">
        <f>+IFERROR(VLOOKUP($B76,'Riclassificato con Piano crisi'!$A:$E,4,FALSE),"")</f>
        <v/>
      </c>
      <c r="G76" t="str">
        <f>+IFERROR(VLOOKUP($B76,'Riclassificato con Piano crisi'!$A:$E,5,FALSE),"")</f>
        <v/>
      </c>
      <c r="H76" s="47">
        <f>SUMIF('SW_SP_REP-01'!C:C,$C76,'SW_SP_REP-01'!T:T)</f>
        <v>0</v>
      </c>
      <c r="I76" s="48"/>
      <c r="J76" s="47">
        <f t="shared" si="1"/>
        <v>0</v>
      </c>
    </row>
    <row r="77" thickTop="1" thickBot="1" ht="15.5">
      <c r="B77">
        <f>'SW_SP_REP-01'!B79</f>
        <v>0</v>
      </c>
      <c r="C77">
        <f>'SW_SP_REP-01'!C79</f>
        <v>0</v>
      </c>
      <c r="D77">
        <f>'SW_SP_REP-01'!D79</f>
        <v>0</v>
      </c>
      <c r="E77" t="e">
        <f>_xlfn.XLOOKUP(B77,'SW_SP_BIL-01'!B:B,'SW_SP_BIL-01'!D:D)</f>
        <v>#NAME?</v>
      </c>
      <c r="F77" t="str">
        <f>+IFERROR(VLOOKUP($B77,'Riclassificato con Piano crisi'!$A:$E,4,FALSE),"")</f>
        <v/>
      </c>
      <c r="G77" t="str">
        <f>+IFERROR(VLOOKUP($B77,'Riclassificato con Piano crisi'!$A:$E,5,FALSE),"")</f>
        <v/>
      </c>
      <c r="H77" s="47">
        <f>SUMIF('SW_SP_REP-01'!C:C,$C77,'SW_SP_REP-01'!T:T)</f>
        <v>0</v>
      </c>
      <c r="I77" s="48"/>
      <c r="J77" s="47">
        <f t="shared" si="1"/>
        <v>0</v>
      </c>
    </row>
    <row r="78" thickTop="1" thickBot="1" ht="15.5">
      <c r="B78">
        <f>'SW_SP_REP-01'!B80</f>
        <v>0</v>
      </c>
      <c r="C78">
        <f>'SW_SP_REP-01'!C80</f>
        <v>0</v>
      </c>
      <c r="D78">
        <f>'SW_SP_REP-01'!D80</f>
        <v>0</v>
      </c>
      <c r="E78" t="e">
        <f>_xlfn.XLOOKUP(B78,'SW_SP_BIL-01'!B:B,'SW_SP_BIL-01'!D:D)</f>
        <v>#NAME?</v>
      </c>
      <c r="F78" t="str">
        <f>+IFERROR(VLOOKUP($B78,'Riclassificato con Piano crisi'!$A:$E,4,FALSE),"")</f>
        <v/>
      </c>
      <c r="G78" t="str">
        <f>+IFERROR(VLOOKUP($B78,'Riclassificato con Piano crisi'!$A:$E,5,FALSE),"")</f>
        <v/>
      </c>
      <c r="H78" s="47">
        <f>SUMIF('SW_SP_REP-01'!C:C,$C78,'SW_SP_REP-01'!T:T)</f>
        <v>0</v>
      </c>
      <c r="I78" s="48"/>
      <c r="J78" s="47">
        <f t="shared" si="1"/>
        <v>0</v>
      </c>
    </row>
    <row r="79" thickTop="1" thickBot="1" ht="15.5">
      <c r="B79">
        <f>'SW_SP_REP-01'!B81</f>
        <v>0</v>
      </c>
      <c r="C79">
        <f>'SW_SP_REP-01'!C81</f>
        <v>0</v>
      </c>
      <c r="D79">
        <f>'SW_SP_REP-01'!D81</f>
        <v>0</v>
      </c>
      <c r="E79" t="e">
        <f>_xlfn.XLOOKUP(B79,'SW_SP_BIL-01'!B:B,'SW_SP_BIL-01'!D:D)</f>
        <v>#NAME?</v>
      </c>
      <c r="F79" t="str">
        <f>+IFERROR(VLOOKUP($B79,'Riclassificato con Piano crisi'!$A:$E,4,FALSE),"")</f>
        <v/>
      </c>
      <c r="G79" t="str">
        <f>+IFERROR(VLOOKUP($B79,'Riclassificato con Piano crisi'!$A:$E,5,FALSE),"")</f>
        <v/>
      </c>
      <c r="H79" s="47">
        <f>SUMIF('SW_SP_REP-01'!C:C,$C79,'SW_SP_REP-01'!T:T)</f>
        <v>0</v>
      </c>
      <c r="I79" s="48"/>
      <c r="J79" s="47">
        <f t="shared" si="1"/>
        <v>0</v>
      </c>
    </row>
    <row r="80" thickTop="1" thickBot="1" ht="15.5">
      <c r="B80">
        <f>'SW_SP_REP-01'!B82</f>
        <v>0</v>
      </c>
      <c r="C80">
        <f>'SW_SP_REP-01'!C82</f>
        <v>0</v>
      </c>
      <c r="D80">
        <f>'SW_SP_REP-01'!D82</f>
        <v>0</v>
      </c>
      <c r="E80" t="e">
        <f>_xlfn.XLOOKUP(B80,'SW_SP_BIL-01'!B:B,'SW_SP_BIL-01'!D:D)</f>
        <v>#NAME?</v>
      </c>
      <c r="F80" t="str">
        <f>+IFERROR(VLOOKUP($B80,'Riclassificato con Piano crisi'!$A:$E,4,FALSE),"")</f>
        <v/>
      </c>
      <c r="G80" t="str">
        <f>+IFERROR(VLOOKUP($B80,'Riclassificato con Piano crisi'!$A:$E,5,FALSE),"")</f>
        <v/>
      </c>
      <c r="H80" s="47">
        <f>SUMIF('SW_SP_REP-01'!C:C,$C80,'SW_SP_REP-01'!T:T)</f>
        <v>0</v>
      </c>
      <c r="I80" s="48"/>
      <c r="J80" s="47">
        <f t="shared" si="1"/>
        <v>0</v>
      </c>
    </row>
    <row r="81" thickTop="1" thickBot="1" ht="15.5">
      <c r="B81">
        <f>'SW_SP_REP-01'!B83</f>
        <v>0</v>
      </c>
      <c r="C81">
        <f>'SW_SP_REP-01'!C83</f>
        <v>0</v>
      </c>
      <c r="D81">
        <f>'SW_SP_REP-01'!D83</f>
        <v>0</v>
      </c>
      <c r="E81" t="e">
        <f>_xlfn.XLOOKUP(B81,'SW_SP_BIL-01'!B:B,'SW_SP_BIL-01'!D:D)</f>
        <v>#NAME?</v>
      </c>
      <c r="F81" t="str">
        <f>+IFERROR(VLOOKUP($B81,'Riclassificato con Piano crisi'!$A:$E,4,FALSE),"")</f>
        <v/>
      </c>
      <c r="G81" t="str">
        <f>+IFERROR(VLOOKUP($B81,'Riclassificato con Piano crisi'!$A:$E,5,FALSE),"")</f>
        <v/>
      </c>
      <c r="H81" s="47">
        <f>SUMIF('SW_SP_REP-01'!C:C,$C81,'SW_SP_REP-01'!T:T)</f>
        <v>0</v>
      </c>
      <c r="I81" s="48"/>
      <c r="J81" s="47">
        <f t="shared" si="1"/>
        <v>0</v>
      </c>
    </row>
    <row r="82" thickTop="1" thickBot="1" ht="15.5">
      <c r="B82">
        <f>'SW_SP_REP-01'!B84</f>
        <v>0</v>
      </c>
      <c r="C82">
        <f>'SW_SP_REP-01'!C84</f>
        <v>0</v>
      </c>
      <c r="D82">
        <f>'SW_SP_REP-01'!D84</f>
        <v>0</v>
      </c>
      <c r="E82" t="e">
        <f>_xlfn.XLOOKUP(B82,'SW_SP_BIL-01'!B:B,'SW_SP_BIL-01'!D:D)</f>
        <v>#NAME?</v>
      </c>
      <c r="F82" t="str">
        <f>+IFERROR(VLOOKUP($B82,'Riclassificato con Piano crisi'!$A:$E,4,FALSE),"")</f>
        <v/>
      </c>
      <c r="G82" t="str">
        <f>+IFERROR(VLOOKUP($B82,'Riclassificato con Piano crisi'!$A:$E,5,FALSE),"")</f>
        <v/>
      </c>
      <c r="H82" s="47">
        <f>SUMIF('SW_SP_REP-01'!C:C,$C82,'SW_SP_REP-01'!T:T)</f>
        <v>0</v>
      </c>
      <c r="I82" s="48"/>
      <c r="J82" s="47">
        <f t="shared" si="1"/>
        <v>0</v>
      </c>
    </row>
    <row r="83" thickTop="1" thickBot="1" ht="15.5">
      <c r="B83">
        <f>'SW_SP_REP-01'!B85</f>
        <v>0</v>
      </c>
      <c r="C83">
        <f>'SW_SP_REP-01'!C85</f>
        <v>0</v>
      </c>
      <c r="D83">
        <f>'SW_SP_REP-01'!D85</f>
        <v>0</v>
      </c>
      <c r="E83" t="e">
        <f>_xlfn.XLOOKUP(B83,'SW_SP_BIL-01'!B:B,'SW_SP_BIL-01'!D:D)</f>
        <v>#NAME?</v>
      </c>
      <c r="F83" t="str">
        <f>+IFERROR(VLOOKUP($B83,'Riclassificato con Piano crisi'!$A:$E,4,FALSE),"")</f>
        <v/>
      </c>
      <c r="G83" t="str">
        <f>+IFERROR(VLOOKUP($B83,'Riclassificato con Piano crisi'!$A:$E,5,FALSE),"")</f>
        <v/>
      </c>
      <c r="H83" s="47">
        <f>SUMIF('SW_SP_REP-01'!C:C,$C83,'SW_SP_REP-01'!T:T)</f>
        <v>0</v>
      </c>
      <c r="I83" s="48"/>
      <c r="J83" s="47">
        <f t="shared" si="1"/>
        <v>0</v>
      </c>
    </row>
    <row r="84" thickTop="1" thickBot="1" ht="15.5">
      <c r="B84">
        <f>'SW_SP_REP-01'!B86</f>
        <v>0</v>
      </c>
      <c r="C84">
        <f>'SW_SP_REP-01'!C86</f>
        <v>0</v>
      </c>
      <c r="D84">
        <f>'SW_SP_REP-01'!D86</f>
        <v>0</v>
      </c>
      <c r="E84" t="e">
        <f>_xlfn.XLOOKUP(B84,'SW_SP_BIL-01'!B:B,'SW_SP_BIL-01'!D:D)</f>
        <v>#NAME?</v>
      </c>
      <c r="F84" t="str">
        <f>+IFERROR(VLOOKUP($B84,'Riclassificato con Piano crisi'!$A:$E,4,FALSE),"")</f>
        <v/>
      </c>
      <c r="G84" t="str">
        <f>+IFERROR(VLOOKUP($B84,'Riclassificato con Piano crisi'!$A:$E,5,FALSE),"")</f>
        <v/>
      </c>
      <c r="H84" s="47">
        <f>SUMIF('SW_SP_REP-01'!C:C,$C84,'SW_SP_REP-01'!T:T)</f>
        <v>0</v>
      </c>
      <c r="I84" s="48"/>
      <c r="J84" s="47">
        <f t="shared" si="1"/>
        <v>0</v>
      </c>
    </row>
    <row r="85" thickTop="1" thickBot="1" ht="15.5">
      <c r="B85">
        <f>'SW_SP_REP-01'!B87</f>
        <v>0</v>
      </c>
      <c r="C85">
        <f>'SW_SP_REP-01'!C87</f>
        <v>0</v>
      </c>
      <c r="D85">
        <f>'SW_SP_REP-01'!D87</f>
        <v>0</v>
      </c>
      <c r="E85" t="e">
        <f>_xlfn.XLOOKUP(B85,'SW_SP_BIL-01'!B:B,'SW_SP_BIL-01'!D:D)</f>
        <v>#NAME?</v>
      </c>
      <c r="F85" t="str">
        <f>+IFERROR(VLOOKUP($B85,'Riclassificato con Piano crisi'!$A:$E,4,FALSE),"")</f>
        <v/>
      </c>
      <c r="G85" t="str">
        <f>+IFERROR(VLOOKUP($B85,'Riclassificato con Piano crisi'!$A:$E,5,FALSE),"")</f>
        <v/>
      </c>
      <c r="H85" s="47">
        <f>SUMIF('SW_SP_REP-01'!C:C,$C85,'SW_SP_REP-01'!T:T)</f>
        <v>0</v>
      </c>
      <c r="I85" s="48"/>
      <c r="J85" s="47">
        <f t="shared" si="1"/>
        <v>0</v>
      </c>
    </row>
    <row r="86" thickTop="1" thickBot="1" ht="15.5">
      <c r="B86">
        <f>'SW_SP_REP-01'!B88</f>
        <v>0</v>
      </c>
      <c r="C86">
        <f>'SW_SP_REP-01'!C88</f>
        <v>0</v>
      </c>
      <c r="D86">
        <f>'SW_SP_REP-01'!D88</f>
        <v>0</v>
      </c>
      <c r="E86" t="e">
        <f>_xlfn.XLOOKUP(B86,'SW_SP_BIL-01'!B:B,'SW_SP_BIL-01'!D:D)</f>
        <v>#NAME?</v>
      </c>
      <c r="F86" t="str">
        <f>+IFERROR(VLOOKUP($B86,'Riclassificato con Piano crisi'!$A:$E,4,FALSE),"")</f>
        <v/>
      </c>
      <c r="G86" t="str">
        <f>+IFERROR(VLOOKUP($B86,'Riclassificato con Piano crisi'!$A:$E,5,FALSE),"")</f>
        <v/>
      </c>
      <c r="H86" s="47">
        <f>SUMIF('SW_SP_REP-01'!C:C,$C86,'SW_SP_REP-01'!T:T)</f>
        <v>0</v>
      </c>
      <c r="I86" s="48"/>
      <c r="J86" s="47">
        <f t="shared" si="1"/>
        <v>0</v>
      </c>
    </row>
    <row r="87" thickTop="1" thickBot="1" ht="15.5">
      <c r="B87">
        <f>'SW_SP_REP-01'!B89</f>
        <v>0</v>
      </c>
      <c r="C87">
        <f>'SW_SP_REP-01'!C89</f>
        <v>0</v>
      </c>
      <c r="D87">
        <f>'SW_SP_REP-01'!D89</f>
        <v>0</v>
      </c>
      <c r="E87" t="e">
        <f>_xlfn.XLOOKUP(B87,'SW_SP_BIL-01'!B:B,'SW_SP_BIL-01'!D:D)</f>
        <v>#NAME?</v>
      </c>
      <c r="F87" t="str">
        <f>+IFERROR(VLOOKUP($B87,'Riclassificato con Piano crisi'!$A:$E,4,FALSE),"")</f>
        <v/>
      </c>
      <c r="G87" t="str">
        <f>+IFERROR(VLOOKUP($B87,'Riclassificato con Piano crisi'!$A:$E,5,FALSE),"")</f>
        <v/>
      </c>
      <c r="H87" s="47">
        <f>SUMIF('SW_SP_REP-01'!C:C,$C87,'SW_SP_REP-01'!T:T)</f>
        <v>0</v>
      </c>
      <c r="I87" s="48"/>
      <c r="J87" s="47">
        <f t="shared" si="1"/>
        <v>0</v>
      </c>
    </row>
    <row r="88" thickTop="1" thickBot="1" ht="15.5">
      <c r="B88">
        <f>'SW_SP_REP-01'!B90</f>
        <v>0</v>
      </c>
      <c r="C88">
        <f>'SW_SP_REP-01'!C90</f>
        <v>0</v>
      </c>
      <c r="D88">
        <f>'SW_SP_REP-01'!D90</f>
        <v>0</v>
      </c>
      <c r="E88" t="e">
        <f>_xlfn.XLOOKUP(B88,'SW_SP_BIL-01'!B:B,'SW_SP_BIL-01'!D:D)</f>
        <v>#NAME?</v>
      </c>
      <c r="F88" t="str">
        <f>+IFERROR(VLOOKUP($B88,'Riclassificato con Piano crisi'!$A:$E,4,FALSE),"")</f>
        <v/>
      </c>
      <c r="G88" t="str">
        <f>+IFERROR(VLOOKUP($B88,'Riclassificato con Piano crisi'!$A:$E,5,FALSE),"")</f>
        <v/>
      </c>
      <c r="H88" s="47">
        <f>SUMIF('SW_SP_REP-01'!C:C,$C88,'SW_SP_REP-01'!T:T)</f>
        <v>0</v>
      </c>
      <c r="I88" s="48"/>
      <c r="J88" s="47">
        <f t="shared" si="1"/>
        <v>0</v>
      </c>
    </row>
    <row r="89" thickTop="1" thickBot="1" ht="15.5">
      <c r="B89">
        <f>'SW_SP_REP-01'!B91</f>
        <v>0</v>
      </c>
      <c r="C89">
        <f>'SW_SP_REP-01'!C91</f>
        <v>0</v>
      </c>
      <c r="D89">
        <f>'SW_SP_REP-01'!D91</f>
        <v>0</v>
      </c>
      <c r="E89" t="e">
        <f>_xlfn.XLOOKUP(B89,'SW_SP_BIL-01'!B:B,'SW_SP_BIL-01'!D:D)</f>
        <v>#NAME?</v>
      </c>
      <c r="F89" t="str">
        <f>+IFERROR(VLOOKUP($B89,'Riclassificato con Piano crisi'!$A:$E,4,FALSE),"")</f>
        <v/>
      </c>
      <c r="G89" t="str">
        <f>+IFERROR(VLOOKUP($B89,'Riclassificato con Piano crisi'!$A:$E,5,FALSE),"")</f>
        <v/>
      </c>
      <c r="H89" s="47">
        <f>SUMIF('SW_SP_REP-01'!C:C,$C89,'SW_SP_REP-01'!T:T)</f>
        <v>0</v>
      </c>
      <c r="I89" s="48"/>
      <c r="J89" s="47">
        <f t="shared" si="1"/>
        <v>0</v>
      </c>
    </row>
    <row r="90" thickTop="1" thickBot="1" ht="15.5">
      <c r="B90">
        <f>'SW_SP_REP-01'!B92</f>
        <v>0</v>
      </c>
      <c r="C90">
        <f>'SW_SP_REP-01'!C92</f>
        <v>0</v>
      </c>
      <c r="D90">
        <f>'SW_SP_REP-01'!D92</f>
        <v>0</v>
      </c>
      <c r="E90" t="e">
        <f>_xlfn.XLOOKUP(B90,'SW_SP_BIL-01'!B:B,'SW_SP_BIL-01'!D:D)</f>
        <v>#NAME?</v>
      </c>
      <c r="F90" t="str">
        <f>+IFERROR(VLOOKUP($B90,'Riclassificato con Piano crisi'!$A:$E,4,FALSE),"")</f>
        <v/>
      </c>
      <c r="G90" t="str">
        <f>+IFERROR(VLOOKUP($B90,'Riclassificato con Piano crisi'!$A:$E,5,FALSE),"")</f>
        <v/>
      </c>
      <c r="H90" s="47">
        <f>SUMIF('SW_SP_REP-01'!C:C,$C90,'SW_SP_REP-01'!T:T)</f>
        <v>0</v>
      </c>
      <c r="I90" s="48"/>
      <c r="J90" s="47">
        <f t="shared" si="1"/>
        <v>0</v>
      </c>
    </row>
    <row r="91" thickTop="1" thickBot="1" ht="15.5">
      <c r="B91">
        <f>'SW_SP_REP-01'!B93</f>
        <v>0</v>
      </c>
      <c r="C91">
        <f>'SW_SP_REP-01'!C93</f>
        <v>0</v>
      </c>
      <c r="D91">
        <f>'SW_SP_REP-01'!D93</f>
        <v>0</v>
      </c>
      <c r="E91" t="e">
        <f>_xlfn.XLOOKUP(B91,'SW_SP_BIL-01'!B:B,'SW_SP_BIL-01'!D:D)</f>
        <v>#NAME?</v>
      </c>
      <c r="F91" t="str">
        <f>+IFERROR(VLOOKUP($B91,'Riclassificato con Piano crisi'!$A:$E,4,FALSE),"")</f>
        <v/>
      </c>
      <c r="G91" t="str">
        <f>+IFERROR(VLOOKUP($B91,'Riclassificato con Piano crisi'!$A:$E,5,FALSE),"")</f>
        <v/>
      </c>
      <c r="H91" s="47">
        <f>SUMIF('SW_SP_REP-01'!C:C,$C91,'SW_SP_REP-01'!T:T)</f>
        <v>0</v>
      </c>
      <c r="I91" s="48"/>
      <c r="J91" s="47">
        <f t="shared" si="1"/>
        <v>0</v>
      </c>
    </row>
    <row r="92" thickTop="1" thickBot="1" ht="15.5">
      <c r="B92">
        <f>'SW_SP_REP-01'!B94</f>
        <v>0</v>
      </c>
      <c r="C92">
        <f>'SW_SP_REP-01'!C94</f>
        <v>0</v>
      </c>
      <c r="D92">
        <f>'SW_SP_REP-01'!D94</f>
        <v>0</v>
      </c>
      <c r="E92" t="e">
        <f>_xlfn.XLOOKUP(B92,'SW_SP_BIL-01'!B:B,'SW_SP_BIL-01'!D:D)</f>
        <v>#NAME?</v>
      </c>
      <c r="F92" t="str">
        <f>+IFERROR(VLOOKUP($B92,'Riclassificato con Piano crisi'!$A:$E,4,FALSE),"")</f>
        <v/>
      </c>
      <c r="G92" t="str">
        <f>+IFERROR(VLOOKUP($B92,'Riclassificato con Piano crisi'!$A:$E,5,FALSE),"")</f>
        <v/>
      </c>
      <c r="H92" s="47">
        <f>SUMIF('SW_SP_REP-01'!C:C,$C92,'SW_SP_REP-01'!T:T)</f>
        <v>0</v>
      </c>
      <c r="I92" s="48"/>
      <c r="J92" s="47">
        <f t="shared" si="1"/>
        <v>0</v>
      </c>
    </row>
    <row r="93" thickTop="1" thickBot="1" ht="15.5">
      <c r="B93">
        <f>'SW_SP_REP-01'!B95</f>
        <v>0</v>
      </c>
      <c r="C93">
        <f>'SW_SP_REP-01'!C95</f>
        <v>0</v>
      </c>
      <c r="D93">
        <f>'SW_SP_REP-01'!D95</f>
        <v>0</v>
      </c>
      <c r="E93" t="e">
        <f>_xlfn.XLOOKUP(B93,'SW_SP_BIL-01'!B:B,'SW_SP_BIL-01'!D:D)</f>
        <v>#NAME?</v>
      </c>
      <c r="F93" t="str">
        <f>+IFERROR(VLOOKUP($B93,'Riclassificato con Piano crisi'!$A:$E,4,FALSE),"")</f>
        <v/>
      </c>
      <c r="G93" t="str">
        <f>+IFERROR(VLOOKUP($B93,'Riclassificato con Piano crisi'!$A:$E,5,FALSE),"")</f>
        <v/>
      </c>
      <c r="H93" s="47">
        <f>SUMIF('SW_SP_REP-01'!C:C,$C93,'SW_SP_REP-01'!T:T)</f>
        <v>0</v>
      </c>
      <c r="I93" s="48"/>
      <c r="J93" s="47">
        <f t="shared" si="1"/>
        <v>0</v>
      </c>
    </row>
    <row r="94" thickTop="1" thickBot="1" ht="15.5">
      <c r="B94">
        <f>'SW_SP_REP-01'!B96</f>
        <v>0</v>
      </c>
      <c r="C94">
        <f>'SW_SP_REP-01'!C96</f>
        <v>0</v>
      </c>
      <c r="D94">
        <f>'SW_SP_REP-01'!D96</f>
        <v>0</v>
      </c>
      <c r="E94" t="e">
        <f>_xlfn.XLOOKUP(B94,'SW_SP_BIL-01'!B:B,'SW_SP_BIL-01'!D:D)</f>
        <v>#NAME?</v>
      </c>
      <c r="F94" t="str">
        <f>+IFERROR(VLOOKUP($B94,'Riclassificato con Piano crisi'!$A:$E,4,FALSE),"")</f>
        <v/>
      </c>
      <c r="G94" t="str">
        <f>+IFERROR(VLOOKUP($B94,'Riclassificato con Piano crisi'!$A:$E,5,FALSE),"")</f>
        <v/>
      </c>
      <c r="H94" s="47">
        <f>SUMIF('SW_SP_REP-01'!C:C,$C94,'SW_SP_REP-01'!T:T)</f>
        <v>0</v>
      </c>
      <c r="I94" s="48"/>
      <c r="J94" s="47">
        <f t="shared" si="1"/>
        <v>0</v>
      </c>
    </row>
    <row r="95" thickTop="1" thickBot="1" ht="15.5">
      <c r="B95">
        <f>'SW_SP_REP-01'!B97</f>
        <v>0</v>
      </c>
      <c r="C95">
        <f>'SW_SP_REP-01'!C97</f>
        <v>0</v>
      </c>
      <c r="D95">
        <f>'SW_SP_REP-01'!D97</f>
        <v>0</v>
      </c>
      <c r="E95" t="e">
        <f>_xlfn.XLOOKUP(B95,'SW_SP_BIL-01'!B:B,'SW_SP_BIL-01'!D:D)</f>
        <v>#NAME?</v>
      </c>
      <c r="F95" t="str">
        <f>+IFERROR(VLOOKUP($B95,'Riclassificato con Piano crisi'!$A:$E,4,FALSE),"")</f>
        <v/>
      </c>
      <c r="G95" t="str">
        <f>+IFERROR(VLOOKUP($B95,'Riclassificato con Piano crisi'!$A:$E,5,FALSE),"")</f>
        <v/>
      </c>
      <c r="H95" s="47">
        <f>SUMIF('SW_SP_REP-01'!C:C,$C95,'SW_SP_REP-01'!T:T)</f>
        <v>0</v>
      </c>
      <c r="I95" s="48"/>
      <c r="J95" s="47">
        <f t="shared" si="1"/>
        <v>0</v>
      </c>
    </row>
    <row r="96" thickTop="1" thickBot="1" ht="15.5">
      <c r="B96">
        <f>'SW_SP_REP-01'!B98</f>
        <v>0</v>
      </c>
      <c r="C96">
        <f>'SW_SP_REP-01'!C98</f>
        <v>0</v>
      </c>
      <c r="D96">
        <f>'SW_SP_REP-01'!D98</f>
        <v>0</v>
      </c>
      <c r="E96" t="e">
        <f>_xlfn.XLOOKUP(B96,'SW_SP_BIL-01'!B:B,'SW_SP_BIL-01'!D:D)</f>
        <v>#NAME?</v>
      </c>
      <c r="F96" t="str">
        <f>+IFERROR(VLOOKUP($B96,'Riclassificato con Piano crisi'!$A:$E,4,FALSE),"")</f>
        <v/>
      </c>
      <c r="G96" t="str">
        <f>+IFERROR(VLOOKUP($B96,'Riclassificato con Piano crisi'!$A:$E,5,FALSE),"")</f>
        <v/>
      </c>
      <c r="H96" s="47">
        <f>SUMIF('SW_SP_REP-01'!C:C,$C96,'SW_SP_REP-01'!T:T)</f>
        <v>0</v>
      </c>
      <c r="I96" s="48"/>
      <c r="J96" s="47">
        <f t="shared" si="1"/>
        <v>0</v>
      </c>
    </row>
    <row r="97" thickTop="1" thickBot="1" ht="15.5">
      <c r="B97">
        <f>'SW_SP_REP-01'!B99</f>
        <v>0</v>
      </c>
      <c r="C97">
        <f>'SW_SP_REP-01'!C99</f>
        <v>0</v>
      </c>
      <c r="D97">
        <f>'SW_SP_REP-01'!D99</f>
        <v>0</v>
      </c>
      <c r="E97" t="e">
        <f>_xlfn.XLOOKUP(B97,'SW_SP_BIL-01'!B:B,'SW_SP_BIL-01'!D:D)</f>
        <v>#NAME?</v>
      </c>
      <c r="F97" t="str">
        <f>+IFERROR(VLOOKUP($B97,'Riclassificato con Piano crisi'!$A:$E,4,FALSE),"")</f>
        <v/>
      </c>
      <c r="G97" t="str">
        <f>+IFERROR(VLOOKUP($B97,'Riclassificato con Piano crisi'!$A:$E,5,FALSE),"")</f>
        <v/>
      </c>
      <c r="H97" s="47">
        <f>SUMIF('SW_SP_REP-01'!C:C,$C97,'SW_SP_REP-01'!T:T)</f>
        <v>0</v>
      </c>
      <c r="I97" s="48"/>
      <c r="J97" s="47">
        <f t="shared" si="1"/>
        <v>0</v>
      </c>
    </row>
    <row r="98" thickTop="1" thickBot="1" ht="15.5">
      <c r="B98">
        <f>'SW_SP_REP-01'!B100</f>
        <v>0</v>
      </c>
      <c r="C98">
        <f>'SW_SP_REP-01'!C100</f>
        <v>0</v>
      </c>
      <c r="D98">
        <f>'SW_SP_REP-01'!D100</f>
        <v>0</v>
      </c>
      <c r="E98" t="e">
        <f>_xlfn.XLOOKUP(B98,'SW_SP_BIL-01'!B:B,'SW_SP_BIL-01'!D:D)</f>
        <v>#NAME?</v>
      </c>
      <c r="F98" t="str">
        <f>+IFERROR(VLOOKUP($B98,'Riclassificato con Piano crisi'!$A:$E,4,FALSE),"")</f>
        <v/>
      </c>
      <c r="G98" t="str">
        <f>+IFERROR(VLOOKUP($B98,'Riclassificato con Piano crisi'!$A:$E,5,FALSE),"")</f>
        <v/>
      </c>
      <c r="H98" s="47">
        <f>SUMIF('SW_SP_REP-01'!C:C,$C98,'SW_SP_REP-01'!T:T)</f>
        <v>0</v>
      </c>
      <c r="I98" s="48"/>
      <c r="J98" s="47">
        <f t="shared" si="1"/>
        <v>0</v>
      </c>
    </row>
    <row r="99" thickTop="1" thickBot="1" ht="15.5">
      <c r="B99">
        <f>'SW_SP_REP-01'!B101</f>
        <v>0</v>
      </c>
      <c r="C99">
        <f>'SW_SP_REP-01'!C101</f>
        <v>0</v>
      </c>
      <c r="D99">
        <f>'SW_SP_REP-01'!D101</f>
        <v>0</v>
      </c>
      <c r="E99" t="e">
        <f>_xlfn.XLOOKUP(B99,'SW_SP_BIL-01'!B:B,'SW_SP_BIL-01'!D:D)</f>
        <v>#NAME?</v>
      </c>
      <c r="F99" t="str">
        <f>+IFERROR(VLOOKUP($B99,'Riclassificato con Piano crisi'!$A:$E,4,FALSE),"")</f>
        <v/>
      </c>
      <c r="G99" t="str">
        <f>+IFERROR(VLOOKUP($B99,'Riclassificato con Piano crisi'!$A:$E,5,FALSE),"")</f>
        <v/>
      </c>
      <c r="H99" s="47">
        <f>SUMIF('SW_SP_REP-01'!C:C,$C99,'SW_SP_REP-01'!T:T)</f>
        <v>0</v>
      </c>
      <c r="I99" s="48"/>
      <c r="J99" s="47">
        <f t="shared" si="1"/>
        <v>0</v>
      </c>
    </row>
    <row r="100" thickTop="1" thickBot="1" ht="15.5">
      <c r="B100">
        <f>'SW_SP_REP-01'!B102</f>
        <v>0</v>
      </c>
      <c r="C100">
        <f>'SW_SP_REP-01'!C102</f>
        <v>0</v>
      </c>
      <c r="D100">
        <f>'SW_SP_REP-01'!D102</f>
        <v>0</v>
      </c>
      <c r="E100" t="e">
        <f>_xlfn.XLOOKUP(B100,'SW_SP_BIL-01'!B:B,'SW_SP_BIL-01'!D:D)</f>
        <v>#NAME?</v>
      </c>
      <c r="F100" t="str">
        <f>+IFERROR(VLOOKUP($B100,'Riclassificato con Piano crisi'!$A:$E,4,FALSE),"")</f>
        <v/>
      </c>
      <c r="G100" t="str">
        <f>+IFERROR(VLOOKUP($B100,'Riclassificato con Piano crisi'!$A:$E,5,FALSE),"")</f>
        <v/>
      </c>
      <c r="H100" s="47">
        <f>SUMIF('SW_SP_REP-01'!C:C,$C100,'SW_SP_REP-01'!T:T)</f>
        <v>0</v>
      </c>
      <c r="I100" s="48"/>
      <c r="J100" s="47">
        <f t="shared" si="1"/>
        <v>0</v>
      </c>
    </row>
    <row r="101" thickTop="1" thickBot="1" ht="15.5">
      <c r="B101">
        <f>'SW_SP_REP-01'!B103</f>
        <v>0</v>
      </c>
      <c r="C101">
        <f>'SW_SP_REP-01'!C103</f>
        <v>0</v>
      </c>
      <c r="D101">
        <f>'SW_SP_REP-01'!D103</f>
        <v>0</v>
      </c>
      <c r="E101" t="e">
        <f>_xlfn.XLOOKUP(B101,'SW_SP_BIL-01'!B:B,'SW_SP_BIL-01'!D:D)</f>
        <v>#NAME?</v>
      </c>
      <c r="F101" t="str">
        <f>+IFERROR(VLOOKUP($B101,'Riclassificato con Piano crisi'!$A:$E,4,FALSE),"")</f>
        <v/>
      </c>
      <c r="G101" t="str">
        <f>+IFERROR(VLOOKUP($B101,'Riclassificato con Piano crisi'!$A:$E,5,FALSE),"")</f>
        <v/>
      </c>
      <c r="H101" s="47">
        <f>SUMIF('SW_SP_REP-01'!C:C,$C101,'SW_SP_REP-01'!T:T)</f>
        <v>0</v>
      </c>
      <c r="I101" s="48"/>
      <c r="J101" s="47">
        <f t="shared" si="1"/>
        <v>0</v>
      </c>
    </row>
    <row r="102" thickTop="1" thickBot="1" ht="15.5">
      <c r="B102">
        <f>'SW_SP_REP-01'!B104</f>
        <v>0</v>
      </c>
      <c r="C102">
        <f>'SW_SP_REP-01'!C104</f>
        <v>0</v>
      </c>
      <c r="D102">
        <f>'SW_SP_REP-01'!D104</f>
        <v>0</v>
      </c>
      <c r="E102" t="e">
        <f>_xlfn.XLOOKUP(B102,'SW_SP_BIL-01'!B:B,'SW_SP_BIL-01'!D:D)</f>
        <v>#NAME?</v>
      </c>
      <c r="F102" t="str">
        <f>+IFERROR(VLOOKUP($B102,'Riclassificato con Piano crisi'!$A:$E,4,FALSE),"")</f>
        <v/>
      </c>
      <c r="G102" t="str">
        <f>+IFERROR(VLOOKUP($B102,'Riclassificato con Piano crisi'!$A:$E,5,FALSE),"")</f>
        <v/>
      </c>
      <c r="H102" s="47">
        <f>SUMIF('SW_SP_REP-01'!C:C,$C102,'SW_SP_REP-01'!T:T)</f>
        <v>0</v>
      </c>
      <c r="I102" s="48"/>
      <c r="J102" s="47">
        <f t="shared" si="1"/>
        <v>0</v>
      </c>
    </row>
    <row r="103" thickTop="1" thickBot="1" ht="15.5">
      <c r="B103">
        <f>'SW_SP_REP-01'!B105</f>
        <v>0</v>
      </c>
      <c r="C103">
        <f>'SW_SP_REP-01'!C105</f>
        <v>0</v>
      </c>
      <c r="D103">
        <f>'SW_SP_REP-01'!D105</f>
        <v>0</v>
      </c>
      <c r="E103" t="e">
        <f>_xlfn.XLOOKUP(B103,'SW_SP_BIL-01'!B:B,'SW_SP_BIL-01'!D:D)</f>
        <v>#NAME?</v>
      </c>
      <c r="F103" t="str">
        <f>+IFERROR(VLOOKUP($B103,'Riclassificato con Piano crisi'!$A:$E,4,FALSE),"")</f>
        <v/>
      </c>
      <c r="G103" t="str">
        <f>+IFERROR(VLOOKUP($B103,'Riclassificato con Piano crisi'!$A:$E,5,FALSE),"")</f>
        <v/>
      </c>
      <c r="H103" s="47">
        <f>SUMIF('SW_SP_REP-01'!C:C,$C103,'SW_SP_REP-01'!T:T)</f>
        <v>0</v>
      </c>
      <c r="I103" s="48"/>
      <c r="J103" s="47">
        <f t="shared" si="1"/>
        <v>0</v>
      </c>
    </row>
    <row r="104" thickTop="1" thickBot="1" ht="15.5">
      <c r="B104">
        <f>'SW_SP_REP-01'!B106</f>
        <v>0</v>
      </c>
      <c r="C104">
        <f>'SW_SP_REP-01'!C106</f>
        <v>0</v>
      </c>
      <c r="D104">
        <f>'SW_SP_REP-01'!D106</f>
        <v>0</v>
      </c>
      <c r="E104" t="e">
        <f>_xlfn.XLOOKUP(B104,'SW_SP_BIL-01'!B:B,'SW_SP_BIL-01'!D:D)</f>
        <v>#NAME?</v>
      </c>
      <c r="F104" t="str">
        <f>+IFERROR(VLOOKUP($B104,'Riclassificato con Piano crisi'!$A:$E,4,FALSE),"")</f>
        <v/>
      </c>
      <c r="G104" t="str">
        <f>+IFERROR(VLOOKUP($B104,'Riclassificato con Piano crisi'!$A:$E,5,FALSE),"")</f>
        <v/>
      </c>
      <c r="H104" s="47">
        <f>SUMIF('SW_SP_REP-01'!C:C,$C104,'SW_SP_REP-01'!T:T)</f>
        <v>0</v>
      </c>
      <c r="I104" s="48"/>
      <c r="J104" s="47">
        <f t="shared" si="1"/>
        <v>0</v>
      </c>
    </row>
    <row r="105" thickTop="1" thickBot="1" ht="15.5">
      <c r="B105">
        <f>'SW_SP_REP-01'!B107</f>
        <v>0</v>
      </c>
      <c r="C105">
        <f>'SW_SP_REP-01'!C107</f>
        <v>0</v>
      </c>
      <c r="D105">
        <f>'SW_SP_REP-01'!D107</f>
        <v>0</v>
      </c>
      <c r="E105" t="e">
        <f>_xlfn.XLOOKUP(B105,'SW_SP_BIL-01'!B:B,'SW_SP_BIL-01'!D:D)</f>
        <v>#NAME?</v>
      </c>
      <c r="F105" t="str">
        <f>+IFERROR(VLOOKUP($B105,'Riclassificato con Piano crisi'!$A:$E,4,FALSE),"")</f>
        <v/>
      </c>
      <c r="G105" t="str">
        <f>+IFERROR(VLOOKUP($B105,'Riclassificato con Piano crisi'!$A:$E,5,FALSE),"")</f>
        <v/>
      </c>
      <c r="H105" s="47">
        <f>SUMIF('SW_SP_REP-01'!C:C,$C105,'SW_SP_REP-01'!T:T)</f>
        <v>0</v>
      </c>
      <c r="I105" s="48"/>
      <c r="J105" s="47">
        <f t="shared" si="1"/>
        <v>0</v>
      </c>
    </row>
    <row r="106" thickTop="1" thickBot="1" ht="15.5">
      <c r="B106">
        <f>'SW_SP_REP-01'!B108</f>
        <v>0</v>
      </c>
      <c r="C106">
        <f>'SW_SP_REP-01'!C108</f>
        <v>0</v>
      </c>
      <c r="D106">
        <f>'SW_SP_REP-01'!D108</f>
        <v>0</v>
      </c>
      <c r="E106" t="e">
        <f>_xlfn.XLOOKUP(B106,'SW_SP_BIL-01'!B:B,'SW_SP_BIL-01'!D:D)</f>
        <v>#NAME?</v>
      </c>
      <c r="F106" t="str">
        <f>+IFERROR(VLOOKUP($B106,'Riclassificato con Piano crisi'!$A:$E,4,FALSE),"")</f>
        <v/>
      </c>
      <c r="G106" t="str">
        <f>+IFERROR(VLOOKUP($B106,'Riclassificato con Piano crisi'!$A:$E,5,FALSE),"")</f>
        <v/>
      </c>
      <c r="H106" s="47">
        <f>SUMIF('SW_SP_REP-01'!C:C,$C106,'SW_SP_REP-01'!T:T)</f>
        <v>0</v>
      </c>
      <c r="I106" s="48"/>
      <c r="J106" s="47">
        <f t="shared" si="1"/>
        <v>0</v>
      </c>
    </row>
    <row r="107" thickTop="1" thickBot="1" ht="15.5">
      <c r="B107">
        <f>'SW_SP_REP-01'!B109</f>
        <v>0</v>
      </c>
      <c r="C107">
        <f>'SW_SP_REP-01'!C109</f>
        <v>0</v>
      </c>
      <c r="D107">
        <f>'SW_SP_REP-01'!D109</f>
        <v>0</v>
      </c>
      <c r="E107" t="e">
        <f>_xlfn.XLOOKUP(B107,'SW_SP_BIL-01'!B:B,'SW_SP_BIL-01'!D:D)</f>
        <v>#NAME?</v>
      </c>
      <c r="F107" t="str">
        <f>+IFERROR(VLOOKUP($B107,'Riclassificato con Piano crisi'!$A:$E,4,FALSE),"")</f>
        <v/>
      </c>
      <c r="G107" t="str">
        <f>+IFERROR(VLOOKUP($B107,'Riclassificato con Piano crisi'!$A:$E,5,FALSE),"")</f>
        <v/>
      </c>
      <c r="H107" s="47">
        <f>SUMIF('SW_SP_REP-01'!C:C,$C107,'SW_SP_REP-01'!T:T)</f>
        <v>0</v>
      </c>
      <c r="I107" s="48"/>
      <c r="J107" s="47">
        <f t="shared" si="1"/>
        <v>0</v>
      </c>
    </row>
    <row r="108" thickTop="1" thickBot="1" ht="15.5">
      <c r="B108">
        <f>'SW_SP_REP-01'!B110</f>
        <v>0</v>
      </c>
      <c r="C108">
        <f>'SW_SP_REP-01'!C110</f>
        <v>0</v>
      </c>
      <c r="D108">
        <f>'SW_SP_REP-01'!D110</f>
        <v>0</v>
      </c>
      <c r="E108" t="e">
        <f>_xlfn.XLOOKUP(B108,'SW_SP_BIL-01'!B:B,'SW_SP_BIL-01'!D:D)</f>
        <v>#NAME?</v>
      </c>
      <c r="F108" t="str">
        <f>+IFERROR(VLOOKUP($B108,'Riclassificato con Piano crisi'!$A:$E,4,FALSE),"")</f>
        <v/>
      </c>
      <c r="G108" t="str">
        <f>+IFERROR(VLOOKUP($B108,'Riclassificato con Piano crisi'!$A:$E,5,FALSE),"")</f>
        <v/>
      </c>
      <c r="H108" s="47">
        <f>SUMIF('SW_SP_REP-01'!C:C,$C108,'SW_SP_REP-01'!T:T)</f>
        <v>0</v>
      </c>
      <c r="I108" s="48"/>
      <c r="J108" s="47">
        <f t="shared" si="1"/>
        <v>0</v>
      </c>
    </row>
    <row r="109" thickTop="1" thickBot="1" ht="15.5">
      <c r="B109">
        <f>'SW_SP_REP-01'!B111</f>
        <v>0</v>
      </c>
      <c r="C109">
        <f>'SW_SP_REP-01'!C111</f>
        <v>0</v>
      </c>
      <c r="D109">
        <f>'SW_SP_REP-01'!D111</f>
        <v>0</v>
      </c>
      <c r="E109" t="e">
        <f>_xlfn.XLOOKUP(B109,'SW_SP_BIL-01'!B:B,'SW_SP_BIL-01'!D:D)</f>
        <v>#NAME?</v>
      </c>
      <c r="F109" t="str">
        <f>+IFERROR(VLOOKUP($B109,'Riclassificato con Piano crisi'!$A:$E,4,FALSE),"")</f>
        <v/>
      </c>
      <c r="G109" t="str">
        <f>+IFERROR(VLOOKUP($B109,'Riclassificato con Piano crisi'!$A:$E,5,FALSE),"")</f>
        <v/>
      </c>
      <c r="H109" s="47">
        <f>SUMIF('SW_SP_REP-01'!C:C,$C109,'SW_SP_REP-01'!T:T)</f>
        <v>0</v>
      </c>
      <c r="I109" s="48"/>
      <c r="J109" s="47">
        <f t="shared" si="1"/>
        <v>0</v>
      </c>
    </row>
    <row r="110" thickTop="1" thickBot="1" ht="15.5">
      <c r="B110">
        <f>'SW_SP_REP-01'!B112</f>
        <v>0</v>
      </c>
      <c r="C110">
        <f>'SW_SP_REP-01'!C112</f>
        <v>0</v>
      </c>
      <c r="D110">
        <f>'SW_SP_REP-01'!D112</f>
        <v>0</v>
      </c>
      <c r="E110" t="e">
        <f>_xlfn.XLOOKUP(B110,'SW_SP_BIL-01'!B:B,'SW_SP_BIL-01'!D:D)</f>
        <v>#NAME?</v>
      </c>
      <c r="F110" t="str">
        <f>+IFERROR(VLOOKUP($B110,'Riclassificato con Piano crisi'!$A:$E,4,FALSE),"")</f>
        <v/>
      </c>
      <c r="G110" t="str">
        <f>+IFERROR(VLOOKUP($B110,'Riclassificato con Piano crisi'!$A:$E,5,FALSE),"")</f>
        <v/>
      </c>
      <c r="H110" s="47">
        <f>SUMIF('SW_SP_REP-01'!C:C,$C110,'SW_SP_REP-01'!T:T)</f>
        <v>0</v>
      </c>
      <c r="I110" s="48"/>
      <c r="J110" s="47">
        <f t="shared" si="1"/>
        <v>0</v>
      </c>
    </row>
    <row r="111" thickTop="1" thickBot="1" ht="15.5">
      <c r="B111">
        <f>'SW_SP_REP-01'!B113</f>
        <v>0</v>
      </c>
      <c r="C111">
        <f>'SW_SP_REP-01'!C113</f>
        <v>0</v>
      </c>
      <c r="D111">
        <f>'SW_SP_REP-01'!D113</f>
        <v>0</v>
      </c>
      <c r="E111" t="e">
        <f>_xlfn.XLOOKUP(B111,'SW_SP_BIL-01'!B:B,'SW_SP_BIL-01'!D:D)</f>
        <v>#NAME?</v>
      </c>
      <c r="F111" t="str">
        <f>+IFERROR(VLOOKUP($B111,'Riclassificato con Piano crisi'!$A:$E,4,FALSE),"")</f>
        <v/>
      </c>
      <c r="G111" t="str">
        <f>+IFERROR(VLOOKUP($B111,'Riclassificato con Piano crisi'!$A:$E,5,FALSE),"")</f>
        <v/>
      </c>
      <c r="H111" s="47">
        <f>SUMIF('SW_SP_REP-01'!C:C,$C111,'SW_SP_REP-01'!T:T)</f>
        <v>0</v>
      </c>
      <c r="I111" s="48"/>
      <c r="J111" s="47">
        <f t="shared" si="1"/>
        <v>0</v>
      </c>
    </row>
    <row r="112" thickTop="1" thickBot="1" ht="15.5">
      <c r="B112">
        <f>'SW_SP_REP-01'!B114</f>
        <v>0</v>
      </c>
      <c r="C112">
        <f>'SW_SP_REP-01'!C114</f>
        <v>0</v>
      </c>
      <c r="D112">
        <f>'SW_SP_REP-01'!D114</f>
        <v>0</v>
      </c>
      <c r="E112" t="e">
        <f>_xlfn.XLOOKUP(B112,'SW_SP_BIL-01'!B:B,'SW_SP_BIL-01'!D:D)</f>
        <v>#NAME?</v>
      </c>
      <c r="F112" t="str">
        <f>+IFERROR(VLOOKUP($B112,'Riclassificato con Piano crisi'!$A:$E,4,FALSE),"")</f>
        <v/>
      </c>
      <c r="G112" t="str">
        <f>+IFERROR(VLOOKUP($B112,'Riclassificato con Piano crisi'!$A:$E,5,FALSE),"")</f>
        <v/>
      </c>
      <c r="H112" s="47">
        <f>SUMIF('SW_SP_REP-01'!C:C,$C112,'SW_SP_REP-01'!T:T)</f>
        <v>0</v>
      </c>
      <c r="I112" s="48"/>
      <c r="J112" s="47">
        <f t="shared" si="1"/>
        <v>0</v>
      </c>
    </row>
    <row r="113" thickTop="1" thickBot="1" ht="15.5">
      <c r="B113">
        <f>'SW_SP_REP-01'!B115</f>
        <v>0</v>
      </c>
      <c r="C113">
        <f>'SW_SP_REP-01'!C115</f>
        <v>0</v>
      </c>
      <c r="D113">
        <f>'SW_SP_REP-01'!D115</f>
        <v>0</v>
      </c>
      <c r="E113" t="e">
        <f>_xlfn.XLOOKUP(B113,'SW_SP_BIL-01'!B:B,'SW_SP_BIL-01'!D:D)</f>
        <v>#NAME?</v>
      </c>
      <c r="F113" t="str">
        <f>+IFERROR(VLOOKUP($B113,'Riclassificato con Piano crisi'!$A:$E,4,FALSE),"")</f>
        <v/>
      </c>
      <c r="G113" t="str">
        <f>+IFERROR(VLOOKUP($B113,'Riclassificato con Piano crisi'!$A:$E,5,FALSE),"")</f>
        <v/>
      </c>
      <c r="H113" s="47">
        <f>SUMIF('SW_SP_REP-01'!C:C,$C113,'SW_SP_REP-01'!T:T)</f>
        <v>0</v>
      </c>
      <c r="I113" s="48"/>
      <c r="J113" s="47">
        <f t="shared" si="1"/>
        <v>0</v>
      </c>
    </row>
    <row r="114" thickTop="1" thickBot="1" ht="15.5">
      <c r="B114">
        <f>'SW_SP_REP-01'!B116</f>
        <v>0</v>
      </c>
      <c r="C114">
        <f>'SW_SP_REP-01'!C116</f>
        <v>0</v>
      </c>
      <c r="D114">
        <f>'SW_SP_REP-01'!D116</f>
        <v>0</v>
      </c>
      <c r="E114" t="e">
        <f>_xlfn.XLOOKUP(B114,'SW_SP_BIL-01'!B:B,'SW_SP_BIL-01'!D:D)</f>
        <v>#NAME?</v>
      </c>
      <c r="F114" t="str">
        <f>+IFERROR(VLOOKUP($B114,'Riclassificato con Piano crisi'!$A:$E,4,FALSE),"")</f>
        <v/>
      </c>
      <c r="G114" t="str">
        <f>+IFERROR(VLOOKUP($B114,'Riclassificato con Piano crisi'!$A:$E,5,FALSE),"")</f>
        <v/>
      </c>
      <c r="H114" s="47">
        <f>SUMIF('SW_SP_REP-01'!C:C,$C114,'SW_SP_REP-01'!T:T)</f>
        <v>0</v>
      </c>
      <c r="I114" s="48"/>
      <c r="J114" s="47">
        <f t="shared" si="1"/>
        <v>0</v>
      </c>
    </row>
    <row r="115" thickTop="1" thickBot="1" ht="15.5">
      <c r="B115">
        <f>'SW_SP_REP-01'!B117</f>
        <v>0</v>
      </c>
      <c r="C115">
        <f>'SW_SP_REP-01'!C117</f>
        <v>0</v>
      </c>
      <c r="D115">
        <f>'SW_SP_REP-01'!D117</f>
        <v>0</v>
      </c>
      <c r="E115" t="e">
        <f>_xlfn.XLOOKUP(B115,'SW_SP_BIL-01'!B:B,'SW_SP_BIL-01'!D:D)</f>
        <v>#NAME?</v>
      </c>
      <c r="F115" t="str">
        <f>+IFERROR(VLOOKUP($B115,'Riclassificato con Piano crisi'!$A:$E,4,FALSE),"")</f>
        <v/>
      </c>
      <c r="G115" t="str">
        <f>+IFERROR(VLOOKUP($B115,'Riclassificato con Piano crisi'!$A:$E,5,FALSE),"")</f>
        <v/>
      </c>
      <c r="H115" s="47">
        <f>SUMIF('SW_SP_REP-01'!C:C,$C115,'SW_SP_REP-01'!T:T)</f>
        <v>0</v>
      </c>
      <c r="I115" s="48"/>
      <c r="J115" s="47">
        <f t="shared" si="1"/>
        <v>0</v>
      </c>
    </row>
    <row r="116" thickTop="1" thickBot="1" ht="15.5">
      <c r="B116">
        <f>'SW_SP_REP-01'!B118</f>
        <v>0</v>
      </c>
      <c r="C116">
        <f>'SW_SP_REP-01'!C118</f>
        <v>0</v>
      </c>
      <c r="D116">
        <f>'SW_SP_REP-01'!D118</f>
        <v>0</v>
      </c>
      <c r="E116" t="e">
        <f>_xlfn.XLOOKUP(B116,'SW_SP_BIL-01'!B:B,'SW_SP_BIL-01'!D:D)</f>
        <v>#NAME?</v>
      </c>
      <c r="F116" t="str">
        <f>+IFERROR(VLOOKUP($B116,'Riclassificato con Piano crisi'!$A:$E,4,FALSE),"")</f>
        <v/>
      </c>
      <c r="G116" t="str">
        <f>+IFERROR(VLOOKUP($B116,'Riclassificato con Piano crisi'!$A:$E,5,FALSE),"")</f>
        <v/>
      </c>
      <c r="H116" s="47">
        <f>SUMIF('SW_SP_REP-01'!C:C,$C116,'SW_SP_REP-01'!T:T)</f>
        <v>0</v>
      </c>
      <c r="I116" s="48"/>
      <c r="J116" s="47">
        <f t="shared" si="1"/>
        <v>0</v>
      </c>
    </row>
    <row r="117" thickTop="1" thickBot="1" ht="15.5">
      <c r="B117">
        <f>'SW_SP_REP-01'!B119</f>
        <v>0</v>
      </c>
      <c r="C117">
        <f>'SW_SP_REP-01'!C119</f>
        <v>0</v>
      </c>
      <c r="D117">
        <f>'SW_SP_REP-01'!D119</f>
        <v>0</v>
      </c>
      <c r="E117" t="e">
        <f>_xlfn.XLOOKUP(B117,'SW_SP_BIL-01'!B:B,'SW_SP_BIL-01'!D:D)</f>
        <v>#NAME?</v>
      </c>
      <c r="F117" t="str">
        <f>+IFERROR(VLOOKUP($B117,'Riclassificato con Piano crisi'!$A:$E,4,FALSE),"")</f>
        <v/>
      </c>
      <c r="G117" t="str">
        <f>+IFERROR(VLOOKUP($B117,'Riclassificato con Piano crisi'!$A:$E,5,FALSE),"")</f>
        <v/>
      </c>
      <c r="H117" s="47">
        <f>SUMIF('SW_SP_REP-01'!C:C,$C117,'SW_SP_REP-01'!T:T)</f>
        <v>0</v>
      </c>
      <c r="I117" s="48"/>
      <c r="J117" s="47">
        <f t="shared" si="1"/>
        <v>0</v>
      </c>
    </row>
    <row r="118" thickTop="1" thickBot="1" ht="15.5">
      <c r="B118">
        <f>'SW_SP_REP-01'!B120</f>
        <v>0</v>
      </c>
      <c r="C118">
        <f>'SW_SP_REP-01'!C120</f>
        <v>0</v>
      </c>
      <c r="D118">
        <f>'SW_SP_REP-01'!D120</f>
        <v>0</v>
      </c>
      <c r="E118" t="e">
        <f>_xlfn.XLOOKUP(B118,'SW_SP_BIL-01'!B:B,'SW_SP_BIL-01'!D:D)</f>
        <v>#NAME?</v>
      </c>
      <c r="F118" t="str">
        <f>+IFERROR(VLOOKUP($B118,'Riclassificato con Piano crisi'!$A:$E,4,FALSE),"")</f>
        <v/>
      </c>
      <c r="G118" t="str">
        <f>+IFERROR(VLOOKUP($B118,'Riclassificato con Piano crisi'!$A:$E,5,FALSE),"")</f>
        <v/>
      </c>
      <c r="H118" s="47">
        <f>SUMIF('SW_SP_REP-01'!C:C,$C118,'SW_SP_REP-01'!T:T)</f>
        <v>0</v>
      </c>
      <c r="I118" s="48"/>
      <c r="J118" s="47">
        <f t="shared" si="1"/>
        <v>0</v>
      </c>
    </row>
    <row r="119" thickTop="1" thickBot="1" ht="15.5">
      <c r="B119">
        <f>'SW_SP_REP-01'!B121</f>
        <v>0</v>
      </c>
      <c r="C119">
        <f>'SW_SP_REP-01'!C121</f>
        <v>0</v>
      </c>
      <c r="D119">
        <f>'SW_SP_REP-01'!D121</f>
        <v>0</v>
      </c>
      <c r="E119" t="e">
        <f>_xlfn.XLOOKUP(B119,'SW_SP_BIL-01'!B:B,'SW_SP_BIL-01'!D:D)</f>
        <v>#NAME?</v>
      </c>
      <c r="F119" t="str">
        <f>+IFERROR(VLOOKUP($B119,'Riclassificato con Piano crisi'!$A:$E,4,FALSE),"")</f>
        <v/>
      </c>
      <c r="G119" t="str">
        <f>+IFERROR(VLOOKUP($B119,'Riclassificato con Piano crisi'!$A:$E,5,FALSE),"")</f>
        <v/>
      </c>
      <c r="H119" s="47">
        <f>SUMIF('SW_SP_REP-01'!C:C,$C119,'SW_SP_REP-01'!T:T)</f>
        <v>0</v>
      </c>
      <c r="I119" s="48"/>
      <c r="J119" s="47">
        <f t="shared" si="1"/>
        <v>0</v>
      </c>
    </row>
    <row r="120" thickTop="1" thickBot="1" ht="15.5">
      <c r="B120">
        <f>'SW_SP_REP-01'!B122</f>
        <v>0</v>
      </c>
      <c r="C120">
        <f>'SW_SP_REP-01'!C122</f>
        <v>0</v>
      </c>
      <c r="D120">
        <f>'SW_SP_REP-01'!D122</f>
        <v>0</v>
      </c>
      <c r="E120" t="e">
        <f>_xlfn.XLOOKUP(B120,'SW_SP_BIL-01'!B:B,'SW_SP_BIL-01'!D:D)</f>
        <v>#NAME?</v>
      </c>
      <c r="F120" t="str">
        <f>+IFERROR(VLOOKUP($B120,'Riclassificato con Piano crisi'!$A:$E,4,FALSE),"")</f>
        <v/>
      </c>
      <c r="G120" t="str">
        <f>+IFERROR(VLOOKUP($B120,'Riclassificato con Piano crisi'!$A:$E,5,FALSE),"")</f>
        <v/>
      </c>
      <c r="H120" s="47">
        <f>SUMIF('SW_SP_REP-01'!C:C,$C120,'SW_SP_REP-01'!T:T)</f>
        <v>0</v>
      </c>
      <c r="I120" s="48"/>
      <c r="J120" s="47">
        <f t="shared" si="1"/>
        <v>0</v>
      </c>
    </row>
    <row r="121" thickTop="1" thickBot="1" ht="15.5">
      <c r="B121">
        <f>'SW_SP_REP-01'!B123</f>
        <v>0</v>
      </c>
      <c r="C121">
        <f>'SW_SP_REP-01'!C123</f>
        <v>0</v>
      </c>
      <c r="D121">
        <f>'SW_SP_REP-01'!D123</f>
        <v>0</v>
      </c>
      <c r="E121" t="e">
        <f>_xlfn.XLOOKUP(B121,'SW_SP_BIL-01'!B:B,'SW_SP_BIL-01'!D:D)</f>
        <v>#NAME?</v>
      </c>
      <c r="F121" t="str">
        <f>+IFERROR(VLOOKUP($B121,'Riclassificato con Piano crisi'!$A:$E,4,FALSE),"")</f>
        <v/>
      </c>
      <c r="G121" t="str">
        <f>+IFERROR(VLOOKUP($B121,'Riclassificato con Piano crisi'!$A:$E,5,FALSE),"")</f>
        <v/>
      </c>
      <c r="H121" s="47">
        <f>SUMIF('SW_SP_REP-01'!C:C,$C121,'SW_SP_REP-01'!T:T)</f>
        <v>0</v>
      </c>
      <c r="I121" s="48"/>
      <c r="J121" s="47">
        <f t="shared" si="1"/>
        <v>0</v>
      </c>
    </row>
    <row r="122" thickTop="1" thickBot="1" ht="15.5">
      <c r="B122">
        <f>'SW_SP_REP-01'!B124</f>
        <v>0</v>
      </c>
      <c r="C122">
        <f>'SW_SP_REP-01'!C124</f>
        <v>0</v>
      </c>
      <c r="D122">
        <f>'SW_SP_REP-01'!D124</f>
        <v>0</v>
      </c>
      <c r="E122" t="e">
        <f>_xlfn.XLOOKUP(B122,'SW_SP_BIL-01'!B:B,'SW_SP_BIL-01'!D:D)</f>
        <v>#NAME?</v>
      </c>
      <c r="F122" t="str">
        <f>+IFERROR(VLOOKUP($B122,'Riclassificato con Piano crisi'!$A:$E,4,FALSE),"")</f>
        <v/>
      </c>
      <c r="G122" t="str">
        <f>+IFERROR(VLOOKUP($B122,'Riclassificato con Piano crisi'!$A:$E,5,FALSE),"")</f>
        <v/>
      </c>
      <c r="H122" s="47">
        <f>SUMIF('SW_SP_REP-01'!C:C,$C122,'SW_SP_REP-01'!T:T)</f>
        <v>0</v>
      </c>
      <c r="I122" s="48"/>
      <c r="J122" s="47">
        <f t="shared" si="1"/>
        <v>0</v>
      </c>
    </row>
    <row r="123" thickTop="1" thickBot="1" ht="15.5">
      <c r="B123">
        <f>'SW_SP_REP-01'!B125</f>
        <v>0</v>
      </c>
      <c r="C123">
        <f>'SW_SP_REP-01'!C125</f>
        <v>0</v>
      </c>
      <c r="D123">
        <f>'SW_SP_REP-01'!D125</f>
        <v>0</v>
      </c>
      <c r="E123" t="e">
        <f>_xlfn.XLOOKUP(B123,'SW_SP_BIL-01'!B:B,'SW_SP_BIL-01'!D:D)</f>
        <v>#NAME?</v>
      </c>
      <c r="F123" t="str">
        <f>+IFERROR(VLOOKUP($B123,'Riclassificato con Piano crisi'!$A:$E,4,FALSE),"")</f>
        <v/>
      </c>
      <c r="G123" t="str">
        <f>+IFERROR(VLOOKUP($B123,'Riclassificato con Piano crisi'!$A:$E,5,FALSE),"")</f>
        <v/>
      </c>
      <c r="H123" s="47">
        <f>SUMIF('SW_SP_REP-01'!C:C,$C123,'SW_SP_REP-01'!T:T)</f>
        <v>0</v>
      </c>
      <c r="I123" s="48"/>
      <c r="J123" s="47">
        <f t="shared" si="1"/>
        <v>0</v>
      </c>
    </row>
    <row r="124" thickTop="1" thickBot="1" ht="15.5">
      <c r="B124">
        <f>'SW_SP_REP-01'!B126</f>
        <v>0</v>
      </c>
      <c r="C124">
        <f>'SW_SP_REP-01'!C126</f>
        <v>0</v>
      </c>
      <c r="D124">
        <f>'SW_SP_REP-01'!D126</f>
        <v>0</v>
      </c>
      <c r="E124" t="e">
        <f>_xlfn.XLOOKUP(B124,'SW_SP_BIL-01'!B:B,'SW_SP_BIL-01'!D:D)</f>
        <v>#NAME?</v>
      </c>
      <c r="F124" t="str">
        <f>+IFERROR(VLOOKUP($B124,'Riclassificato con Piano crisi'!$A:$E,4,FALSE),"")</f>
        <v/>
      </c>
      <c r="G124" t="str">
        <f>+IFERROR(VLOOKUP($B124,'Riclassificato con Piano crisi'!$A:$E,5,FALSE),"")</f>
        <v/>
      </c>
      <c r="H124" s="47">
        <f>SUMIF('SW_SP_REP-01'!C:C,$C124,'SW_SP_REP-01'!T:T)</f>
        <v>0</v>
      </c>
      <c r="I124" s="48"/>
      <c r="J124" s="47">
        <f t="shared" si="1"/>
        <v>0</v>
      </c>
    </row>
    <row r="125" thickTop="1" thickBot="1" ht="15.5">
      <c r="B125">
        <f>'SW_SP_REP-01'!B127</f>
        <v>0</v>
      </c>
      <c r="C125">
        <f>'SW_SP_REP-01'!C127</f>
        <v>0</v>
      </c>
      <c r="D125">
        <f>'SW_SP_REP-01'!D127</f>
        <v>0</v>
      </c>
      <c r="E125" t="e">
        <f>_xlfn.XLOOKUP(B125,'SW_SP_BIL-01'!B:B,'SW_SP_BIL-01'!D:D)</f>
        <v>#NAME?</v>
      </c>
      <c r="F125" t="str">
        <f>+IFERROR(VLOOKUP($B125,'Riclassificato con Piano crisi'!$A:$E,4,FALSE),"")</f>
        <v/>
      </c>
      <c r="G125" t="str">
        <f>+IFERROR(VLOOKUP($B125,'Riclassificato con Piano crisi'!$A:$E,5,FALSE),"")</f>
        <v/>
      </c>
      <c r="H125" s="47">
        <f>SUMIF('SW_SP_REP-01'!C:C,$C125,'SW_SP_REP-01'!T:T)</f>
        <v>0</v>
      </c>
      <c r="I125" s="48"/>
      <c r="J125" s="47">
        <f t="shared" si="1"/>
        <v>0</v>
      </c>
    </row>
    <row r="126" thickTop="1" thickBot="1" ht="15.5">
      <c r="B126">
        <f>'SW_SP_REP-01'!B128</f>
        <v>0</v>
      </c>
      <c r="C126">
        <f>'SW_SP_REP-01'!C128</f>
        <v>0</v>
      </c>
      <c r="D126">
        <f>'SW_SP_REP-01'!D128</f>
        <v>0</v>
      </c>
      <c r="E126" t="e">
        <f>_xlfn.XLOOKUP(B126,'SW_SP_BIL-01'!B:B,'SW_SP_BIL-01'!D:D)</f>
        <v>#NAME?</v>
      </c>
      <c r="F126" t="str">
        <f>+IFERROR(VLOOKUP($B126,'Riclassificato con Piano crisi'!$A:$E,4,FALSE),"")</f>
        <v/>
      </c>
      <c r="G126" t="str">
        <f>+IFERROR(VLOOKUP($B126,'Riclassificato con Piano crisi'!$A:$E,5,FALSE),"")</f>
        <v/>
      </c>
      <c r="H126" s="47">
        <f>SUMIF('SW_SP_REP-01'!C:C,$C126,'SW_SP_REP-01'!T:T)</f>
        <v>0</v>
      </c>
      <c r="I126" s="48"/>
      <c r="J126" s="47">
        <f t="shared" si="1"/>
        <v>0</v>
      </c>
    </row>
    <row r="127" thickTop="1"/>
  </sheetData>
  <autoFilter ref="A1:H126"/>
  <hyperlinks>
    <hyperlink ref="A2" location="Attivo!A1" display="Attivo"/>
    <hyperlink ref="A4" location="Passivo!A1" display="Passivo"/>
    <hyperlink ref="A1" location="Input!A1" display="Input"/>
  </hyperlinks>
</worksheet>
</file>

<file path=xl/worksheets/sheet18.xml><?xml version="1.0" encoding="utf-8"?>
<worksheet xmlns:r="http://schemas.openxmlformats.org/officeDocument/2006/relationships" xmlns="http://schemas.openxmlformats.org/spreadsheetml/2006/main">
  <sheetPr>
    <tabColor theme="1"/>
  </sheetPr>
  <sheetViews>
    <sheetView showGridLines="0" zoomScale="130" zoomScaleNormal="130" workbookViewId="0">
      <selection activeCell="C20" sqref="C20:D20"/>
    </sheetView>
  </sheetViews>
  <sheetFormatPr defaultColWidth="8.855469" defaultRowHeight="15"/>
  <cols>
    <col min="1" max="1" width="8.570313" bestFit="1" customWidth="1"/>
    <col min="2" max="2" width="28.14063" customWidth="1"/>
    <col min="3" max="3" width="39" customWidth="1"/>
    <col min="4" max="4" width="29.85547" bestFit="1" customWidth="1"/>
    <col min="5" max="5" width="20.57031" customWidth="1"/>
    <col min="6" max="6" width="39" bestFit="1" customWidth="1"/>
    <col min="7" max="7" width="5.425781" customWidth="1"/>
  </cols>
  <sheetData>
    <row r="1" ht="15.5">
      <c r="A1" s="50">
        <f>+Passivo!B99</f>
        <v>0</v>
      </c>
    </row>
    <row r="6" s="1" customFormat="1" ht="21">
      <c r="B6" s="51"/>
      <c r="C6" s="52"/>
      <c r="D6" s="53"/>
      <c r="F6" s="54"/>
      <c r="H6" s="51" t="s">
        <v>771</v>
      </c>
    </row>
    <row r="8" thickBot="1">
      <c r="D8" s="15" t="s">
        <v>772</v>
      </c>
    </row>
    <row r="9" thickBot="1" ht="19">
      <c r="D9" s="55">
        <f>YEAR(MENU!B1)</f>
        <v>2025</v>
      </c>
    </row>
    <row r="10" thickBot="1" ht="19">
      <c r="D10" s="56">
        <f>MONTH(MENU!B1)</f>
        <v>9</v>
      </c>
    </row>
    <row r="12" ht="22.5" customHeight="1"/>
    <row r="13" ht="36" customHeight="1">
      <c r="B13" s="57" t="s">
        <v>773</v>
      </c>
      <c r="C13" s="58" t="s">
        <v>774</v>
      </c>
      <c r="D13" s="58" t="s">
        <v>775</v>
      </c>
      <c r="E13" s="57" t="s">
        <v>776</v>
      </c>
    </row>
    <row r="14" thickBot="1"/>
    <row r="15" thickBot="1" ht="19">
      <c r="B15" s="59" t="s">
        <v>777</v>
      </c>
      <c r="C15" s="59" t="s">
        <v>778</v>
      </c>
      <c r="D15" s="59" t="s">
        <v>779</v>
      </c>
      <c r="E15" s="59" t="s">
        <v>780</v>
      </c>
    </row>
    <row r="16" thickBot="1" ht="21" customHeight="1">
      <c r="C16" s="59" t="s">
        <v>781</v>
      </c>
      <c r="D16" s="59" t="s">
        <v>782</v>
      </c>
      <c r="E16" s="2"/>
      <c r="G16" s="60"/>
    </row>
    <row r="17" thickBot="1" ht="21" customHeight="1">
      <c r="C17" s="59" t="s">
        <v>783</v>
      </c>
      <c r="D17" s="59" t="s">
        <v>784</v>
      </c>
      <c r="E17" s="2"/>
    </row>
    <row r="19" thickBot="1"/>
    <row r="20" thickBot="1" ht="19">
      <c r="C20" s="61" t="s">
        <v>785</v>
      </c>
      <c r="D20" s="62"/>
    </row>
    <row r="22" thickBot="1"/>
    <row r="23" thickBot="1" ht="19">
      <c r="C23" s="63" t="s">
        <v>786</v>
      </c>
      <c r="D23" s="64"/>
      <c r="G23" s="12"/>
    </row>
    <row r="27" ht="14.5">
      <c r="B27" s="65"/>
    </row>
    <row r="28" ht="14.5">
      <c r="B28" s="66"/>
      <c r="C28" s="65"/>
    </row>
    <row r="29" ht="14.5">
      <c r="C29" s="65"/>
    </row>
    <row r="30" ht="14.5">
      <c r="C30" s="65"/>
    </row>
    <row r="114" ht="14.5">
      <c r="A114" t="s">
        <v>708</v>
      </c>
      <c r="B114" s="12">
        <v>1</v>
      </c>
    </row>
    <row r="115" ht="14.5">
      <c r="A115" t="s">
        <v>709</v>
      </c>
      <c r="B115" s="12">
        <f t="shared" ref="B115:B125" si="0">+B114+1</f>
        <v>2</v>
      </c>
    </row>
    <row r="116" ht="14.5">
      <c r="A116" t="s">
        <v>710</v>
      </c>
      <c r="B116" s="12">
        <f t="shared" si="0"/>
        <v>3</v>
      </c>
    </row>
    <row r="117" ht="14.5">
      <c r="A117" t="s">
        <v>711</v>
      </c>
      <c r="B117" s="12">
        <f t="shared" si="0"/>
        <v>4</v>
      </c>
    </row>
    <row r="118" ht="14.5">
      <c r="A118" t="s">
        <v>712</v>
      </c>
      <c r="B118" s="12">
        <f t="shared" si="0"/>
        <v>5</v>
      </c>
    </row>
    <row r="119" ht="14.5">
      <c r="A119" t="s">
        <v>713</v>
      </c>
      <c r="B119" s="12">
        <f t="shared" si="0"/>
        <v>6</v>
      </c>
    </row>
    <row r="120" ht="14.5">
      <c r="A120" t="s">
        <v>714</v>
      </c>
      <c r="B120" s="12">
        <f t="shared" si="0"/>
        <v>7</v>
      </c>
    </row>
    <row r="121" ht="14.5">
      <c r="A121" t="s">
        <v>715</v>
      </c>
      <c r="B121" s="12">
        <f t="shared" si="0"/>
        <v>8</v>
      </c>
    </row>
    <row r="122" ht="14.5">
      <c r="A122" t="s">
        <v>716</v>
      </c>
      <c r="B122" s="12">
        <f t="shared" si="0"/>
        <v>9</v>
      </c>
    </row>
    <row r="123" ht="14.5">
      <c r="A123" t="s">
        <v>717</v>
      </c>
      <c r="B123" s="12">
        <f t="shared" si="0"/>
        <v>10</v>
      </c>
    </row>
    <row r="124" ht="14.5">
      <c r="A124" t="s">
        <v>718</v>
      </c>
      <c r="B124" s="12">
        <f t="shared" si="0"/>
        <v>11</v>
      </c>
    </row>
    <row r="125" ht="14.5">
      <c r="A125" t="s">
        <v>719</v>
      </c>
      <c r="B125" s="12">
        <f t="shared" si="0"/>
        <v>12</v>
      </c>
    </row>
    <row r="126" ht="14.5">
      <c r="A126" s="12"/>
    </row>
  </sheetData>
  <mergeCells count="2">
    <mergeCell ref="C20:D20"/>
    <mergeCell ref="C23:D23"/>
  </mergeCells>
  <hyperlinks>
    <hyperlink ref="C15" location="Attivo!A1" display="Gestione Attivo"/>
    <hyperlink ref="C16" location="Passivo!A1" display="Gestione Passivo"/>
    <hyperlink ref="C17" location="Passivo_Tipologie!A1" display="Tipologie Passivo"/>
    <hyperlink ref="D15" location="Affitto!A1" display="Affitto Azienda"/>
    <hyperlink ref="E15" location="C_Azienda!A1" display="Cessione Azienda"/>
    <hyperlink ref="C20" location="'Gestione e Proposta concordatar'!A1" display="GESTIONE PIANO"/>
    <hyperlink ref="D16" location="L_Iva!A1" display="Liquidazione Iva"/>
    <hyperlink ref="D17" location="PreDeduzione!A1" display="Prededuzione"/>
    <hyperlink ref="B15" location="Raccordo!A1" display="Raccordo data di spalla e assestamenti"/>
    <hyperlink ref="C23:D23" location="Relazione_AI!A1" display="TABELLE RELAZIONE PER AI"/>
  </hyperlinks>
  <pageSetup r:id="rId1" paperSize="9" orientation="portrait" horizontalDpi="300" verticalDpi="300"/>
</worksheet>
</file>

<file path=xl/worksheets/sheet19.xml><?xml version="1.0" encoding="utf-8"?>
<worksheet xmlns:r="http://schemas.openxmlformats.org/officeDocument/2006/relationships" xmlns="http://schemas.openxmlformats.org/spreadsheetml/2006/main">
  <sheetViews>
    <sheetView showGridLines="0" workbookViewId="0">
      <selection activeCell="F13" sqref="F13"/>
    </sheetView>
  </sheetViews>
  <sheetFormatPr defaultColWidth="11.42578" defaultRowHeight="15"/>
  <cols>
    <col min="4" max="4" width="62.14063" customWidth="1"/>
    <col min="5" max="6" width="16.57031" style="67" customWidth="1"/>
    <col min="8" max="12" width="18.42578" customWidth="1"/>
  </cols>
  <sheetData>
    <row r="4">
      <c r="D4" s="68" t="s">
        <v>787</v>
      </c>
      <c r="E4" s="69"/>
      <c r="F4" s="69"/>
      <c r="H4" s="12" t="s">
        <v>788</v>
      </c>
      <c r="I4" s="12" t="s">
        <v>789</v>
      </c>
      <c r="J4" s="12" t="s">
        <v>790</v>
      </c>
      <c r="K4" s="12" t="s">
        <v>791</v>
      </c>
      <c r="L4" s="12" t="s">
        <v>792</v>
      </c>
    </row>
    <row r="5" thickBot="1"/>
    <row r="6" thickTop="1" thickBot="1" ht="16.5">
      <c r="D6" t="s">
        <v>793</v>
      </c>
      <c r="F6" s="70">
        <v>0</v>
      </c>
      <c r="K6" s="67">
        <f>+F6</f>
        <v>0</v>
      </c>
    </row>
    <row r="7">
      <c r="D7" t="s">
        <v>794</v>
      </c>
      <c r="F7" s="67">
        <v>1000000</v>
      </c>
      <c r="H7" s="67">
        <v>500000</v>
      </c>
      <c r="I7" s="67">
        <v>500000</v>
      </c>
      <c r="J7" s="67">
        <v>0</v>
      </c>
      <c r="K7" s="67"/>
      <c r="L7" s="67"/>
    </row>
    <row r="8">
      <c r="D8" t="s">
        <v>795</v>
      </c>
      <c r="F8" s="67">
        <v>1000000</v>
      </c>
      <c r="H8" s="67"/>
      <c r="I8" s="67"/>
      <c r="J8" s="67"/>
      <c r="K8" s="67">
        <f>+F8</f>
        <v>1000000</v>
      </c>
      <c r="L8" s="67"/>
    </row>
    <row r="9">
      <c r="D9" t="s">
        <v>796</v>
      </c>
      <c r="F9" s="67">
        <v>1000000</v>
      </c>
      <c r="H9" s="67"/>
      <c r="I9" s="67"/>
      <c r="J9" s="67"/>
      <c r="K9" s="67">
        <f t="shared" ref="K9:K10" si="0">+F9</f>
        <v>1000000</v>
      </c>
      <c r="L9" s="67"/>
    </row>
    <row r="10" thickBot="1" ht="15.75">
      <c r="D10" t="s">
        <v>797</v>
      </c>
      <c r="E10" s="71"/>
      <c r="F10" s="71">
        <f>+Attivo!K8</f>
        <v>0</v>
      </c>
      <c r="H10" s="67"/>
      <c r="I10" s="67"/>
      <c r="J10" s="67"/>
      <c r="K10" s="67">
        <f t="shared" si="0"/>
        <v>0</v>
      </c>
      <c r="L10" s="67"/>
    </row>
    <row r="11">
      <c r="C11" t="s">
        <v>798</v>
      </c>
      <c r="D11" s="72" t="s">
        <v>799</v>
      </c>
      <c r="E11" s="73"/>
      <c r="F11" s="73">
        <f>SUM(F6:F10)</f>
        <v>3000000</v>
      </c>
      <c r="G11" s="3"/>
      <c r="H11" s="67"/>
      <c r="I11" s="67"/>
      <c r="J11" s="67"/>
      <c r="K11" s="67"/>
      <c r="L11" s="67"/>
    </row>
    <row r="12">
      <c r="H12" s="67"/>
      <c r="I12" s="67"/>
      <c r="J12" s="67"/>
      <c r="K12" s="67"/>
      <c r="L12" s="67"/>
    </row>
    <row r="13" thickTop="1" thickBot="1" ht="16.5">
      <c r="D13" t="s">
        <v>800</v>
      </c>
      <c r="F13" s="70">
        <v>1000000</v>
      </c>
      <c r="H13" s="67"/>
      <c r="I13" s="67"/>
      <c r="J13" s="67"/>
      <c r="K13" s="67">
        <f>+F13</f>
        <v>1000000</v>
      </c>
      <c r="L13" s="67"/>
    </row>
    <row r="14" thickTop="1" thickBot="1" ht="16.5">
      <c r="D14" t="s">
        <v>801</v>
      </c>
      <c r="F14" s="70">
        <v>1000000</v>
      </c>
      <c r="H14" s="67"/>
      <c r="I14" s="67"/>
      <c r="J14" s="67"/>
      <c r="K14" s="67">
        <f t="shared" ref="K14:K17" si="1">+F14</f>
        <v>1000000</v>
      </c>
      <c r="L14" s="67"/>
    </row>
    <row r="15" thickTop="1" thickBot="1" ht="16.5">
      <c r="D15" t="s">
        <v>802</v>
      </c>
      <c r="F15" s="70">
        <v>1000000</v>
      </c>
      <c r="H15" s="67"/>
      <c r="I15" s="67"/>
      <c r="J15" s="67"/>
      <c r="K15" s="67">
        <f t="shared" si="1"/>
        <v>1000000</v>
      </c>
      <c r="L15" s="67"/>
    </row>
    <row r="16" thickTop="1" thickBot="1" ht="16.5">
      <c r="D16" t="s">
        <v>803</v>
      </c>
      <c r="F16" s="70">
        <v>1000000</v>
      </c>
      <c r="H16" s="67"/>
      <c r="I16" s="67"/>
      <c r="J16" s="67"/>
      <c r="K16" s="67">
        <f t="shared" si="1"/>
        <v>1000000</v>
      </c>
      <c r="L16" s="67"/>
    </row>
    <row r="17" thickTop="1" thickBot="1" ht="16.5">
      <c r="D17" t="s">
        <v>804</v>
      </c>
      <c r="E17" s="71"/>
      <c r="F17" s="70">
        <v>1000000</v>
      </c>
      <c r="H17" s="67"/>
      <c r="I17" s="67"/>
      <c r="J17" s="67"/>
      <c r="K17" s="67">
        <f t="shared" si="1"/>
        <v>1000000</v>
      </c>
      <c r="L17" s="67"/>
    </row>
    <row r="18">
      <c r="C18" t="s">
        <v>39</v>
      </c>
      <c r="D18" s="72" t="s">
        <v>805</v>
      </c>
      <c r="E18" s="73"/>
      <c r="F18" s="73">
        <f>SUM(F13:F17)</f>
        <v>5000000</v>
      </c>
      <c r="G18" s="3"/>
      <c r="H18" s="67"/>
      <c r="I18" s="67"/>
      <c r="J18" s="67"/>
      <c r="K18" s="67"/>
      <c r="L18" s="67"/>
    </row>
    <row r="20" thickBot="1" ht="15.75">
      <c r="C20" s="74" t="s">
        <v>806</v>
      </c>
      <c r="D20" s="75" t="s">
        <v>807</v>
      </c>
      <c r="E20" s="76"/>
      <c r="F20" s="76">
        <f>+F11+F18</f>
        <v>8000000</v>
      </c>
      <c r="H20" s="76">
        <f>SUM(H6:H18)</f>
        <v>500000</v>
      </c>
      <c r="I20" s="76">
        <f t="shared" ref="I20:L20" si="2">SUM(I6:I18)</f>
        <v>500000</v>
      </c>
      <c r="J20" s="76">
        <f t="shared" si="2"/>
        <v>0</v>
      </c>
      <c r="K20" s="76">
        <f t="shared" si="2"/>
        <v>7000000</v>
      </c>
      <c r="L20" s="76">
        <f t="shared" si="2"/>
        <v>0</v>
      </c>
    </row>
    <row r="21">
      <c r="H21" s="77">
        <f>H20/$F$20</f>
        <v>0.0625</v>
      </c>
      <c r="I21" s="77">
        <f t="shared" ref="I21:L21" si="3">I20/$F$20</f>
        <v>0.0625</v>
      </c>
      <c r="J21" s="77">
        <f t="shared" si="3"/>
        <v>0</v>
      </c>
      <c r="K21" s="77">
        <f t="shared" si="3"/>
        <v>0.875</v>
      </c>
      <c r="L21" s="77">
        <f t="shared" si="3"/>
        <v>0</v>
      </c>
    </row>
    <row r="23">
      <c r="D23" s="68" t="s">
        <v>808</v>
      </c>
      <c r="E23" s="69"/>
      <c r="F23" s="69"/>
      <c r="H23" s="12"/>
      <c r="I23" s="12"/>
      <c r="J23" s="12"/>
      <c r="K23" s="12"/>
      <c r="L23" s="12"/>
    </row>
    <row r="25">
      <c r="D25" t="s">
        <v>809</v>
      </c>
      <c r="E25" s="67">
        <v>300000</v>
      </c>
      <c r="F25" s="67">
        <f>E25*1.04*1.22</f>
        <v>380640</v>
      </c>
      <c r="H25" s="67">
        <f>H21*$L$25</f>
        <v>-23790</v>
      </c>
      <c r="I25" s="67">
        <f t="shared" ref="I25:K26" si="4">I21*$L$25</f>
        <v>-23790</v>
      </c>
      <c r="J25" s="67">
        <f t="shared" si="4"/>
        <v>0</v>
      </c>
      <c r="K25" s="67">
        <f t="shared" si="4"/>
        <v>-333060</v>
      </c>
      <c r="L25" s="67">
        <f>-F25</f>
        <v>-380640</v>
      </c>
    </row>
    <row r="26">
      <c r="D26" t="s">
        <v>810</v>
      </c>
      <c r="E26" s="67">
        <v>10000</v>
      </c>
      <c r="F26" s="67">
        <f t="shared" ref="F26:F28" si="5">E26*1.04*1.22</f>
        <v>12688</v>
      </c>
      <c r="H26" s="67">
        <f>-F26/2</f>
        <v>-6344</v>
      </c>
      <c r="I26" s="67">
        <f>H26</f>
        <v>-6344</v>
      </c>
      <c r="J26" s="67">
        <f t="shared" si="4"/>
        <v>0</v>
      </c>
      <c r="K26" s="67">
        <f t="shared" si="4"/>
        <v>0</v>
      </c>
    </row>
    <row r="27">
      <c r="D27" t="s">
        <v>811</v>
      </c>
      <c r="E27" s="67">
        <v>30000</v>
      </c>
      <c r="F27" s="67">
        <f>E27</f>
        <v>30000</v>
      </c>
      <c r="H27" s="67">
        <v>-20000</v>
      </c>
      <c r="I27" s="67">
        <v>-10000</v>
      </c>
    </row>
    <row r="28">
      <c r="D28" t="s">
        <v>812</v>
      </c>
      <c r="E28" s="67">
        <v>100000</v>
      </c>
      <c r="F28" s="67">
        <f t="shared" si="5"/>
        <v>126880</v>
      </c>
      <c r="K28" s="67">
        <f>-F28</f>
        <v>-126880</v>
      </c>
    </row>
    <row r="29" thickBot="1" ht="15.75">
      <c r="D29" t="s">
        <v>813</v>
      </c>
      <c r="E29" s="71"/>
      <c r="F29" s="71">
        <v>0</v>
      </c>
    </row>
    <row r="30">
      <c r="C30" t="s">
        <v>89</v>
      </c>
      <c r="D30" s="72" t="s">
        <v>814</v>
      </c>
      <c r="E30" s="73"/>
      <c r="F30" s="73">
        <f>-SUM(F25:F29)</f>
        <v>-550208</v>
      </c>
      <c r="G30" s="3"/>
    </row>
    <row r="32">
      <c r="C32" t="s">
        <v>815</v>
      </c>
      <c r="D32" s="68" t="s">
        <v>816</v>
      </c>
      <c r="E32" s="69"/>
      <c r="F32" s="69">
        <f>+F20+F30</f>
        <v>7449792</v>
      </c>
      <c r="H32" s="69">
        <f>+H20+SUM(H25:H29)</f>
        <v>449866</v>
      </c>
      <c r="I32" s="69">
        <f t="shared" ref="I32:K32" si="6">+I20+SUM(I25:I29)</f>
        <v>459866</v>
      </c>
      <c r="J32" s="69">
        <f t="shared" si="6"/>
        <v>0</v>
      </c>
      <c r="K32" s="69">
        <f t="shared" si="6"/>
        <v>6540060</v>
      </c>
      <c r="L32" s="12"/>
    </row>
    <row r="34">
      <c r="D34" t="s">
        <v>817</v>
      </c>
      <c r="F34" s="67">
        <v>300000</v>
      </c>
      <c r="H34" s="67">
        <f>-F34</f>
        <v>-300000</v>
      </c>
    </row>
    <row r="35">
      <c r="D35" t="s">
        <v>818</v>
      </c>
      <c r="F35" s="67">
        <v>500000</v>
      </c>
      <c r="H35" s="67">
        <f>-(H32+H34)</f>
        <v>-149866</v>
      </c>
    </row>
    <row r="36">
      <c r="D36" t="s">
        <v>819</v>
      </c>
      <c r="E36" s="67">
        <f>F35+H35</f>
        <v>350134</v>
      </c>
      <c r="H36" s="67"/>
    </row>
    <row r="37">
      <c r="D37" t="s">
        <v>820</v>
      </c>
      <c r="F37" s="67">
        <v>400000</v>
      </c>
      <c r="I37" s="67">
        <f>-F37</f>
        <v>-400000</v>
      </c>
    </row>
    <row r="38" thickBot="1" ht="15.75">
      <c r="H38" s="76">
        <f>SUM(H32:H37)</f>
        <v>0</v>
      </c>
      <c r="I38" s="76">
        <f t="shared" ref="I38:K38" si="7">SUM(I32:I37)</f>
        <v>59866</v>
      </c>
      <c r="J38" s="76">
        <f t="shared" si="7"/>
        <v>0</v>
      </c>
      <c r="K38" s="76">
        <f t="shared" si="7"/>
        <v>6540060</v>
      </c>
    </row>
    <row r="39">
      <c r="I39" s="67"/>
    </row>
    <row r="40" thickBot="1" ht="15.75">
      <c r="D40" s="68" t="s">
        <v>821</v>
      </c>
      <c r="I40" s="67"/>
      <c r="K40" s="76">
        <f>+H38+I38</f>
        <v>59866</v>
      </c>
    </row>
    <row r="41">
      <c r="I41" s="67"/>
    </row>
    <row r="42" thickBot="1" ht="15.75">
      <c r="D42" s="68" t="s">
        <v>816</v>
      </c>
      <c r="K42" s="76">
        <f>+K38+K40</f>
        <v>6599926</v>
      </c>
    </row>
    <row r="43" thickTop="1"/>
    <row r="44">
      <c r="D44" t="s">
        <v>822</v>
      </c>
      <c r="F44" s="67">
        <v>-3500000</v>
      </c>
      <c r="K44" s="67">
        <f>+F44</f>
        <v>-3500000</v>
      </c>
      <c r="L44" s="67">
        <f>+K42+K44</f>
        <v>3099926</v>
      </c>
    </row>
    <row r="45">
      <c r="D45" t="s">
        <v>823</v>
      </c>
      <c r="F45" s="67">
        <v>-250000</v>
      </c>
      <c r="K45" s="67">
        <f t="shared" ref="K45:K48" si="8">+F45</f>
        <v>-250000</v>
      </c>
      <c r="L45" s="67">
        <f>+L44+K45</f>
        <v>2849926</v>
      </c>
    </row>
    <row r="46">
      <c r="D46" t="s">
        <v>824</v>
      </c>
      <c r="F46" s="67">
        <v>-320000</v>
      </c>
      <c r="K46" s="67">
        <f t="shared" si="8"/>
        <v>-320000</v>
      </c>
      <c r="L46" s="67">
        <f t="shared" ref="L46:L49" si="9">+L45+K46</f>
        <v>2529926</v>
      </c>
    </row>
    <row r="47">
      <c r="D47" t="s">
        <v>825</v>
      </c>
      <c r="F47" s="67">
        <v>-7500000</v>
      </c>
      <c r="K47" s="67">
        <f t="shared" si="8"/>
        <v>-7500000</v>
      </c>
      <c r="L47" s="67">
        <f t="shared" si="9"/>
        <v>-4970074</v>
      </c>
      <c r="M47" s="78">
        <f>L46/-K47</f>
        <v>0.33732346666666668</v>
      </c>
    </row>
    <row r="48">
      <c r="D48" t="s">
        <v>826</v>
      </c>
      <c r="F48" s="67">
        <v>-1350000</v>
      </c>
      <c r="K48" s="67">
        <f t="shared" si="8"/>
        <v>-1350000</v>
      </c>
      <c r="L48" s="67">
        <f t="shared" si="9"/>
        <v>-6320074</v>
      </c>
    </row>
    <row r="49">
      <c r="K49" s="67">
        <f>SUM(K44:K48)</f>
        <v>-12920000</v>
      </c>
      <c r="L49" s="67">
        <f t="shared" si="9"/>
        <v>-19240074</v>
      </c>
    </row>
    <row r="53">
      <c r="D53" t="s">
        <v>827</v>
      </c>
    </row>
    <row r="54">
      <c r="D54" t="s">
        <v>828</v>
      </c>
    </row>
    <row r="55">
      <c r="D55" t="s">
        <v>829</v>
      </c>
    </row>
    <row r="56">
      <c r="D56" t="s">
        <v>830</v>
      </c>
    </row>
    <row r="57">
      <c r="D57" t="s">
        <v>831</v>
      </c>
    </row>
  </sheetData>
  <conditionalFormatting sqref="D34:D39 D41 D43:D57">
    <cfRule priority="1" dxfId="0" type="expression">
      <formula>$B34="Chirografario"</formula>
    </cfRule>
    <cfRule priority="10" dxfId="1" type="expression">
      <formula>$B34="Privilegiato"</formula>
    </cfRule>
    <cfRule priority="12" dxfId="2" type="expression">
      <formula>$B34="Ipotecario"</formula>
    </cfRule>
  </conditionalFormatting>
  <legacyDrawing r:id="rId1"/>
</worksheet>
</file>

<file path=xl/worksheets/sheet20.xml><?xml version="1.0" encoding="utf-8"?>
<worksheet xmlns:r="http://schemas.openxmlformats.org/officeDocument/2006/relationships" xmlns="http://schemas.openxmlformats.org/spreadsheetml/2006/main">
  <sheetViews>
    <sheetView showGridLines="0" workbookViewId="0"/>
  </sheetViews>
  <sheetFormatPr defaultRowHeight="15"/>
  <cols>
    <col min="4" max="4" width="34.28516" bestFit="1" customWidth="1"/>
    <col min="5" max="5" width="31.42578" customWidth="1"/>
    <col min="6" max="6" width="10.71094" bestFit="1" customWidth="1"/>
    <col min="7" max="7" width="18.57031" customWidth="1"/>
    <col min="8" max="8" width="14.71094" customWidth="1"/>
    <col min="9" max="9" width="16.14063" customWidth="1"/>
    <col min="10" max="10" width="16.71094" bestFit="1" customWidth="1"/>
    <col min="11" max="11" width="13.57031" customWidth="1"/>
    <col min="12" max="12" width="19.42578" bestFit="1" customWidth="1"/>
    <col min="13" max="13" width="20.57031" bestFit="1" customWidth="1"/>
    <col min="16" max="16" width="12" bestFit="1" customWidth="1"/>
  </cols>
  <sheetData>
    <row r="1" ht="14.5">
      <c r="A1" s="79" t="s">
        <v>38</v>
      </c>
    </row>
    <row r="2" ht="14.5">
      <c r="D2" t="s">
        <v>832</v>
      </c>
    </row>
    <row r="3" ht="14.5">
      <c r="D3" t="s">
        <v>833</v>
      </c>
      <c r="E3" s="15" t="str">
        <f>+Attivo!B3</f>
        <v>9 2025</v>
      </c>
      <c r="F3" s="80" t="s">
        <v>834</v>
      </c>
      <c r="G3" s="80"/>
      <c r="H3" s="80"/>
      <c r="I3" s="80"/>
      <c r="J3" s="80"/>
    </row>
    <row r="4" ht="30">
      <c r="D4" s="15" t="s">
        <v>835</v>
      </c>
      <c r="E4" s="81" t="s">
        <v>836</v>
      </c>
      <c r="F4" s="82" t="str">
        <f>+Attivo!C4</f>
        <v>Cessioni</v>
      </c>
      <c r="G4" s="83" t="str">
        <f>+Attivo!E4</f>
        <v>Compensazioni</v>
      </c>
      <c r="H4" s="83" t="str">
        <f>+Attivo!G4</f>
        <v>Rettifiche Economiche</v>
      </c>
      <c r="I4" s="83" t="str">
        <f>+Attivo!H4</f>
        <v>Rettifica Patrimoniale</v>
      </c>
      <c r="J4" s="82" t="str">
        <f>+Attivo!I4</f>
        <v>F.do Svalutazione</v>
      </c>
      <c r="K4" s="82" t="s">
        <v>842</v>
      </c>
      <c r="L4" s="81" t="s">
        <v>843</v>
      </c>
    </row>
    <row r="5" ht="14.5">
      <c r="D5" s="84" t="str">
        <f>+Attivo!A5</f>
        <v>Liquidità immediate</v>
      </c>
      <c r="E5" s="85">
        <f>+Attivo!B5</f>
        <v>0</v>
      </c>
      <c r="F5" s="86">
        <f>+Attivo!C5</f>
        <v>0</v>
      </c>
      <c r="G5" s="86">
        <f>+Attivo!E5</f>
        <v>0</v>
      </c>
      <c r="H5" s="86">
        <f>+Attivo!G5</f>
        <v>0</v>
      </c>
      <c r="I5" s="86">
        <f>+Attivo!H5</f>
        <v>0</v>
      </c>
      <c r="J5" s="86">
        <f>+Attivo!I5</f>
        <v>0</v>
      </c>
      <c r="K5" s="86">
        <f>+Attivo!J5</f>
        <v>0</v>
      </c>
      <c r="L5" s="85">
        <f>+Attivo!K5</f>
        <v>0</v>
      </c>
    </row>
    <row r="6" ht="14.5">
      <c r="D6" s="84" t="str">
        <f>+Attivo!A8</f>
        <v>Clienti</v>
      </c>
      <c r="E6" s="85">
        <f>+Attivo!B8</f>
        <v>0</v>
      </c>
      <c r="F6" s="86">
        <f>+Attivo!C8</f>
        <v>0</v>
      </c>
      <c r="G6" s="86">
        <f>+Attivo!E8</f>
        <v>0</v>
      </c>
      <c r="H6" s="86">
        <f>+Attivo!G8</f>
        <v>0</v>
      </c>
      <c r="I6" s="86">
        <f>+Attivo!H8</f>
        <v>0</v>
      </c>
      <c r="J6" s="86">
        <f>+Attivo!I8</f>
        <v>0</v>
      </c>
      <c r="K6" s="86">
        <f>+Attivo!J8</f>
        <v>0</v>
      </c>
      <c r="L6" s="85">
        <f>+Attivo!K8</f>
        <v>0</v>
      </c>
    </row>
    <row r="7" ht="14.5">
      <c r="D7" s="84" t="str">
        <f>+Attivo!A18</f>
        <v>Fatture da Emettere</v>
      </c>
      <c r="E7" s="85">
        <f>+Attivo!B18</f>
        <v>0</v>
      </c>
      <c r="F7" s="86">
        <f>+Attivo!C18</f>
        <v>0</v>
      </c>
      <c r="G7" s="86">
        <f>+Attivo!E18</f>
        <v>0</v>
      </c>
      <c r="H7" s="86">
        <f>+Attivo!G18</f>
        <v>0</v>
      </c>
      <c r="I7" s="86">
        <f>+Attivo!H18</f>
        <v>0</v>
      </c>
      <c r="J7" s="86">
        <f>+Attivo!I18</f>
        <v>0</v>
      </c>
      <c r="K7" s="86">
        <f>+Attivo!J18</f>
        <v>0</v>
      </c>
      <c r="L7" s="85">
        <f>+Attivo!K18</f>
        <v>0</v>
      </c>
    </row>
    <row r="8" ht="14.5">
      <c r="D8" s="84" t="str">
        <f>+Attivo!A28</f>
        <v>Crediti verso altri</v>
      </c>
      <c r="E8" s="85">
        <f>+Attivo!B28</f>
        <v>0</v>
      </c>
      <c r="F8" s="86">
        <f>+Attivo!C28</f>
        <v>0</v>
      </c>
      <c r="G8" s="86">
        <f>+Attivo!E28</f>
        <v>0</v>
      </c>
      <c r="H8" s="86">
        <f>+Attivo!G28</f>
        <v>0</v>
      </c>
      <c r="I8" s="86">
        <f>+Attivo!H28</f>
        <v>0</v>
      </c>
      <c r="J8" s="86">
        <f>+Attivo!I28</f>
        <v>0</v>
      </c>
      <c r="K8" s="86">
        <f>+Attivo!J28</f>
        <v>0</v>
      </c>
      <c r="L8" s="85">
        <f>+Attivo!K28</f>
        <v>0</v>
      </c>
    </row>
    <row r="9" ht="14.5">
      <c r="D9" s="84" t="str">
        <f>+Attivo!A39</f>
        <v>Anticipo da Fornitori</v>
      </c>
      <c r="E9" s="85">
        <f>+Attivo!B39</f>
        <v>0</v>
      </c>
      <c r="F9" s="86">
        <f>+Attivo!C39</f>
        <v>0</v>
      </c>
      <c r="G9" s="86">
        <f>+Attivo!E39</f>
        <v>0</v>
      </c>
      <c r="H9" s="86">
        <f>+Attivo!G39</f>
        <v>0</v>
      </c>
      <c r="I9" s="86">
        <f>+Attivo!H39</f>
        <v>0</v>
      </c>
      <c r="J9" s="86">
        <f>+Attivo!I39</f>
        <v>0</v>
      </c>
      <c r="K9" s="86">
        <f>+Attivo!J39</f>
        <v>0</v>
      </c>
      <c r="L9" s="85">
        <f>+Attivo!K39</f>
        <v>0</v>
      </c>
    </row>
    <row r="10" ht="14.5">
      <c r="D10" s="84" t="str">
        <f>+Attivo!A43</f>
        <v>Fornitori Note di Credito da Ricevere</v>
      </c>
      <c r="E10" s="85">
        <f>+Attivo!B43</f>
        <v>0</v>
      </c>
      <c r="F10" s="86">
        <f>+Attivo!C43</f>
        <v>0</v>
      </c>
      <c r="G10" s="86">
        <f>+Attivo!E43</f>
        <v>0</v>
      </c>
      <c r="H10" s="86">
        <f>+Attivo!G43</f>
        <v>0</v>
      </c>
      <c r="I10" s="86">
        <f>+Attivo!H43</f>
        <v>0</v>
      </c>
      <c r="J10" s="86">
        <f>+Attivo!I43</f>
        <v>0</v>
      </c>
      <c r="K10" s="86">
        <f>+Attivo!J43</f>
        <v>0</v>
      </c>
      <c r="L10" s="85">
        <f>+Attivo!K43</f>
        <v>0</v>
      </c>
    </row>
    <row r="11" ht="14.5">
      <c r="D11" s="84" t="str">
        <f>+Attivo!A47</f>
        <v>Crediti v/Imprese controllate</v>
      </c>
      <c r="E11" s="85">
        <f>+Attivo!B47</f>
        <v>0</v>
      </c>
      <c r="F11" s="86">
        <f>+Attivo!C47</f>
        <v>0</v>
      </c>
      <c r="G11" s="86">
        <f>+Attivo!E47</f>
        <v>0</v>
      </c>
      <c r="H11" s="86">
        <f>+Attivo!G47</f>
        <v>0</v>
      </c>
      <c r="I11" s="86">
        <f>+Attivo!H47</f>
        <v>0</v>
      </c>
      <c r="J11" s="86">
        <f>+Attivo!I47</f>
        <v>0</v>
      </c>
      <c r="K11" s="86">
        <f>+Attivo!J47</f>
        <v>0</v>
      </c>
      <c r="L11" s="85">
        <f>+Attivo!K47</f>
        <v>0</v>
      </c>
    </row>
    <row r="12" ht="14.5">
      <c r="D12" s="84" t="str">
        <f>+Attivo!A51</f>
        <v>Crediti v/Imprese collegate</v>
      </c>
      <c r="E12" s="85">
        <f>+Attivo!B51</f>
        <v>0</v>
      </c>
      <c r="F12" s="86">
        <f>+Attivo!C51</f>
        <v>0</v>
      </c>
      <c r="G12" s="86">
        <f>+Attivo!E51</f>
        <v>0</v>
      </c>
      <c r="H12" s="86">
        <f>+Attivo!G51</f>
        <v>0</v>
      </c>
      <c r="I12" s="86">
        <f>+Attivo!H51</f>
        <v>0</v>
      </c>
      <c r="J12" s="86">
        <f>+Attivo!I51</f>
        <v>0</v>
      </c>
      <c r="K12" s="86">
        <f>+Attivo!J51</f>
        <v>0</v>
      </c>
      <c r="L12" s="85">
        <f>+Attivo!K51</f>
        <v>0</v>
      </c>
    </row>
    <row r="13" ht="14.5">
      <c r="D13" s="84" t="str">
        <f>+Attivo!A55</f>
        <v>Crediti v/Imprese controllanti</v>
      </c>
      <c r="E13" s="85">
        <f>+Attivo!B55</f>
        <v>0</v>
      </c>
      <c r="F13" s="86">
        <f>+Attivo!C55</f>
        <v>0</v>
      </c>
      <c r="G13" s="86">
        <f>+Attivo!E55</f>
        <v>0</v>
      </c>
      <c r="H13" s="86">
        <f>+Attivo!G55</f>
        <v>0</v>
      </c>
      <c r="I13" s="86">
        <f>+Attivo!H55</f>
        <v>0</v>
      </c>
      <c r="J13" s="86">
        <f>+Attivo!I55</f>
        <v>0</v>
      </c>
      <c r="K13" s="86">
        <f>+Attivo!J55</f>
        <v>0</v>
      </c>
      <c r="L13" s="85">
        <f>+Attivo!K55</f>
        <v>0</v>
      </c>
    </row>
    <row r="14" ht="14.5">
      <c r="D14" s="84" t="str">
        <f>+Attivo!A59</f>
        <v>Crediti v/Società del Gruppo</v>
      </c>
      <c r="E14" s="85">
        <f>+Attivo!B59</f>
        <v>0</v>
      </c>
      <c r="F14" s="86">
        <f>+Attivo!C59</f>
        <v>0</v>
      </c>
      <c r="G14" s="86">
        <f>+Attivo!E59</f>
        <v>0</v>
      </c>
      <c r="H14" s="86">
        <f>+Attivo!G59</f>
        <v>0</v>
      </c>
      <c r="I14" s="86">
        <f>+Attivo!H59</f>
        <v>0</v>
      </c>
      <c r="J14" s="86">
        <f>+Attivo!I59</f>
        <v>0</v>
      </c>
      <c r="K14" s="86">
        <f>+Attivo!J59</f>
        <v>0</v>
      </c>
      <c r="L14" s="85">
        <f>+Attivo!K59</f>
        <v>0</v>
      </c>
    </row>
    <row r="15" ht="14.5">
      <c r="D15" s="84" t="str">
        <f>+Attivo!A63</f>
        <v>Credito Iva</v>
      </c>
      <c r="E15" s="85">
        <f>+Attivo!B63</f>
        <v>0</v>
      </c>
      <c r="F15" s="86">
        <f>+Attivo!C63</f>
        <v>0</v>
      </c>
      <c r="G15" s="86">
        <f>+Attivo!E63</f>
        <v>0</v>
      </c>
      <c r="H15" s="86">
        <f>+Attivo!G63</f>
        <v>0</v>
      </c>
      <c r="I15" s="86">
        <f>+Attivo!H63</f>
        <v>0</v>
      </c>
      <c r="J15" s="86">
        <f>+Attivo!I63</f>
        <v>0</v>
      </c>
      <c r="K15" s="86">
        <f>+Attivo!J63</f>
        <v>0</v>
      </c>
      <c r="L15" s="85">
        <f>+Attivo!K63</f>
        <v>0</v>
      </c>
    </row>
    <row r="16" ht="14.5">
      <c r="D16" s="84" t="str">
        <f>+Attivo!A67</f>
        <v>Crediti Tributari</v>
      </c>
      <c r="E16" s="85">
        <f>+Attivo!B67</f>
        <v>0</v>
      </c>
      <c r="F16" s="86">
        <f>+Attivo!C67</f>
        <v>0</v>
      </c>
      <c r="G16" s="86">
        <f>+Attivo!E67</f>
        <v>0</v>
      </c>
      <c r="H16" s="86">
        <f>+Attivo!G67</f>
        <v>0</v>
      </c>
      <c r="I16" s="86">
        <f>+Attivo!H67</f>
        <v>0</v>
      </c>
      <c r="J16" s="86">
        <f>+Attivo!I67</f>
        <v>0</v>
      </c>
      <c r="K16" s="86">
        <f>+Attivo!J67</f>
        <v>0</v>
      </c>
      <c r="L16" s="85">
        <f>+Attivo!K67</f>
        <v>0</v>
      </c>
    </row>
    <row r="17" ht="14.5">
      <c r="D17" s="84" t="str">
        <f>+Attivo!A71</f>
        <v>Crediti verso Soci</v>
      </c>
      <c r="E17" s="85">
        <f>+Attivo!B71</f>
        <v>0</v>
      </c>
      <c r="F17" s="86">
        <f>+Attivo!C71</f>
        <v>0</v>
      </c>
      <c r="G17" s="86">
        <f>+Attivo!E71</f>
        <v>0</v>
      </c>
      <c r="H17" s="86">
        <f>+Attivo!G71</f>
        <v>0</v>
      </c>
      <c r="I17" s="86">
        <f>+Attivo!H71</f>
        <v>0</v>
      </c>
      <c r="J17" s="86">
        <f>+Attivo!I71</f>
        <v>0</v>
      </c>
      <c r="K17" s="86">
        <f>+Attivo!J71</f>
        <v>0</v>
      </c>
      <c r="L17" s="85">
        <f>+Attivo!K71</f>
        <v>0</v>
      </c>
    </row>
    <row r="18" ht="14.5">
      <c r="D18" s="84" t="str">
        <f>+Attivo!A75</f>
        <v>Crediti vs Enti Previdenziali</v>
      </c>
      <c r="E18" s="85">
        <f>+Attivo!B75</f>
        <v>0</v>
      </c>
      <c r="F18" s="86">
        <f>+Attivo!C75</f>
        <v>0</v>
      </c>
      <c r="G18" s="86">
        <f>+Attivo!E75</f>
        <v>0</v>
      </c>
      <c r="H18" s="86">
        <f>+Attivo!G75</f>
        <v>0</v>
      </c>
      <c r="I18" s="86">
        <f>+Attivo!H75</f>
        <v>0</v>
      </c>
      <c r="J18" s="86">
        <f>+Attivo!I75</f>
        <v>0</v>
      </c>
      <c r="K18" s="86">
        <f>+Attivo!J75</f>
        <v>0</v>
      </c>
      <c r="L18" s="85">
        <f>+Attivo!K75</f>
        <v>0</v>
      </c>
    </row>
    <row r="19" ht="14.5">
      <c r="D19" s="84" t="str">
        <f>+Attivo!A79</f>
        <v>Crediti vs Dipendenti</v>
      </c>
      <c r="E19" s="85">
        <f>+Attivo!B79</f>
        <v>0</v>
      </c>
      <c r="F19" s="86">
        <f>+Attivo!C79</f>
        <v>0</v>
      </c>
      <c r="G19" s="86">
        <f>+Attivo!E79</f>
        <v>0</v>
      </c>
      <c r="H19" s="86">
        <f>+Attivo!G79</f>
        <v>0</v>
      </c>
      <c r="I19" s="86">
        <f>+Attivo!H79</f>
        <v>0</v>
      </c>
      <c r="J19" s="86">
        <f>+Attivo!I79</f>
        <v>0</v>
      </c>
      <c r="K19" s="86">
        <f>+Attivo!J79</f>
        <v>0</v>
      </c>
      <c r="L19" s="85">
        <f>+Attivo!K79</f>
        <v>0</v>
      </c>
    </row>
    <row r="20" ht="14.5">
      <c r="D20" s="84" t="str">
        <f>+Attivo!A83</f>
        <v>Ratei Attivi</v>
      </c>
      <c r="E20" s="85">
        <f>+Attivo!B83</f>
        <v>0</v>
      </c>
      <c r="F20" s="86">
        <f>+Attivo!C83</f>
        <v>0</v>
      </c>
      <c r="G20" s="86">
        <f>+Attivo!E83</f>
        <v>0</v>
      </c>
      <c r="H20" s="86">
        <f>+Attivo!G83</f>
        <v>0</v>
      </c>
      <c r="I20" s="86">
        <f>+Attivo!H83</f>
        <v>0</v>
      </c>
      <c r="J20" s="86">
        <f>+Attivo!I83</f>
        <v>0</v>
      </c>
      <c r="K20" s="86">
        <f>+Attivo!J83</f>
        <v>0</v>
      </c>
      <c r="L20" s="85">
        <f>+Attivo!K83</f>
        <v>0</v>
      </c>
    </row>
    <row r="21" ht="14.5">
      <c r="D21" s="84" t="str">
        <f>+Attivo!A87</f>
        <v>Risconti Attivi</v>
      </c>
      <c r="E21" s="85">
        <f>+Attivo!B87</f>
        <v>0</v>
      </c>
      <c r="F21" s="86">
        <f>+Attivo!C87</f>
        <v>0</v>
      </c>
      <c r="G21" s="86">
        <f>+Attivo!E87</f>
        <v>0</v>
      </c>
      <c r="H21" s="86">
        <f>+Attivo!G87</f>
        <v>0</v>
      </c>
      <c r="I21" s="86">
        <f>+Attivo!H87</f>
        <v>0</v>
      </c>
      <c r="J21" s="86">
        <f>+Attivo!I87</f>
        <v>0</v>
      </c>
      <c r="K21" s="86">
        <f>+Attivo!J87</f>
        <v>0</v>
      </c>
      <c r="L21" s="85">
        <f>+Attivo!K87</f>
        <v>0</v>
      </c>
    </row>
    <row r="22" ht="14.5">
      <c r="D22" s="84" t="str">
        <f>+Attivo!A92</f>
        <v>Rimanenze</v>
      </c>
      <c r="E22" s="85">
        <f>+Attivo!B92</f>
        <v>0</v>
      </c>
      <c r="F22" s="86">
        <f>+Attivo!C92</f>
        <v>0</v>
      </c>
      <c r="G22" s="86">
        <f>+Attivo!E92</f>
        <v>0</v>
      </c>
      <c r="H22" s="86">
        <f>+Attivo!G92</f>
        <v>0</v>
      </c>
      <c r="I22" s="86">
        <f>+Attivo!H92</f>
        <v>0</v>
      </c>
      <c r="J22" s="86">
        <f>+Attivo!I92</f>
        <v>0</v>
      </c>
      <c r="K22" s="86">
        <f>+Attivo!J92</f>
        <v>0</v>
      </c>
      <c r="L22" s="85">
        <f>+Attivo!K92</f>
        <v>0</v>
      </c>
    </row>
    <row r="23" ht="14.5">
      <c r="D23" s="84" t="str">
        <f>+Attivo!A99</f>
        <v>Immobilizzazioni immateriali</v>
      </c>
      <c r="E23" s="85">
        <f>+Attivo!B99</f>
        <v>0</v>
      </c>
      <c r="F23" s="86">
        <f>+Attivo!C99</f>
        <v>0</v>
      </c>
      <c r="G23" s="86">
        <f>+Attivo!E99</f>
        <v>0</v>
      </c>
      <c r="H23" s="86">
        <f>+Attivo!G99</f>
        <v>0</v>
      </c>
      <c r="I23" s="86">
        <f>+Attivo!H99</f>
        <v>0</v>
      </c>
      <c r="J23" s="86">
        <f>+Attivo!I99</f>
        <v>0</v>
      </c>
      <c r="K23" s="86">
        <f>+Attivo!J99</f>
        <v>0</v>
      </c>
      <c r="L23" s="85">
        <f>+Attivo!K99</f>
        <v>0</v>
      </c>
    </row>
    <row r="24" ht="14.5">
      <c r="D24" s="84" t="str">
        <f>+Attivo!A105</f>
        <v>Immobilizzazioni materiali</v>
      </c>
      <c r="E24" s="85">
        <f>+Attivo!B105</f>
        <v>0</v>
      </c>
      <c r="F24" s="86">
        <f>+Attivo!C105</f>
        <v>0</v>
      </c>
      <c r="G24" s="86">
        <f>+Attivo!E105</f>
        <v>0</v>
      </c>
      <c r="H24" s="86">
        <f>+Attivo!G105</f>
        <v>0</v>
      </c>
      <c r="I24" s="86">
        <f>+Attivo!H105</f>
        <v>0</v>
      </c>
      <c r="J24" s="86">
        <f>+Attivo!I105</f>
        <v>0</v>
      </c>
      <c r="K24" s="86">
        <f>+Attivo!J105</f>
        <v>0</v>
      </c>
      <c r="L24" s="85">
        <f>+Attivo!K105</f>
        <v>0</v>
      </c>
    </row>
    <row r="25" ht="14.5">
      <c r="D25" s="84" t="str">
        <f>+Attivo!A114</f>
        <v>Immobilizzazioni finanziarie</v>
      </c>
      <c r="E25" s="85">
        <f>+Attivo!B114</f>
        <v>0</v>
      </c>
      <c r="F25" s="86">
        <f>+Attivo!C114</f>
        <v>0</v>
      </c>
      <c r="G25" s="86">
        <f>+Attivo!E114</f>
        <v>0</v>
      </c>
      <c r="H25" s="86">
        <f>+Attivo!G114</f>
        <v>0</v>
      </c>
      <c r="I25" s="86">
        <f>+Attivo!H114</f>
        <v>0</v>
      </c>
      <c r="J25" s="86">
        <f>+Attivo!I114</f>
        <v>0</v>
      </c>
      <c r="K25" s="86">
        <f>+Attivo!J114</f>
        <v>0</v>
      </c>
      <c r="L25" s="85">
        <f>+Attivo!K114</f>
        <v>0</v>
      </c>
    </row>
    <row r="26" thickBot="1"/>
    <row r="27" thickBot="1">
      <c r="D27" s="3" t="s">
        <v>849</v>
      </c>
      <c r="E27" s="87">
        <f>SUM(E5:E26)</f>
        <v>0</v>
      </c>
      <c r="F27" s="88">
        <f t="shared" ref="F27:L27" si="0">SUM(F5:F26)</f>
        <v>0</v>
      </c>
      <c r="G27" s="88">
        <f t="shared" si="0"/>
        <v>0</v>
      </c>
      <c r="H27" s="88">
        <f t="shared" si="0"/>
        <v>0</v>
      </c>
      <c r="I27" s="88">
        <f t="shared" si="0"/>
        <v>0</v>
      </c>
      <c r="J27" s="88">
        <f t="shared" si="0"/>
        <v>0</v>
      </c>
      <c r="K27" s="88">
        <f t="shared" si="0"/>
        <v>0</v>
      </c>
      <c r="L27" s="87">
        <f t="shared" si="0"/>
        <v>0</v>
      </c>
    </row>
    <row r="29" ht="14.5">
      <c r="D29" t="s">
        <v>850</v>
      </c>
    </row>
    <row r="30" ht="14.5">
      <c r="D30" t="str">
        <f>+D3</f>
        <v>BILANCIO AL</v>
      </c>
      <c r="E30" s="15" t="str">
        <f>+E3</f>
        <v>9 2025</v>
      </c>
    </row>
    <row r="31" ht="30">
      <c r="E31" s="81" t="str">
        <f>+E4</f>
        <v>CONTABILE</v>
      </c>
      <c r="F31" s="82" t="str">
        <f>+Passivo!C5</f>
        <v>Incrementi</v>
      </c>
      <c r="G31" s="82" t="str">
        <f>+Passivo!D5</f>
        <v>Decrementi</v>
      </c>
      <c r="H31" s="82" t="str">
        <f>+Passivo!E5</f>
        <v>Compensato</v>
      </c>
      <c r="I31" s="82" t="str">
        <f>+Passivo!F5</f>
        <v>Fondo rischi</v>
      </c>
      <c r="J31" s="82" t="str">
        <f>+Passivo!G5</f>
        <v>Sanzioni e Accessori</v>
      </c>
      <c r="K31" s="82" t="str">
        <f>+Passivo!H5</f>
        <v>Interessi</v>
      </c>
      <c r="L31" s="82" t="str">
        <f>+K4</f>
        <v>TOTALE RETTIFICHE</v>
      </c>
      <c r="M31" s="81" t="s">
        <v>856</v>
      </c>
    </row>
    <row r="32" ht="14.5">
      <c r="D32" s="84" t="str">
        <f>+Passivo!A6</f>
        <v>Banche - c/c passivi</v>
      </c>
      <c r="E32" s="85">
        <f>+Passivo!B6</f>
        <v>0</v>
      </c>
      <c r="F32" s="86">
        <f>+Passivo!C6</f>
        <v>0</v>
      </c>
      <c r="G32" s="86">
        <f>+Passivo!D6</f>
        <v>0</v>
      </c>
      <c r="H32" s="86">
        <f>+Passivo!E6</f>
        <v>0</v>
      </c>
      <c r="I32" s="86">
        <f>+Passivo!F6</f>
        <v>0</v>
      </c>
      <c r="J32" s="86">
        <f>+Passivo!G6</f>
        <v>0</v>
      </c>
      <c r="K32" s="86">
        <f>+Passivo!H6</f>
        <v>0</v>
      </c>
      <c r="L32" s="86">
        <f>+Passivo!I6</f>
        <v>0</v>
      </c>
      <c r="M32" s="85">
        <f>+Passivo!J6</f>
        <v>0</v>
      </c>
    </row>
    <row r="33" ht="14.5">
      <c r="D33" s="84" t="str">
        <f>+Passivo!A18</f>
        <v>Debiti v/Fornitori</v>
      </c>
      <c r="E33" s="85">
        <f>+Passivo!B18</f>
        <v>0</v>
      </c>
      <c r="F33" s="86">
        <f>+Passivo!C18</f>
        <v>0</v>
      </c>
      <c r="G33" s="86">
        <f>+Passivo!D18</f>
        <v>0</v>
      </c>
      <c r="H33" s="86">
        <f>+Passivo!E18</f>
        <v>0</v>
      </c>
      <c r="I33" s="86">
        <f>+Passivo!F18</f>
        <v>0</v>
      </c>
      <c r="J33" s="86">
        <f>+Passivo!G18</f>
        <v>0</v>
      </c>
      <c r="K33" s="86">
        <f>+Passivo!H18</f>
        <v>0</v>
      </c>
      <c r="L33" s="86">
        <f>+Passivo!I18</f>
        <v>0</v>
      </c>
      <c r="M33" s="85">
        <f>+Passivo!J18</f>
        <v>0</v>
      </c>
    </row>
    <row r="34" ht="14.5">
      <c r="D34" s="84" t="str">
        <f>+Passivo!A26</f>
        <v xml:space="preserve">Debito Iva </v>
      </c>
      <c r="E34" s="85">
        <f>+Passivo!B26</f>
        <v>0</v>
      </c>
      <c r="F34" s="86">
        <f>+Passivo!C26</f>
        <v>0</v>
      </c>
      <c r="G34" s="86">
        <f>+Passivo!D26</f>
        <v>0</v>
      </c>
      <c r="H34" s="86">
        <f>+Passivo!E26</f>
        <v>0</v>
      </c>
      <c r="I34" s="86">
        <f>+Passivo!F26</f>
        <v>0</v>
      </c>
      <c r="J34" s="86">
        <f>+Passivo!G26</f>
        <v>0</v>
      </c>
      <c r="K34" s="86">
        <f>+Passivo!H26</f>
        <v>0</v>
      </c>
      <c r="L34" s="86">
        <f>+Passivo!I26</f>
        <v>0</v>
      </c>
      <c r="M34" s="85">
        <f>+Passivo!J26</f>
        <v>0</v>
      </c>
    </row>
    <row r="35" ht="14.5">
      <c r="D35" s="84" t="str">
        <f>+Passivo!A31</f>
        <v xml:space="preserve">Debiti Previdenziali </v>
      </c>
      <c r="E35" s="85">
        <f>+Passivo!B31</f>
        <v>0</v>
      </c>
      <c r="F35" s="86">
        <f>+Passivo!C31</f>
        <v>0</v>
      </c>
      <c r="G35" s="86">
        <f>+Passivo!D31</f>
        <v>0</v>
      </c>
      <c r="H35" s="86">
        <f>+Passivo!E31</f>
        <v>0</v>
      </c>
      <c r="I35" s="86">
        <f>+Passivo!F31</f>
        <v>0</v>
      </c>
      <c r="J35" s="86">
        <f>+Passivo!G31</f>
        <v>0</v>
      </c>
      <c r="K35" s="86">
        <f>+Passivo!H31</f>
        <v>0</v>
      </c>
      <c r="L35" s="86">
        <f>+Passivo!I31</f>
        <v>0</v>
      </c>
      <c r="M35" s="85">
        <f>+Passivo!J31</f>
        <v>0</v>
      </c>
    </row>
    <row r="36" ht="14.5">
      <c r="D36" s="84" t="str">
        <f>+Passivo!A36</f>
        <v>Debiti v/Dipendenti</v>
      </c>
      <c r="E36" s="85">
        <f>+Passivo!B36</f>
        <v>0</v>
      </c>
      <c r="F36" s="86">
        <f>+Passivo!C36</f>
        <v>0</v>
      </c>
      <c r="G36" s="86">
        <f>+Passivo!D36</f>
        <v>0</v>
      </c>
      <c r="H36" s="86">
        <f>+Passivo!E36</f>
        <v>0</v>
      </c>
      <c r="I36" s="86">
        <f>+Passivo!F36</f>
        <v>0</v>
      </c>
      <c r="J36" s="86">
        <f>+Passivo!G36</f>
        <v>0</v>
      </c>
      <c r="K36" s="86">
        <f>+Passivo!H36</f>
        <v>0</v>
      </c>
      <c r="L36" s="86">
        <f>+Passivo!I36</f>
        <v>0</v>
      </c>
      <c r="M36" s="85">
        <f>+Passivo!J36</f>
        <v>0</v>
      </c>
    </row>
    <row r="37" ht="14.5">
      <c r="D37" s="84" t="str">
        <f>+Passivo!A41</f>
        <v xml:space="preserve">Debiti Tributari </v>
      </c>
      <c r="E37" s="85">
        <f>+Passivo!B41</f>
        <v>0</v>
      </c>
      <c r="F37" s="86">
        <f>+Passivo!C41</f>
        <v>0</v>
      </c>
      <c r="G37" s="86">
        <f>+Passivo!D41</f>
        <v>0</v>
      </c>
      <c r="H37" s="86">
        <f>+Passivo!E41</f>
        <v>0</v>
      </c>
      <c r="I37" s="86">
        <f>+Passivo!F41</f>
        <v>0</v>
      </c>
      <c r="J37" s="86">
        <f>+Passivo!G41</f>
        <v>0</v>
      </c>
      <c r="K37" s="86">
        <f>+Passivo!H41</f>
        <v>0</v>
      </c>
      <c r="L37" s="86">
        <f>+Passivo!I41</f>
        <v>0</v>
      </c>
      <c r="M37" s="85">
        <f>+Passivo!J41</f>
        <v>0</v>
      </c>
    </row>
    <row r="38" ht="14.5">
      <c r="D38" s="84" t="str">
        <f>+Passivo!A46</f>
        <v xml:space="preserve">Debiti v/altri Finanziatori </v>
      </c>
      <c r="E38" s="85">
        <f>+Passivo!B46</f>
        <v>0</v>
      </c>
      <c r="F38" s="86">
        <f>+Passivo!C46</f>
        <v>0</v>
      </c>
      <c r="G38" s="86">
        <f>+Passivo!D46</f>
        <v>0</v>
      </c>
      <c r="H38" s="86">
        <f>+Passivo!E46</f>
        <v>0</v>
      </c>
      <c r="I38" s="86">
        <f>+Passivo!F46</f>
        <v>0</v>
      </c>
      <c r="J38" s="86">
        <f>+Passivo!G46</f>
        <v>0</v>
      </c>
      <c r="K38" s="86">
        <f>+Passivo!H46</f>
        <v>0</v>
      </c>
      <c r="L38" s="86">
        <f>+Passivo!I46</f>
        <v>0</v>
      </c>
      <c r="M38" s="85">
        <f>+Passivo!J46</f>
        <v>0</v>
      </c>
    </row>
    <row r="39" ht="14.5">
      <c r="D39" s="84" t="str">
        <f>+Passivo!A51</f>
        <v>Banche - Finanziamenti</v>
      </c>
      <c r="E39" s="85">
        <f>+Passivo!B51</f>
        <v>0</v>
      </c>
      <c r="F39" s="86">
        <f>+Passivo!C51</f>
        <v>0</v>
      </c>
      <c r="G39" s="86">
        <f>+Passivo!D51</f>
        <v>0</v>
      </c>
      <c r="H39" s="86">
        <f>+Passivo!E51</f>
        <v>0</v>
      </c>
      <c r="I39" s="86">
        <f>+Passivo!F51</f>
        <v>0</v>
      </c>
      <c r="J39" s="86">
        <f>+Passivo!G51</f>
        <v>0</v>
      </c>
      <c r="K39" s="86">
        <f>+Passivo!H51</f>
        <v>0</v>
      </c>
      <c r="L39" s="86">
        <f>+Passivo!I51</f>
        <v>0</v>
      </c>
      <c r="M39" s="85">
        <f>+Passivo!J51</f>
        <v>0</v>
      </c>
    </row>
    <row r="40" ht="14.5">
      <c r="D40" s="84" t="str">
        <f>+Passivo!A56</f>
        <v xml:space="preserve">Altri debiti  </v>
      </c>
      <c r="E40" s="85">
        <f>+Passivo!B56</f>
        <v>0</v>
      </c>
      <c r="F40" s="86">
        <f>+Passivo!C56</f>
        <v>0</v>
      </c>
      <c r="G40" s="86">
        <f>+Passivo!D56</f>
        <v>0</v>
      </c>
      <c r="H40" s="86">
        <f>+Passivo!E56</f>
        <v>0</v>
      </c>
      <c r="I40" s="86">
        <f>+Passivo!F56</f>
        <v>0</v>
      </c>
      <c r="J40" s="86">
        <f>+Passivo!G56</f>
        <v>0</v>
      </c>
      <c r="K40" s="86">
        <f>+Passivo!H56</f>
        <v>0</v>
      </c>
      <c r="L40" s="86">
        <f>+Passivo!I56</f>
        <v>0</v>
      </c>
      <c r="M40" s="85">
        <f>+Passivo!J56</f>
        <v>0</v>
      </c>
    </row>
    <row r="41" ht="14.5">
      <c r="D41" s="84" t="str">
        <f>+Passivo!A65</f>
        <v xml:space="preserve">Ratei e Risconti  Passivi </v>
      </c>
      <c r="E41" s="85">
        <f>+Passivo!B65</f>
        <v>0</v>
      </c>
      <c r="F41" s="86">
        <f>+Passivo!C65</f>
        <v>0</v>
      </c>
      <c r="G41" s="86">
        <f>+Passivo!D65</f>
        <v>0</v>
      </c>
      <c r="H41" s="86">
        <f>+Passivo!E65</f>
        <v>0</v>
      </c>
      <c r="I41" s="86">
        <f>+Passivo!F65</f>
        <v>0</v>
      </c>
      <c r="J41" s="86">
        <f>+Passivo!G65</f>
        <v>0</v>
      </c>
      <c r="K41" s="86">
        <f>+Passivo!H65</f>
        <v>0</v>
      </c>
      <c r="L41" s="86">
        <f>+Passivo!I65</f>
        <v>0</v>
      </c>
      <c r="M41" s="85">
        <f>+Passivo!J65</f>
        <v>0</v>
      </c>
    </row>
    <row r="42" ht="14.5">
      <c r="D42" s="84" t="str">
        <f>+Passivo!A71</f>
        <v>Fondi e Rischi</v>
      </c>
      <c r="E42" s="85">
        <f>+Passivo!B71</f>
        <v>0</v>
      </c>
      <c r="F42" s="86">
        <f>+Passivo!C71</f>
        <v>0</v>
      </c>
      <c r="G42" s="86">
        <f>+Passivo!D71</f>
        <v>0</v>
      </c>
      <c r="H42" s="86">
        <f>+Passivo!E71</f>
        <v>0</v>
      </c>
      <c r="I42" s="86">
        <f>+Passivo!F71</f>
        <v>0</v>
      </c>
      <c r="J42" s="86">
        <f>+Passivo!G71</f>
        <v>0</v>
      </c>
      <c r="K42" s="86">
        <f>+Passivo!H71</f>
        <v>0</v>
      </c>
      <c r="L42" s="86">
        <f>+Passivo!I71</f>
        <v>0</v>
      </c>
      <c r="M42" s="85">
        <f>+Passivo!J71</f>
        <v>0</v>
      </c>
    </row>
    <row r="43" ht="14.5">
      <c r="D43" s="84" t="str">
        <f>+Passivo!A78</f>
        <v xml:space="preserve">Fondo  T.F.R.</v>
      </c>
      <c r="E43" s="85">
        <f>+Passivo!B78</f>
        <v>0</v>
      </c>
      <c r="F43" s="86">
        <f>+Passivo!C78</f>
        <v>0</v>
      </c>
      <c r="G43" s="86">
        <f>+Passivo!D78</f>
        <v>0</v>
      </c>
      <c r="H43" s="86">
        <f>+Passivo!E78</f>
        <v>0</v>
      </c>
      <c r="I43" s="86">
        <f>+Passivo!F78</f>
        <v>0</v>
      </c>
      <c r="J43" s="86">
        <f>+Passivo!G78</f>
        <v>0</v>
      </c>
      <c r="K43" s="86">
        <f>+Passivo!H78</f>
        <v>0</v>
      </c>
      <c r="L43" s="86">
        <f>+Passivo!I78</f>
        <v>0</v>
      </c>
      <c r="M43" s="85">
        <f>+Passivo!J78</f>
        <v>0</v>
      </c>
    </row>
    <row r="44" ht="14.5">
      <c r="D44" s="89" t="str">
        <f>+Passivo!A81</f>
        <v>Fondi Ammortamento</v>
      </c>
      <c r="E44" s="85">
        <f>+Passivo!B81</f>
        <v>0</v>
      </c>
      <c r="F44" s="86">
        <f>+Passivo!C81</f>
        <v>0</v>
      </c>
      <c r="G44" s="86">
        <f>+Passivo!D81</f>
        <v>0</v>
      </c>
      <c r="H44" s="86">
        <f>+Passivo!E81</f>
        <v>0</v>
      </c>
      <c r="I44" s="86">
        <f>+Passivo!F81</f>
        <v>0</v>
      </c>
      <c r="J44" s="86">
        <f>+Passivo!G81</f>
        <v>0</v>
      </c>
      <c r="K44" s="86">
        <f>+Passivo!H81</f>
        <v>0</v>
      </c>
      <c r="L44" s="86">
        <f>+Passivo!I81</f>
        <v>0</v>
      </c>
      <c r="M44" s="85">
        <f>+Passivo!J81</f>
        <v>0</v>
      </c>
    </row>
    <row r="45" ht="14.5">
      <c r="D45" s="89" t="str">
        <f>+Passivo!A84</f>
        <v>Fondo svalutazione partecipazioni</v>
      </c>
      <c r="E45" s="85">
        <f>+Passivo!B84</f>
        <v>0</v>
      </c>
      <c r="F45" s="86">
        <f>+Passivo!C84</f>
        <v>0</v>
      </c>
      <c r="G45" s="86">
        <f>+Passivo!D84</f>
        <v>0</v>
      </c>
      <c r="H45" s="86">
        <f>+Passivo!E84</f>
        <v>0</v>
      </c>
      <c r="I45" s="86">
        <f>+Passivo!F84</f>
        <v>0</v>
      </c>
      <c r="J45" s="86">
        <f>+Passivo!G84</f>
        <v>0</v>
      </c>
      <c r="K45" s="86">
        <f>+Passivo!H84</f>
        <v>0</v>
      </c>
      <c r="L45" s="86">
        <f>+Passivo!I84</f>
        <v>0</v>
      </c>
      <c r="M45" s="85">
        <f>+Passivo!J84</f>
        <v>0</v>
      </c>
    </row>
    <row r="46" ht="14.5">
      <c r="D46" s="84" t="str">
        <f>+Passivo!A87</f>
        <v>Patrimonio netto</v>
      </c>
      <c r="E46" s="85">
        <f>+Passivo!B87</f>
        <v>0</v>
      </c>
      <c r="F46" s="86">
        <f>+Passivo!C87</f>
        <v>0</v>
      </c>
      <c r="G46" s="86">
        <f>+Passivo!D87</f>
        <v>0</v>
      </c>
      <c r="H46" s="86">
        <f>+Passivo!E87</f>
        <v>0</v>
      </c>
      <c r="I46" s="86">
        <f>+Passivo!F87</f>
        <v>0</v>
      </c>
      <c r="J46" s="86">
        <f>+Passivo!G87</f>
        <v>0</v>
      </c>
      <c r="K46" s="86">
        <f>+Passivo!H87</f>
        <v>0</v>
      </c>
      <c r="L46" s="86">
        <f>+Passivo!I87</f>
        <v>0</v>
      </c>
      <c r="M46" s="85">
        <f>+Passivo!J87</f>
        <v>0</v>
      </c>
    </row>
    <row r="47" thickBot="1"/>
    <row r="48" thickBot="1">
      <c r="D48" s="3" t="s">
        <v>849</v>
      </c>
      <c r="E48" s="87">
        <f>SUM(E32:E47)</f>
        <v>0</v>
      </c>
      <c r="F48" s="87">
        <f t="shared" ref="F48:M48" si="1">SUM(F32:F47)</f>
        <v>0</v>
      </c>
      <c r="G48" s="87">
        <f t="shared" si="1"/>
        <v>0</v>
      </c>
      <c r="H48" s="87">
        <f t="shared" si="1"/>
        <v>0</v>
      </c>
      <c r="I48" s="87">
        <f t="shared" si="1"/>
        <v>0</v>
      </c>
      <c r="J48" s="87">
        <f t="shared" si="1"/>
        <v>0</v>
      </c>
      <c r="K48" s="87">
        <f t="shared" si="1"/>
        <v>0</v>
      </c>
      <c r="L48" s="87">
        <f t="shared" si="1"/>
        <v>0</v>
      </c>
      <c r="M48" s="87">
        <f t="shared" si="1"/>
        <v>0</v>
      </c>
    </row>
    <row r="52" ht="14.5">
      <c r="D52" t="s">
        <v>860</v>
      </c>
    </row>
    <row r="53" ht="14.5">
      <c r="D53" s="3" t="s">
        <v>861</v>
      </c>
    </row>
    <row r="54" ht="14.5">
      <c r="D54" s="3" t="s">
        <v>862</v>
      </c>
    </row>
    <row r="55">
      <c r="D55" s="82" t="str">
        <f>+Passivo_Tipologie!B4</f>
        <v>Classe</v>
      </c>
      <c r="E55" s="82" t="str">
        <f>+Passivo_Tipologie!C4</f>
        <v>Specifica (eventuale)</v>
      </c>
      <c r="F55" s="82" t="str">
        <f>+Passivo_Tipologie!D4</f>
        <v>Ordine</v>
      </c>
      <c r="G55" s="82" t="str">
        <f>+Passivo_Tipologie!E4</f>
        <v>Tipologia Creditore</v>
      </c>
    </row>
    <row r="56" ht="30">
      <c r="D56" s="90" t="str">
        <f>+Passivo_Tipologie!B5</f>
        <v>Non Aderente Scaduto</v>
      </c>
      <c r="E56" s="90" t="str">
        <f>+Passivo_Tipologie!C5</f>
        <v>XXX</v>
      </c>
      <c r="F56" s="90" t="str">
        <f>+Passivo_Tipologie!D5</f>
        <v>0_1</v>
      </c>
      <c r="G56" s="91" t="str">
        <f>+Passivo_Tipologie!E5</f>
        <v>0_1_Non Aderente Scaduto _ XXX</v>
      </c>
    </row>
    <row r="57" ht="30">
      <c r="D57" s="90" t="str">
        <f>+Passivo_Tipologie!B6</f>
        <v>Non Aderente Scaduto</v>
      </c>
      <c r="E57" s="90" t="str">
        <f>+Passivo_Tipologie!C6</f>
        <v>YYY</v>
      </c>
      <c r="F57" s="90" t="str">
        <f>+Passivo_Tipologie!D6</f>
        <v>0_2</v>
      </c>
      <c r="G57" s="91" t="str">
        <f>+Passivo_Tipologie!E6</f>
        <v>0_2_Non Aderente Scaduto _ YYY</v>
      </c>
    </row>
    <row r="58" ht="30">
      <c r="D58" s="90" t="str">
        <f>+Passivo_Tipologie!B7</f>
        <v>Non Aderente Scaduto</v>
      </c>
      <c r="E58" s="90" t="str">
        <f>+Passivo_Tipologie!C7</f>
        <v>ZZZ</v>
      </c>
      <c r="F58" s="90" t="str">
        <f>+Passivo_Tipologie!D7</f>
        <v>0_3</v>
      </c>
      <c r="G58" s="91" t="str">
        <f>+Passivo_Tipologie!E7</f>
        <v>0_3_Non Aderente Scaduto _ ZZZ</v>
      </c>
    </row>
    <row r="59" ht="30">
      <c r="D59" s="90" t="str">
        <f>+Passivo_Tipologie!B8</f>
        <v>Non Aderente Scaduto</v>
      </c>
      <c r="E59" s="90" t="str">
        <f>+Passivo_Tipologie!C8</f>
        <v>ZZZ</v>
      </c>
      <c r="F59" s="90" t="str">
        <f>+Passivo_Tipologie!D8</f>
        <v>0_4</v>
      </c>
      <c r="G59" s="91" t="str">
        <f>+Passivo_Tipologie!E8</f>
        <v>0_4_Non Aderente Scaduto _ ZZZ</v>
      </c>
    </row>
    <row r="60" ht="30">
      <c r="D60" s="90" t="str">
        <f>+Passivo_Tipologie!B9</f>
        <v>Non Aderente Scaduto</v>
      </c>
      <c r="E60" s="90" t="str">
        <f>+Passivo_Tipologie!C9</f>
        <v>ZZZ</v>
      </c>
      <c r="F60" s="90" t="str">
        <f>+Passivo_Tipologie!D9</f>
        <v>0_5</v>
      </c>
      <c r="G60" s="91" t="str">
        <f>+Passivo_Tipologie!E9</f>
        <v>0_5_Non Aderente Scaduto _ ZZZ</v>
      </c>
    </row>
    <row r="61" ht="30">
      <c r="D61" s="90" t="str">
        <f>+Passivo_Tipologie!B10</f>
        <v>Non Aderente non Scaduto</v>
      </c>
      <c r="E61" s="90" t="str">
        <f>+Passivo_Tipologie!C10</f>
        <v>ZZZ</v>
      </c>
      <c r="F61" s="90" t="str">
        <f>+Passivo_Tipologie!D10</f>
        <v>0_6</v>
      </c>
      <c r="G61" s="91" t="str">
        <f>+Passivo_Tipologie!E10</f>
        <v>0_6_Non Aderente non Scaduto _ ZZZ</v>
      </c>
    </row>
    <row r="62" ht="30">
      <c r="D62" s="90" t="str">
        <f>+Passivo_Tipologie!B11</f>
        <v>Non Aderente non Scaduto</v>
      </c>
      <c r="E62" s="90" t="str">
        <f>+Passivo_Tipologie!C11</f>
        <v>ZZZ</v>
      </c>
      <c r="F62" s="90" t="str">
        <f>+Passivo_Tipologie!D11</f>
        <v>0_7</v>
      </c>
      <c r="G62" s="91" t="str">
        <f>+Passivo_Tipologie!E11</f>
        <v>0_7_Non Aderente non Scaduto _ ZZZ</v>
      </c>
    </row>
    <row r="63" ht="30">
      <c r="D63" s="90" t="str">
        <f>+Passivo_Tipologie!B12</f>
        <v>Non Aderente non Scaduto</v>
      </c>
      <c r="E63" s="90" t="str">
        <f>+Passivo_Tipologie!C12</f>
        <v>ZZZ</v>
      </c>
      <c r="F63" s="90" t="str">
        <f>+Passivo_Tipologie!D12</f>
        <v>0_8</v>
      </c>
      <c r="G63" s="91" t="str">
        <f>+Passivo_Tipologie!E12</f>
        <v>0_8_Non Aderente non Scaduto _ ZZZ</v>
      </c>
    </row>
    <row r="64" ht="30">
      <c r="D64" s="90" t="str">
        <f>+Passivo_Tipologie!B13</f>
        <v>Non Aderente non Scaduto</v>
      </c>
      <c r="E64" s="90" t="str">
        <f>+Passivo_Tipologie!C13</f>
        <v>ZZZ</v>
      </c>
      <c r="F64" s="90" t="str">
        <f>+Passivo_Tipologie!D13</f>
        <v>0_9</v>
      </c>
      <c r="G64" s="91" t="str">
        <f>+Passivo_Tipologie!E13</f>
        <v>0_9_Non Aderente non Scaduto _ ZZZ</v>
      </c>
    </row>
    <row r="65" ht="30">
      <c r="D65" s="90" t="str">
        <f>+Passivo_Tipologie!B14</f>
        <v>Non Aderente non Scaduto</v>
      </c>
      <c r="E65" s="90" t="str">
        <f>+Passivo_Tipologie!C14</f>
        <v>ZZZ</v>
      </c>
      <c r="F65" s="90" t="str">
        <f>+Passivo_Tipologie!D14</f>
        <v>0_10</v>
      </c>
      <c r="G65" s="91" t="str">
        <f>+Passivo_Tipologie!E14</f>
        <v>0_10_Non Aderente non Scaduto _ ZZZ</v>
      </c>
    </row>
    <row r="68" ht="14.5">
      <c r="D68" t="s">
        <v>882</v>
      </c>
    </row>
    <row r="69" ht="14.5">
      <c r="D69" s="3" t="s">
        <v>861</v>
      </c>
    </row>
    <row r="70" ht="14.5">
      <c r="D70" s="3" t="s">
        <v>883</v>
      </c>
    </row>
    <row r="71">
      <c r="D71" s="82" t="str">
        <f>+Passivo_Tipologie!B18</f>
        <v>Classe</v>
      </c>
      <c r="E71" s="82" t="str">
        <f>+Passivo_Tipologie!C18</f>
        <v>Specifica (eventuale)</v>
      </c>
      <c r="F71" s="82" t="str">
        <f>+Passivo_Tipologie!D18</f>
        <v>Ordine</v>
      </c>
      <c r="G71" s="82" t="str">
        <f>+Passivo_Tipologie!E18</f>
        <v>Tipologia Creditore</v>
      </c>
    </row>
    <row r="72" ht="30">
      <c r="D72" s="90" t="str">
        <f>+Passivo_Tipologie!B19</f>
        <v>Aderenti</v>
      </c>
      <c r="E72" s="90" t="str">
        <f>+Passivo_Tipologie!C19</f>
        <v>Accollato</v>
      </c>
      <c r="F72" s="90" t="str">
        <f>+Passivo_Tipologie!D19</f>
        <v>0_1</v>
      </c>
      <c r="G72" s="91" t="str">
        <f>+Passivo_Tipologie!E19</f>
        <v>0_1_Aderenti _ Accollato</v>
      </c>
    </row>
    <row r="73">
      <c r="D73" s="90" t="str">
        <f>+Passivo_Tipologie!B20</f>
        <v>Aderenti</v>
      </c>
      <c r="E73" s="90">
        <f>+Passivo_Tipologie!C20</f>
        <v>0</v>
      </c>
      <c r="F73" s="90" t="str">
        <f>+Passivo_Tipologie!D20</f>
        <v>0_2</v>
      </c>
      <c r="G73" s="91" t="str">
        <f>+Passivo_Tipologie!E20</f>
        <v xml:space="preserve">0_2_Aderenti _ </v>
      </c>
    </row>
    <row r="74">
      <c r="D74" s="90" t="str">
        <f>+Passivo_Tipologie!B21</f>
        <v>Aderenti</v>
      </c>
      <c r="E74" s="90">
        <f>+Passivo_Tipologie!C21</f>
        <v>0</v>
      </c>
      <c r="F74" s="90" t="str">
        <f>+Passivo_Tipologie!D21</f>
        <v>0_3</v>
      </c>
      <c r="G74" s="91" t="str">
        <f>+Passivo_Tipologie!E21</f>
        <v xml:space="preserve">0_3_Aderenti _ </v>
      </c>
    </row>
    <row r="75">
      <c r="D75" s="90" t="str">
        <f>+Passivo_Tipologie!B22</f>
        <v>Aderenti</v>
      </c>
      <c r="E75" s="90">
        <f>+Passivo_Tipologie!C22</f>
        <v>0</v>
      </c>
      <c r="F75" s="90" t="str">
        <f>+Passivo_Tipologie!D22</f>
        <v>0_4</v>
      </c>
      <c r="G75" s="91" t="str">
        <f>+Passivo_Tipologie!E22</f>
        <v xml:space="preserve">0_4_Aderenti _ </v>
      </c>
    </row>
    <row r="76">
      <c r="D76" s="90" t="str">
        <f>+Passivo_Tipologie!B23</f>
        <v>Aderenti</v>
      </c>
      <c r="E76" s="90">
        <f>+Passivo_Tipologie!C23</f>
        <v>0</v>
      </c>
      <c r="F76" s="90" t="str">
        <f>+Passivo_Tipologie!D23</f>
        <v>0_5</v>
      </c>
      <c r="G76" s="91" t="str">
        <f>+Passivo_Tipologie!E23</f>
        <v xml:space="preserve">0_5_Aderenti _ </v>
      </c>
    </row>
    <row r="77">
      <c r="D77" s="90" t="str">
        <f>+Passivo_Tipologie!B24</f>
        <v>Aderenti</v>
      </c>
      <c r="E77" s="90">
        <f>+Passivo_Tipologie!C24</f>
        <v>0</v>
      </c>
      <c r="F77" s="90" t="str">
        <f>+Passivo_Tipologie!D24</f>
        <v>0_6</v>
      </c>
      <c r="G77" s="91" t="str">
        <f>+Passivo_Tipologie!E24</f>
        <v xml:space="preserve">0_6_Aderenti _ </v>
      </c>
    </row>
    <row r="78">
      <c r="D78" s="90" t="str">
        <f>+Passivo_Tipologie!B25</f>
        <v>Aderenti</v>
      </c>
      <c r="E78" s="90">
        <f>+Passivo_Tipologie!C25</f>
        <v>0</v>
      </c>
      <c r="F78" s="90" t="str">
        <f>+Passivo_Tipologie!D25</f>
        <v>0_7</v>
      </c>
      <c r="G78" s="91" t="str">
        <f>+Passivo_Tipologie!E25</f>
        <v xml:space="preserve">0_7_Aderenti _ </v>
      </c>
    </row>
    <row r="79">
      <c r="D79" s="90" t="str">
        <f>+Passivo_Tipologie!B26</f>
        <v>Aderenti</v>
      </c>
      <c r="E79" s="90">
        <f>+Passivo_Tipologie!C26</f>
        <v>0</v>
      </c>
      <c r="F79" s="90" t="str">
        <f>+Passivo_Tipologie!D26</f>
        <v>0_8</v>
      </c>
      <c r="G79" s="91" t="str">
        <f>+Passivo_Tipologie!E26</f>
        <v xml:space="preserve">0_8_Aderenti _ </v>
      </c>
    </row>
    <row r="80">
      <c r="D80" s="90" t="str">
        <f>+Passivo_Tipologie!B27</f>
        <v>Aderenti</v>
      </c>
      <c r="E80" s="90">
        <f>+Passivo_Tipologie!C27</f>
        <v>0</v>
      </c>
      <c r="F80" s="90" t="str">
        <f>+Passivo_Tipologie!D27</f>
        <v>0_9</v>
      </c>
      <c r="G80" s="91" t="str">
        <f>+Passivo_Tipologie!E27</f>
        <v xml:space="preserve">0_9_Aderenti _ </v>
      </c>
    </row>
    <row r="81">
      <c r="D81" s="90" t="str">
        <f>+Passivo_Tipologie!B28</f>
        <v>Aderenti</v>
      </c>
      <c r="E81" s="90">
        <f>+Passivo_Tipologie!C28</f>
        <v>0</v>
      </c>
      <c r="F81" s="90" t="str">
        <f>+Passivo_Tipologie!D28</f>
        <v>0_10</v>
      </c>
      <c r="G81" s="91" t="str">
        <f>+Passivo_Tipologie!E28</f>
        <v xml:space="preserve">0_10_Aderenti _ </v>
      </c>
    </row>
    <row r="84" ht="14.5">
      <c r="D84" s="90" t="s">
        <v>886</v>
      </c>
    </row>
    <row r="85">
      <c r="D85" s="90" t="str">
        <f>+Affitto!E1</f>
        <v>anno</v>
      </c>
      <c r="F85" s="92">
        <f>+Affitto!F1</f>
        <v>2025</v>
      </c>
      <c r="G85" s="92">
        <f>+Affitto!G1</f>
        <v>2025</v>
      </c>
      <c r="H85" s="92">
        <f>+Affitto!H1</f>
        <v>2025</v>
      </c>
      <c r="I85" s="92">
        <f>+Affitto!I1</f>
        <v>2026</v>
      </c>
      <c r="J85" s="92">
        <f>+Affitto!J1</f>
        <v>2026</v>
      </c>
      <c r="K85" s="92">
        <f>+Affitto!K1</f>
        <v>2026</v>
      </c>
      <c r="L85" s="92">
        <f>+Affitto!L1</f>
        <v>2026</v>
      </c>
      <c r="M85" s="92">
        <f>+Affitto!M1</f>
        <v>2026</v>
      </c>
      <c r="N85" s="92">
        <f>+Affitto!N1</f>
        <v>2026</v>
      </c>
      <c r="O85" s="92">
        <f>+Affitto!O1</f>
        <v>2026</v>
      </c>
      <c r="P85" s="92">
        <f>+Affitto!P1</f>
        <v>2026</v>
      </c>
      <c r="Q85" s="93"/>
      <c r="R85" s="93"/>
    </row>
    <row r="86">
      <c r="D86" s="90" t="str">
        <f>+Affitto!E2</f>
        <v>mese</v>
      </c>
      <c r="F86" s="92">
        <f>+Affitto!F2</f>
        <v>10</v>
      </c>
      <c r="G86" s="92">
        <f>+Affitto!G2</f>
        <v>11</v>
      </c>
      <c r="H86" s="92">
        <f>+Affitto!H2</f>
        <v>12</v>
      </c>
      <c r="I86" s="92">
        <f>+Affitto!I2</f>
        <v>1</v>
      </c>
      <c r="J86" s="92">
        <f>+Affitto!J2</f>
        <v>2</v>
      </c>
      <c r="K86" s="92">
        <f>+Affitto!K2</f>
        <v>3</v>
      </c>
      <c r="L86" s="92">
        <f>+Affitto!L2</f>
        <v>4</v>
      </c>
      <c r="M86" s="92">
        <f>+Affitto!M2</f>
        <v>5</v>
      </c>
      <c r="N86" s="92">
        <f>+Affitto!N2</f>
        <v>6</v>
      </c>
      <c r="O86" s="92">
        <f>+Affitto!O2</f>
        <v>7</v>
      </c>
      <c r="P86" s="92">
        <f>+Affitto!P2</f>
        <v>8</v>
      </c>
      <c r="Q86" s="93"/>
      <c r="R86" s="93"/>
    </row>
    <row r="88" ht="14.5">
      <c r="D88" s="90" t="str">
        <f>Affitto!B7&amp;+Affitto!C7</f>
        <v>Canone:Mensile</v>
      </c>
      <c r="F88" s="94">
        <f>+Affitto!F7</f>
        <v>0</v>
      </c>
      <c r="G88" s="94">
        <f>+Affitto!G7</f>
        <v>0</v>
      </c>
      <c r="H88" s="94">
        <f>+Affitto!H7</f>
        <v>0</v>
      </c>
      <c r="I88" s="94">
        <f>+Affitto!I7</f>
        <v>0</v>
      </c>
      <c r="J88" s="94">
        <f>+Affitto!J7</f>
        <v>0</v>
      </c>
      <c r="K88" s="94">
        <f>+Affitto!K7</f>
        <v>0</v>
      </c>
      <c r="L88" s="94">
        <f>+Affitto!L7</f>
        <v>0</v>
      </c>
      <c r="M88" s="94">
        <f>+Affitto!M7</f>
        <v>0</v>
      </c>
      <c r="N88" s="94">
        <f>+Affitto!N7</f>
        <v>0</v>
      </c>
      <c r="O88" s="94">
        <f>+Affitto!O7</f>
        <v>0</v>
      </c>
      <c r="P88" s="94">
        <f>+Affitto!P7</f>
        <v>0</v>
      </c>
    </row>
    <row r="89" ht="14.5">
      <c r="D89" s="90" t="str">
        <f>+Affitto!C8</f>
        <v>Iva</v>
      </c>
      <c r="E89" s="95">
        <f>+Affitto!D8</f>
        <v>0</v>
      </c>
      <c r="F89" s="94">
        <f>+Affitto!F8</f>
        <v>0</v>
      </c>
      <c r="G89" s="94">
        <f>+Affitto!G8</f>
        <v>0</v>
      </c>
      <c r="H89" s="94">
        <f>+Affitto!H8</f>
        <v>0</v>
      </c>
      <c r="I89" s="94">
        <f>+Affitto!I8</f>
        <v>0</v>
      </c>
      <c r="J89" s="94">
        <f>+Affitto!J8</f>
        <v>0</v>
      </c>
      <c r="K89" s="94">
        <f>+Affitto!K8</f>
        <v>0</v>
      </c>
      <c r="L89" s="94">
        <f>+Affitto!L8</f>
        <v>0</v>
      </c>
      <c r="M89" s="94">
        <f>+Affitto!M8</f>
        <v>0</v>
      </c>
      <c r="N89" s="94">
        <f>+Affitto!N8</f>
        <v>0</v>
      </c>
      <c r="O89" s="94">
        <f>+Affitto!O8</f>
        <v>0</v>
      </c>
      <c r="P89" s="94">
        <f>+Affitto!P8</f>
        <v>0</v>
      </c>
    </row>
    <row r="90" ht="14.5">
      <c r="D90" s="90" t="str">
        <f>+Affitto!C9</f>
        <v>gg dilazione</v>
      </c>
      <c r="E90" s="93">
        <f>+Affitto!D9</f>
        <v>0</v>
      </c>
      <c r="F90" s="94"/>
      <c r="G90" s="94"/>
      <c r="H90" s="94"/>
      <c r="I90" s="94"/>
      <c r="J90" s="94"/>
      <c r="K90" s="94"/>
      <c r="L90" s="94"/>
      <c r="M90" s="94"/>
      <c r="N90" s="94"/>
      <c r="O90" s="94"/>
      <c r="P90" s="94"/>
    </row>
    <row r="91" ht="14.5">
      <c r="D91" s="90" t="str">
        <f>+Affitto!D10</f>
        <v>Incasso</v>
      </c>
      <c r="F91" s="94">
        <f>+Affitto!F10</f>
        <v>0</v>
      </c>
      <c r="G91" s="94">
        <f>+Affitto!G10</f>
        <v>0</v>
      </c>
      <c r="H91" s="94">
        <f>+Affitto!H10</f>
        <v>0</v>
      </c>
      <c r="I91" s="94">
        <f>+Affitto!I10</f>
        <v>0</v>
      </c>
      <c r="J91" s="94">
        <f>+Affitto!J10</f>
        <v>0</v>
      </c>
      <c r="K91" s="94">
        <f>+Affitto!K10</f>
        <v>0</v>
      </c>
      <c r="L91" s="94">
        <f>+Affitto!L10</f>
        <v>0</v>
      </c>
      <c r="M91" s="94">
        <f>+Affitto!M10</f>
        <v>0</v>
      </c>
      <c r="N91" s="94">
        <f>+Affitto!N10</f>
        <v>0</v>
      </c>
      <c r="O91" s="94">
        <f>+Affitto!O10</f>
        <v>0</v>
      </c>
      <c r="P91" s="94">
        <f>+Affitto!P10</f>
        <v>0</v>
      </c>
    </row>
    <row r="93" ht="30">
      <c r="D93" s="3" t="s">
        <v>892</v>
      </c>
      <c r="G93" s="92" t="str">
        <f>+PreDeduzione!F5</f>
        <v>Imponibile</v>
      </c>
      <c r="H93" s="92" t="str">
        <f>+PreDeduzione!G5</f>
        <v>Contributo integrativo</v>
      </c>
      <c r="I93" s="92" t="str">
        <f>+PreDeduzione!H5</f>
        <v>Iva (%)</v>
      </c>
      <c r="J93" s="92" t="str">
        <f>+PreDeduzione!I5</f>
        <v>Totale</v>
      </c>
    </row>
    <row r="94" ht="14.5">
      <c r="D94" s="90" t="str">
        <f>+PreDeduzione!C7</f>
        <v xml:space="preserve"> SPESE DI PROCEDURA   </v>
      </c>
      <c r="E94" s="90" t="str">
        <f>+PreDeduzione!D7</f>
        <v xml:space="preserve"> Advisor legale </v>
      </c>
      <c r="G94" s="96">
        <f>+PreDeduzione!F7</f>
        <v>0</v>
      </c>
      <c r="H94" s="97">
        <f>+PreDeduzione!G7</f>
        <v>0.040000000000000001</v>
      </c>
      <c r="I94" s="97">
        <f>+PreDeduzione!H7</f>
        <v>0.22</v>
      </c>
      <c r="J94" s="96">
        <f>+PreDeduzione!I7</f>
        <v>0.048800000000000003</v>
      </c>
    </row>
    <row r="95" ht="14.5">
      <c r="D95" s="90" t="str">
        <f>+PreDeduzione!C8</f>
        <v xml:space="preserve"> SPESE DI PROCEDURA   </v>
      </c>
      <c r="E95" s="90" t="str">
        <f>+PreDeduzione!D8</f>
        <v xml:space="preserve"> Advisor finanziario e industriale </v>
      </c>
      <c r="G95" s="96">
        <f>+PreDeduzione!F8</f>
        <v>0</v>
      </c>
      <c r="H95" s="97">
        <f>+PreDeduzione!G8</f>
        <v>0.040000000000000001</v>
      </c>
      <c r="I95" s="97">
        <f>+PreDeduzione!H8</f>
        <v>0.22</v>
      </c>
      <c r="J95" s="96">
        <f>+PreDeduzione!I8</f>
        <v>0.048800000000000003</v>
      </c>
    </row>
    <row r="96" ht="14.5">
      <c r="D96" s="90" t="str">
        <f>+PreDeduzione!C9</f>
        <v xml:space="preserve"> SPESE DI PROCEDURA   </v>
      </c>
      <c r="E96" s="90" t="str">
        <f>+PreDeduzione!D9</f>
        <v xml:space="preserve"> Attestatore </v>
      </c>
      <c r="G96" s="96">
        <f>+PreDeduzione!F9</f>
        <v>0</v>
      </c>
      <c r="H96" s="97">
        <f>+PreDeduzione!G9</f>
        <v>0.040000000000000001</v>
      </c>
      <c r="I96" s="97">
        <f>+PreDeduzione!H9</f>
        <v>0.22</v>
      </c>
      <c r="J96" s="96">
        <f>+PreDeduzione!I9</f>
        <v>0.048800000000000003</v>
      </c>
    </row>
    <row r="97" ht="14.5">
      <c r="D97" s="90" t="str">
        <f>+PreDeduzione!C10</f>
        <v xml:space="preserve"> SPESE DI PROCEDURA   </v>
      </c>
      <c r="E97" s="90" t="str">
        <f>+PreDeduzione!D10</f>
        <v xml:space="preserve"> Perizia azienda</v>
      </c>
      <c r="G97" s="96">
        <f>+PreDeduzione!F10</f>
        <v>0</v>
      </c>
      <c r="H97" s="97">
        <f>+PreDeduzione!G10</f>
        <v>0.040000000000000001</v>
      </c>
      <c r="I97" s="97">
        <f>+PreDeduzione!H10</f>
        <v>0.22</v>
      </c>
      <c r="J97" s="96">
        <f>+PreDeduzione!I10</f>
        <v>0.048800000000000003</v>
      </c>
    </row>
    <row r="98" ht="14.5">
      <c r="D98" s="90">
        <f>+PreDeduzione!C11</f>
        <v>0</v>
      </c>
      <c r="E98" s="90">
        <f>+PreDeduzione!D11</f>
        <v>0</v>
      </c>
      <c r="G98" s="96">
        <f>+PreDeduzione!F11</f>
        <v>0</v>
      </c>
      <c r="H98" s="97">
        <f>+PreDeduzione!G11</f>
        <v>0</v>
      </c>
      <c r="I98" s="97">
        <f>+PreDeduzione!H11</f>
        <v>0</v>
      </c>
      <c r="J98" s="96">
        <f>+PreDeduzione!I11</f>
        <v>0</v>
      </c>
    </row>
    <row r="99" ht="14.5">
      <c r="D99" s="90">
        <f>+PreDeduzione!C12</f>
        <v>0</v>
      </c>
      <c r="E99" s="90">
        <f>+PreDeduzione!D12</f>
        <v>0</v>
      </c>
      <c r="G99" s="96">
        <f>+PreDeduzione!F12</f>
        <v>0</v>
      </c>
      <c r="H99" s="97">
        <f>+PreDeduzione!G12</f>
        <v>0</v>
      </c>
      <c r="I99" s="97">
        <f>+PreDeduzione!H12</f>
        <v>0</v>
      </c>
      <c r="J99" s="96">
        <f>+PreDeduzione!I12</f>
        <v>0</v>
      </c>
    </row>
    <row r="100" ht="14.5">
      <c r="D100" s="90">
        <f>+PreDeduzione!C13</f>
        <v>0</v>
      </c>
      <c r="E100" s="90">
        <f>+PreDeduzione!D13</f>
        <v>0</v>
      </c>
      <c r="G100" s="96">
        <f>+PreDeduzione!F13</f>
        <v>0</v>
      </c>
      <c r="H100" s="97">
        <f>+PreDeduzione!G13</f>
        <v>0</v>
      </c>
      <c r="I100" s="97">
        <f>+PreDeduzione!H13</f>
        <v>0</v>
      </c>
      <c r="J100" s="96">
        <f>+PreDeduzione!I13</f>
        <v>0</v>
      </c>
    </row>
    <row r="101" ht="14.5">
      <c r="D101" s="90">
        <f>+PreDeduzione!C14</f>
        <v>0</v>
      </c>
      <c r="E101" s="90">
        <f>+PreDeduzione!D14</f>
        <v>0</v>
      </c>
      <c r="G101" s="96">
        <f>+PreDeduzione!F14</f>
        <v>0</v>
      </c>
      <c r="H101" s="97">
        <f>+PreDeduzione!G14</f>
        <v>0</v>
      </c>
      <c r="I101" s="97">
        <f>+PreDeduzione!H14</f>
        <v>0</v>
      </c>
      <c r="J101" s="96">
        <f>+PreDeduzione!I14</f>
        <v>0</v>
      </c>
    </row>
    <row r="103" ht="15.5">
      <c r="D103" s="98"/>
      <c r="E103" s="98"/>
      <c r="F103" s="98"/>
      <c r="G103" s="98"/>
      <c r="H103" s="98"/>
      <c r="I103" s="98"/>
      <c r="J103" s="98"/>
    </row>
    <row r="104" ht="30">
      <c r="D104" s="90" t="str">
        <f>+PreDeduzione!C17</f>
        <v xml:space="preserve"> FONDO SPESE DI FUNZIONAMENTO</v>
      </c>
      <c r="E104" s="91" t="str">
        <f>+PreDeduzione!D17</f>
        <v xml:space="preserve"> Assistenza contabile, amministrativa e fiscale e varie </v>
      </c>
      <c r="G104" s="96">
        <f>+PreDeduzione!F17</f>
        <v>0</v>
      </c>
      <c r="H104" s="97">
        <f>+PreDeduzione!G17</f>
        <v>0.040000000000000001</v>
      </c>
      <c r="I104" s="97">
        <f>+PreDeduzione!H17</f>
        <v>0.22</v>
      </c>
      <c r="J104" s="96">
        <f>+PreDeduzione!I17</f>
        <v>0.048800000000000003</v>
      </c>
    </row>
    <row r="105" ht="30">
      <c r="D105" s="90" t="str">
        <f>+PreDeduzione!C18</f>
        <v xml:space="preserve"> FONDO SPESE DI FUNZIONAMENTO</v>
      </c>
      <c r="E105" s="91" t="str">
        <f>+PreDeduzione!D18</f>
        <v>Liquidazione e Cancellazione Società</v>
      </c>
      <c r="G105" s="96">
        <f>+PreDeduzione!F18</f>
        <v>0</v>
      </c>
      <c r="H105" s="97">
        <f>+PreDeduzione!G18</f>
        <v>0.040000000000000001</v>
      </c>
      <c r="I105" s="97">
        <f>+PreDeduzione!H18</f>
        <v>0.22</v>
      </c>
      <c r="J105" s="96">
        <f>+PreDeduzione!I18</f>
        <v>0.048800000000000003</v>
      </c>
    </row>
    <row r="106" ht="14.5">
      <c r="D106" s="90" t="str">
        <f>+PreDeduzione!C19</f>
        <v xml:space="preserve"> FONDO SPESE DI FUNZIONAMENTO</v>
      </c>
      <c r="E106" s="90" t="str">
        <f>+PreDeduzione!D19</f>
        <v xml:space="preserve"> IMU    </v>
      </c>
      <c r="G106" s="96">
        <f>+PreDeduzione!F19</f>
        <v>0</v>
      </c>
      <c r="H106" s="97">
        <f>+PreDeduzione!G19</f>
        <v>0</v>
      </c>
      <c r="I106" s="97">
        <f>+PreDeduzione!H19</f>
        <v>0</v>
      </c>
      <c r="J106" s="96">
        <f>+PreDeduzione!I19</f>
        <v>0</v>
      </c>
    </row>
    <row r="107" ht="14.5">
      <c r="D107" s="90" t="str">
        <f>+PreDeduzione!C20</f>
        <v xml:space="preserve"> FONDO SPESE DI FUNZIONAMENTO</v>
      </c>
      <c r="E107" s="90" t="str">
        <f>+PreDeduzione!D20</f>
        <v xml:space="preserve"> TASI </v>
      </c>
      <c r="G107" s="96">
        <f>+PreDeduzione!F20</f>
        <v>0</v>
      </c>
      <c r="H107" s="97">
        <f>+PreDeduzione!G20</f>
        <v>0</v>
      </c>
      <c r="I107" s="97">
        <f>+PreDeduzione!H20</f>
        <v>0</v>
      </c>
      <c r="J107" s="96">
        <f>+PreDeduzione!I20</f>
        <v>0</v>
      </c>
    </row>
    <row r="108" ht="14.5">
      <c r="D108" s="90" t="str">
        <f>+PreDeduzione!C21</f>
        <v xml:space="preserve"> FONDO SPESE DI FUNZIONAMENTO</v>
      </c>
      <c r="E108" s="90" t="str">
        <f>+PreDeduzione!D21</f>
        <v xml:space="preserve"> Assicurazioni  </v>
      </c>
      <c r="G108" s="96">
        <f>+PreDeduzione!F21</f>
        <v>0</v>
      </c>
      <c r="H108" s="97">
        <f>+PreDeduzione!G21</f>
        <v>0</v>
      </c>
      <c r="I108" s="97">
        <f>+PreDeduzione!H21</f>
        <v>0</v>
      </c>
      <c r="J108" s="96">
        <f>+PreDeduzione!I21</f>
        <v>0</v>
      </c>
    </row>
    <row r="109" ht="14.5">
      <c r="D109" s="90" t="str">
        <f>+PreDeduzione!C22</f>
        <v xml:space="preserve"> FONDO SPESE DI FUNZIONAMENTO</v>
      </c>
      <c r="E109" s="90" t="str">
        <f>+PreDeduzione!D22</f>
        <v>Contingenze</v>
      </c>
      <c r="G109" s="96">
        <f>+PreDeduzione!F22</f>
        <v>0</v>
      </c>
      <c r="H109" s="97">
        <f>+PreDeduzione!G22</f>
        <v>0</v>
      </c>
      <c r="I109" s="97">
        <f>+PreDeduzione!H22</f>
        <v>0</v>
      </c>
      <c r="J109" s="96">
        <f>+PreDeduzione!I22</f>
        <v>0</v>
      </c>
    </row>
    <row r="110" ht="14.5">
      <c r="D110" s="90" t="str">
        <f>+PreDeduzione!C23</f>
        <v xml:space="preserve"> FONDO SPESE DI FUNZIONAMENTO</v>
      </c>
      <c r="E110" s="90" t="str">
        <f>+PreDeduzione!D23</f>
        <v xml:space="preserve"> Sindaci </v>
      </c>
      <c r="G110" s="96">
        <f>+PreDeduzione!F23</f>
        <v>0</v>
      </c>
      <c r="H110" s="97">
        <f>+PreDeduzione!G23</f>
        <v>0</v>
      </c>
      <c r="I110" s="97">
        <f>+PreDeduzione!H23</f>
        <v>0</v>
      </c>
      <c r="J110" s="96">
        <f>+PreDeduzione!I23</f>
        <v>0</v>
      </c>
    </row>
    <row r="111" ht="14.5">
      <c r="D111" s="90" t="str">
        <f>+PreDeduzione!C24</f>
        <v xml:space="preserve"> FONDO SPESE DI FUNZIONAMENTO</v>
      </c>
      <c r="E111" s="90" t="str">
        <f>+PreDeduzione!D24</f>
        <v xml:space="preserve"> Società di revisione </v>
      </c>
      <c r="G111" s="96">
        <f>+PreDeduzione!F24</f>
        <v>0</v>
      </c>
      <c r="H111" s="97">
        <f>+PreDeduzione!G24</f>
        <v>0</v>
      </c>
      <c r="I111" s="97">
        <f>+PreDeduzione!H24</f>
        <v>0</v>
      </c>
      <c r="J111" s="96">
        <f>+PreDeduzione!I24</f>
        <v>0</v>
      </c>
    </row>
    <row r="112" ht="14.5">
      <c r="D112" s="90" t="str">
        <f>+PreDeduzione!C25</f>
        <v xml:space="preserve"> FONDO SPESE DI FUNZIONAMENTO</v>
      </c>
      <c r="E112" s="90">
        <f>+PreDeduzione!D25</f>
        <v>0</v>
      </c>
      <c r="G112" s="96">
        <f>+PreDeduzione!F25</f>
        <v>0</v>
      </c>
      <c r="H112" s="97">
        <f>+PreDeduzione!G25</f>
        <v>0</v>
      </c>
      <c r="I112" s="97">
        <f>+PreDeduzione!H25</f>
        <v>0</v>
      </c>
      <c r="J112" s="96">
        <f>+PreDeduzione!I25</f>
        <v>0</v>
      </c>
    </row>
    <row r="113" ht="14.5">
      <c r="D113">
        <f>+PreDeduzione!C26</f>
        <v>0</v>
      </c>
      <c r="E113" s="90">
        <f>+PreDeduzione!D26</f>
        <v>0</v>
      </c>
      <c r="G113" s="96">
        <f>+PreDeduzione!F26</f>
        <v>0</v>
      </c>
      <c r="H113" s="97">
        <f>+PreDeduzione!G26</f>
        <v>0</v>
      </c>
      <c r="I113" s="97">
        <f>+PreDeduzione!H26</f>
        <v>0</v>
      </c>
      <c r="J113" s="96">
        <f>+PreDeduzione!I26</f>
        <v>0</v>
      </c>
    </row>
    <row r="114" ht="14.5">
      <c r="D114" s="90">
        <f>+PreDeduzione!C27</f>
        <v>0</v>
      </c>
      <c r="E114" s="90">
        <f>+PreDeduzione!D27</f>
        <v>0</v>
      </c>
      <c r="G114" s="96">
        <f>+PreDeduzione!F27</f>
        <v>0</v>
      </c>
      <c r="H114" s="97">
        <f>+PreDeduzione!G27</f>
        <v>0</v>
      </c>
      <c r="I114" s="97">
        <f>+PreDeduzione!H27</f>
        <v>0</v>
      </c>
      <c r="J114" s="96">
        <f>+PreDeduzione!I27</f>
        <v>0</v>
      </c>
    </row>
    <row r="115" ht="14.5">
      <c r="D115" s="90">
        <f>+PreDeduzione!C28</f>
        <v>0</v>
      </c>
      <c r="E115" s="90">
        <f>+PreDeduzione!D28</f>
        <v>0</v>
      </c>
      <c r="G115" s="96">
        <f>+PreDeduzione!F28</f>
        <v>0</v>
      </c>
      <c r="H115" s="97">
        <f>+PreDeduzione!G28</f>
        <v>0</v>
      </c>
      <c r="I115" s="97">
        <f>+PreDeduzione!H28</f>
        <v>0</v>
      </c>
      <c r="J115" s="96">
        <f>+PreDeduzione!I28</f>
        <v>0</v>
      </c>
    </row>
    <row r="116" ht="14.5">
      <c r="E116" s="99" t="str">
        <f>+PreDeduzione!D29</f>
        <v>TOTALE</v>
      </c>
      <c r="G116" s="100">
        <f>SUM(G94:G115)</f>
        <v>0</v>
      </c>
      <c r="H116" s="3"/>
      <c r="I116" s="3"/>
      <c r="J116" s="100">
        <f>SUM(J94:J115)</f>
        <v>0.2928</v>
      </c>
    </row>
    <row r="118">
      <c r="F118" s="92">
        <f>+F85</f>
        <v>2025</v>
      </c>
      <c r="G118" s="92">
        <f t="shared" ref="G118:P118" si="2">+G85</f>
        <v>2025</v>
      </c>
      <c r="H118" s="92">
        <f t="shared" si="2"/>
        <v>2025</v>
      </c>
      <c r="I118" s="92">
        <f t="shared" si="2"/>
        <v>2026</v>
      </c>
      <c r="J118" s="92">
        <f t="shared" si="2"/>
        <v>2026</v>
      </c>
      <c r="K118" s="92">
        <f t="shared" si="2"/>
        <v>2026</v>
      </c>
      <c r="L118" s="92">
        <f t="shared" si="2"/>
        <v>2026</v>
      </c>
      <c r="M118" s="92">
        <f t="shared" si="2"/>
        <v>2026</v>
      </c>
      <c r="N118" s="92">
        <f t="shared" si="2"/>
        <v>2026</v>
      </c>
      <c r="O118" s="92">
        <f t="shared" si="2"/>
        <v>2026</v>
      </c>
      <c r="P118" s="92">
        <f t="shared" si="2"/>
        <v>2026</v>
      </c>
    </row>
    <row r="119">
      <c r="D119" s="3" t="s">
        <v>911</v>
      </c>
      <c r="F119" s="92">
        <f>+F86</f>
        <v>10</v>
      </c>
      <c r="G119" s="92">
        <f t="shared" ref="G119:P119" si="3">+G86</f>
        <v>11</v>
      </c>
      <c r="H119" s="92">
        <f t="shared" si="3"/>
        <v>12</v>
      </c>
      <c r="I119" s="92">
        <f t="shared" si="3"/>
        <v>1</v>
      </c>
      <c r="J119" s="92">
        <f t="shared" si="3"/>
        <v>2</v>
      </c>
      <c r="K119" s="92">
        <f t="shared" si="3"/>
        <v>3</v>
      </c>
      <c r="L119" s="92">
        <f t="shared" si="3"/>
        <v>4</v>
      </c>
      <c r="M119" s="92">
        <f t="shared" si="3"/>
        <v>5</v>
      </c>
      <c r="N119" s="92">
        <f t="shared" si="3"/>
        <v>6</v>
      </c>
      <c r="O119" s="92">
        <f t="shared" si="3"/>
        <v>7</v>
      </c>
      <c r="P119" s="92">
        <f t="shared" si="3"/>
        <v>8</v>
      </c>
    </row>
    <row r="120" ht="14.5">
      <c r="D120" s="90" t="str">
        <f>+C_Azienda!C5</f>
        <v>Importo lordo:</v>
      </c>
      <c r="E120" s="101">
        <f>+C_Azienda!D5</f>
        <v>0</v>
      </c>
    </row>
    <row r="121" ht="14.5">
      <c r="D121" s="90" t="str">
        <f>+C_Azienda!C6</f>
        <v>Accolli:</v>
      </c>
      <c r="E121" s="101">
        <f>+C_Azienda!D6</f>
        <v>0</v>
      </c>
    </row>
    <row r="122" ht="14.5">
      <c r="D122" s="90" t="str">
        <f>+C_Azienda!C7</f>
        <v>Tfr</v>
      </c>
      <c r="E122" s="101">
        <f>+C_Azienda!D7</f>
        <v>0</v>
      </c>
    </row>
    <row r="123" ht="14.5">
      <c r="D123" s="90" t="str">
        <f>+C_Azienda!C8</f>
        <v>Fornitori</v>
      </c>
      <c r="E123" s="101">
        <f>+C_Azienda!D8</f>
        <v>0</v>
      </c>
    </row>
    <row r="124" ht="14.5">
      <c r="D124" s="90" t="str">
        <f>+C_Azienda!C9</f>
        <v>…</v>
      </c>
      <c r="E124" s="101">
        <f>+C_Azienda!D9</f>
        <v>0</v>
      </c>
    </row>
    <row r="125" ht="14.5">
      <c r="D125" s="90" t="str">
        <f>+C_Azienda!C10</f>
        <v>…</v>
      </c>
      <c r="E125" s="101">
        <f>+C_Azienda!D10</f>
        <v>0</v>
      </c>
    </row>
    <row r="126" ht="14.5">
      <c r="D126" s="90" t="str">
        <f>+C_Azienda!C11</f>
        <v>…</v>
      </c>
      <c r="E126" s="101">
        <f>+C_Azienda!D11</f>
        <v>0</v>
      </c>
    </row>
    <row r="127" ht="14.5">
      <c r="D127" s="90" t="str">
        <f>+C_Azienda!C12</f>
        <v>…</v>
      </c>
      <c r="E127" s="101">
        <f>+C_Azienda!D12</f>
        <v>0</v>
      </c>
    </row>
    <row r="128" ht="14.5">
      <c r="D128" s="90" t="str">
        <f>+C_Azienda!C13</f>
        <v>…</v>
      </c>
      <c r="E128" s="101">
        <f>+C_Azienda!D13</f>
        <v>0</v>
      </c>
    </row>
    <row r="129" ht="14.5">
      <c r="D129" s="90" t="str">
        <f>+C_Azienda!C14</f>
        <v>…</v>
      </c>
      <c r="E129" s="101">
        <f>+C_Azienda!D14</f>
        <v>0</v>
      </c>
    </row>
    <row r="130" ht="14.5">
      <c r="D130" s="3" t="str">
        <f>+C_Azienda!B15</f>
        <v>Importo netto:</v>
      </c>
      <c r="E130" s="102">
        <f>SUM(E120:E129)</f>
        <v>0</v>
      </c>
    </row>
    <row r="131" ht="14.5">
      <c r="E131" t="s">
        <v>916</v>
      </c>
      <c r="F131" s="96">
        <f>+C_Azienda!F16</f>
        <v>0</v>
      </c>
      <c r="G131" s="96">
        <f>+C_Azienda!G16</f>
        <v>0</v>
      </c>
      <c r="H131" s="96">
        <f>+C_Azienda!H16</f>
        <v>0</v>
      </c>
      <c r="I131" s="96">
        <f>+C_Azienda!I16</f>
        <v>0</v>
      </c>
      <c r="J131" s="96">
        <f>+C_Azienda!J16</f>
        <v>0</v>
      </c>
      <c r="K131" s="96">
        <f>+C_Azienda!K16</f>
        <v>0</v>
      </c>
      <c r="L131" s="96">
        <f>+C_Azienda!L16</f>
        <v>0</v>
      </c>
      <c r="M131" s="96">
        <f>+C_Azienda!M16</f>
        <v>0</v>
      </c>
      <c r="N131" s="96">
        <f>+C_Azienda!N16</f>
        <v>0</v>
      </c>
      <c r="O131" s="96">
        <f>+C_Azienda!O16</f>
        <v>0</v>
      </c>
      <c r="P131" s="96">
        <f>+C_Azienda!P16</f>
        <v>0</v>
      </c>
    </row>
    <row r="135" ht="14.5">
      <c r="D135" s="9" t="s">
        <v>785</v>
      </c>
    </row>
    <row r="186" ht="14.5">
      <c r="D186" s="90"/>
    </row>
  </sheetData>
  <mergeCells count="1">
    <mergeCell ref="F3:J3"/>
  </mergeCells>
  <hyperlinks>
    <hyperlink ref="A1" location="Input!A1" display="MENU"/>
    <hyperlink ref="D135" location="'Gestione e Proposta concordatar'!A1" display="GESTIONE PIANO"/>
  </hyperlinks>
</worksheet>
</file>

<file path=xl/worksheets/sheet21.xml><?xml version="1.0" encoding="utf-8"?>
<worksheet xmlns:r="http://schemas.openxmlformats.org/officeDocument/2006/relationships" xmlns="http://schemas.openxmlformats.org/spreadsheetml/2006/main">
  <sheetViews>
    <sheetView showGridLines="0" workbookViewId="0"/>
  </sheetViews>
  <sheetFormatPr defaultColWidth="8.855469" defaultRowHeight="15"/>
  <cols>
    <col min="5" max="5" width="63.42578" bestFit="1" customWidth="1"/>
    <col min="6" max="6" width="12" bestFit="1" customWidth="1"/>
    <col min="9" max="9" width="77.42578" customWidth="1"/>
  </cols>
  <sheetData>
    <row r="1" ht="14.5">
      <c r="A1" s="79" t="s">
        <v>38</v>
      </c>
    </row>
    <row r="4" ht="14.5">
      <c r="D4" t="s">
        <v>917</v>
      </c>
    </row>
    <row r="7" ht="14.5">
      <c r="D7" t="s">
        <v>918</v>
      </c>
      <c r="E7" s="103" t="s">
        <v>919</v>
      </c>
      <c r="F7" s="104"/>
    </row>
    <row r="8" ht="14.5">
      <c r="D8" t="s">
        <v>918</v>
      </c>
      <c r="E8" s="103" t="s">
        <v>920</v>
      </c>
      <c r="F8" s="104"/>
    </row>
    <row r="9" ht="14.5">
      <c r="D9" t="s">
        <v>918</v>
      </c>
      <c r="E9" s="103" t="s">
        <v>921</v>
      </c>
      <c r="F9" s="104"/>
    </row>
    <row r="10" ht="14.5">
      <c r="D10" t="s">
        <v>918</v>
      </c>
      <c r="E10" s="103" t="s">
        <v>922</v>
      </c>
      <c r="F10" s="104"/>
    </row>
    <row r="11" ht="14.5">
      <c r="D11" t="s">
        <v>918</v>
      </c>
      <c r="E11" s="103" t="s">
        <v>923</v>
      </c>
      <c r="F11" s="104"/>
    </row>
    <row r="12" ht="43.5">
      <c r="D12" t="s">
        <v>924</v>
      </c>
      <c r="E12" s="105" t="s">
        <v>925</v>
      </c>
      <c r="F12" s="106">
        <f>-'Gestione e Proposta concordatar'!H7</f>
        <v>0</v>
      </c>
    </row>
    <row r="13" ht="14.5">
      <c r="D13" t="s">
        <v>924</v>
      </c>
      <c r="E13" s="103" t="s">
        <v>926</v>
      </c>
      <c r="F13" s="104"/>
    </row>
    <row r="14" ht="29">
      <c r="D14" t="s">
        <v>924</v>
      </c>
      <c r="E14" s="105" t="s">
        <v>927</v>
      </c>
      <c r="F14" s="104"/>
    </row>
    <row r="15" ht="28.5" customHeight="1">
      <c r="E15" s="107" t="s">
        <v>928</v>
      </c>
      <c r="F15" s="100">
        <f>SUM(F7:F14)</f>
        <v>0</v>
      </c>
      <c r="I15" s="108" t="s">
        <v>929</v>
      </c>
    </row>
    <row r="18" ht="29">
      <c r="D18" t="s">
        <v>930</v>
      </c>
      <c r="E18" s="105" t="s">
        <v>931</v>
      </c>
      <c r="F18" s="109">
        <f>+'CE-mese'!DU54-'CE-mese'!DU52-'CE-mese'!DU45</f>
        <v>0</v>
      </c>
    </row>
    <row r="19" ht="14.5">
      <c r="D19" t="s">
        <v>924</v>
      </c>
      <c r="E19" s="105" t="s">
        <v>932</v>
      </c>
      <c r="F19" s="109" t="e">
        <f>+SUMIF(#REF!,'CE-mese'!DU3,#REF!)</f>
        <v>#REF!</v>
      </c>
    </row>
    <row r="20" ht="14.5">
      <c r="D20" t="s">
        <v>924</v>
      </c>
      <c r="E20" s="105" t="s">
        <v>933</v>
      </c>
      <c r="F20" s="109">
        <f>+'CE-mese'!DU67</f>
        <v>0</v>
      </c>
    </row>
    <row r="21" ht="14.5">
      <c r="E21" s="107" t="s">
        <v>934</v>
      </c>
      <c r="F21" s="100" t="e">
        <f>SUM(F18:F20)</f>
        <v>#REF!</v>
      </c>
    </row>
    <row r="26" ht="31">
      <c r="E26" s="110" t="s">
        <v>935</v>
      </c>
      <c r="F26" s="111" t="str">
        <f>+IFERROR(F15/F21,"NA")</f>
        <v>NA</v>
      </c>
    </row>
    <row r="28" ht="64.5" customHeight="1">
      <c r="E28" s="110" t="s">
        <v>936</v>
      </c>
      <c r="F28" s="112" t="s">
        <v>937</v>
      </c>
      <c r="G28" s="113"/>
      <c r="H28" s="113"/>
      <c r="I28" s="114"/>
    </row>
    <row r="29" ht="42" customHeight="1">
      <c r="E29" s="110" t="s">
        <v>938</v>
      </c>
      <c r="F29" s="112" t="s">
        <v>939</v>
      </c>
      <c r="G29" s="113"/>
      <c r="H29" s="113"/>
      <c r="I29" s="114"/>
    </row>
    <row r="30" ht="43.5" customHeight="1">
      <c r="E30" s="110" t="s">
        <v>940</v>
      </c>
      <c r="F30" s="112" t="s">
        <v>941</v>
      </c>
      <c r="G30" s="113"/>
      <c r="H30" s="113"/>
      <c r="I30" s="114"/>
    </row>
    <row r="31" ht="48" customHeight="1">
      <c r="E31" s="110" t="s">
        <v>942</v>
      </c>
      <c r="F31" s="112" t="s">
        <v>943</v>
      </c>
      <c r="G31" s="113"/>
      <c r="H31" s="113"/>
      <c r="I31" s="114"/>
    </row>
  </sheetData>
  <mergeCells count="5">
    <mergeCell ref="I15:J15"/>
    <mergeCell ref="F28:I28"/>
    <mergeCell ref="F29:I29"/>
    <mergeCell ref="F30:I30"/>
    <mergeCell ref="F31:I31"/>
  </mergeCells>
  <hyperlinks>
    <hyperlink ref="A1" location="Input!A1" display="MENU"/>
  </hyperlinks>
  <pageSetup r:id="rId1" paperSize="9" orientation="portrait"/>
</worksheet>
</file>

<file path=xl/worksheets/sheet22.xml><?xml version="1.0" encoding="utf-8"?>
<worksheet xmlns:r="http://schemas.openxmlformats.org/officeDocument/2006/relationships" xmlns="http://schemas.openxmlformats.org/spreadsheetml/2006/main">
  <sheetViews>
    <sheetView showGridLines="0" zoomScale="120" zoomScaleNormal="120" workbookViewId="0"/>
  </sheetViews>
  <sheetFormatPr defaultColWidth="8.855469" defaultRowHeight="15"/>
  <cols>
    <col min="1" max="1" width="12.85547" customWidth="1"/>
    <col min="2" max="2" width="24" bestFit="1" customWidth="1"/>
    <col min="3" max="3" width="22.57031" bestFit="1" customWidth="1"/>
    <col min="4" max="4" width="11.14063" bestFit="1" customWidth="1"/>
    <col min="5" max="5" width="39.42578" bestFit="1" customWidth="1"/>
    <col min="6" max="6" width="2.570313" customWidth="1"/>
    <col min="7" max="7" width="23.57031" bestFit="1" customWidth="1"/>
  </cols>
  <sheetData>
    <row r="1" ht="14.5">
      <c r="A1" s="79" t="s">
        <v>38</v>
      </c>
    </row>
    <row r="3" ht="14.5">
      <c r="B3" s="115" t="s">
        <v>862</v>
      </c>
    </row>
    <row r="4" s="2" customFormat="1" ht="30" customHeight="1">
      <c r="B4" s="116" t="s">
        <v>863</v>
      </c>
      <c r="C4" s="117" t="s">
        <v>864</v>
      </c>
      <c r="D4" s="117" t="s">
        <v>865</v>
      </c>
      <c r="E4" s="118" t="s">
        <v>866</v>
      </c>
    </row>
    <row r="5" ht="14.5">
      <c r="A5">
        <v>1</v>
      </c>
      <c r="B5" s="119" t="s">
        <v>867</v>
      </c>
      <c r="C5" t="s">
        <v>868</v>
      </c>
      <c r="D5" s="12" t="s">
        <v>869</v>
      </c>
      <c r="E5" s="120" t="str">
        <f t="shared" ref="E5:E28" si="0">D5&amp; "_" &amp; B5 &amp; " _ " &amp; C5</f>
        <v>0_1_Non Aderente Scaduto _ XXX</v>
      </c>
      <c r="G5" s="121" t="str">
        <f>+B5</f>
        <v>Non Aderente Scaduto</v>
      </c>
    </row>
    <row r="6" ht="14.5">
      <c r="A6">
        <f>+A5+1</f>
        <v>2</v>
      </c>
      <c r="B6" s="119" t="s">
        <v>867</v>
      </c>
      <c r="C6" t="s">
        <v>870</v>
      </c>
      <c r="D6" s="12" t="s">
        <v>871</v>
      </c>
      <c r="E6" s="120" t="str">
        <f t="shared" si="0"/>
        <v>0_2_Non Aderente Scaduto _ YYY</v>
      </c>
      <c r="G6" s="121" t="str">
        <f t="shared" ref="G6:G28" si="1">+B6</f>
        <v>Non Aderente Scaduto</v>
      </c>
    </row>
    <row r="7" ht="14.5">
      <c r="A7">
        <f t="shared" ref="A7:A13" si="2">+A6+1</f>
        <v>3</v>
      </c>
      <c r="B7" s="119" t="s">
        <v>867</v>
      </c>
      <c r="C7" t="s">
        <v>872</v>
      </c>
      <c r="D7" s="12" t="s">
        <v>873</v>
      </c>
      <c r="E7" s="120" t="str">
        <f t="shared" si="0"/>
        <v>0_3_Non Aderente Scaduto _ ZZZ</v>
      </c>
      <c r="G7" s="121" t="str">
        <f t="shared" si="1"/>
        <v>Non Aderente Scaduto</v>
      </c>
    </row>
    <row r="8" ht="14.5">
      <c r="A8">
        <f t="shared" si="2"/>
        <v>4</v>
      </c>
      <c r="B8" s="119" t="s">
        <v>867</v>
      </c>
      <c r="C8" t="s">
        <v>872</v>
      </c>
      <c r="D8" s="12" t="s">
        <v>874</v>
      </c>
      <c r="E8" s="120" t="str">
        <f t="shared" ref="E8:E14" si="3">D8&amp; "_" &amp; B8 &amp; " _ " &amp; C8</f>
        <v>0_4_Non Aderente Scaduto _ ZZZ</v>
      </c>
      <c r="G8" s="121" t="str">
        <f t="shared" si="1"/>
        <v>Non Aderente Scaduto</v>
      </c>
    </row>
    <row r="9" ht="14.5">
      <c r="A9">
        <f t="shared" si="2"/>
        <v>5</v>
      </c>
      <c r="B9" s="119" t="s">
        <v>867</v>
      </c>
      <c r="C9" t="s">
        <v>872</v>
      </c>
      <c r="D9" s="12" t="s">
        <v>875</v>
      </c>
      <c r="E9" s="120" t="str">
        <f t="shared" si="3"/>
        <v>0_5_Non Aderente Scaduto _ ZZZ</v>
      </c>
      <c r="G9" s="121" t="str">
        <f t="shared" si="1"/>
        <v>Non Aderente Scaduto</v>
      </c>
    </row>
    <row r="10" ht="14.5">
      <c r="A10">
        <f t="shared" si="2"/>
        <v>6</v>
      </c>
      <c r="B10" s="119" t="s">
        <v>876</v>
      </c>
      <c r="C10" t="s">
        <v>872</v>
      </c>
      <c r="D10" s="12" t="s">
        <v>877</v>
      </c>
      <c r="E10" s="120" t="str">
        <f t="shared" si="3"/>
        <v>0_6_Non Aderente non Scaduto _ ZZZ</v>
      </c>
      <c r="G10" s="121" t="str">
        <f t="shared" si="1"/>
        <v>Non Aderente non Scaduto</v>
      </c>
    </row>
    <row r="11" ht="14.5">
      <c r="A11">
        <f t="shared" si="2"/>
        <v>7</v>
      </c>
      <c r="B11" s="119" t="s">
        <v>876</v>
      </c>
      <c r="C11" t="s">
        <v>872</v>
      </c>
      <c r="D11" s="12" t="s">
        <v>878</v>
      </c>
      <c r="E11" s="120" t="str">
        <f t="shared" si="3"/>
        <v>0_7_Non Aderente non Scaduto _ ZZZ</v>
      </c>
      <c r="G11" s="121" t="str">
        <f t="shared" si="1"/>
        <v>Non Aderente non Scaduto</v>
      </c>
    </row>
    <row r="12" ht="14.5">
      <c r="A12">
        <f t="shared" si="2"/>
        <v>8</v>
      </c>
      <c r="B12" s="119" t="s">
        <v>876</v>
      </c>
      <c r="C12" t="s">
        <v>872</v>
      </c>
      <c r="D12" s="12" t="s">
        <v>879</v>
      </c>
      <c r="E12" s="120" t="str">
        <f t="shared" si="3"/>
        <v>0_8_Non Aderente non Scaduto _ ZZZ</v>
      </c>
      <c r="G12" s="121" t="str">
        <f t="shared" si="1"/>
        <v>Non Aderente non Scaduto</v>
      </c>
    </row>
    <row r="13" ht="14.5">
      <c r="A13">
        <f t="shared" si="2"/>
        <v>9</v>
      </c>
      <c r="B13" s="119" t="s">
        <v>876</v>
      </c>
      <c r="C13" t="s">
        <v>872</v>
      </c>
      <c r="D13" s="12" t="s">
        <v>880</v>
      </c>
      <c r="E13" s="120" t="str">
        <f t="shared" si="3"/>
        <v>0_9_Non Aderente non Scaduto _ ZZZ</v>
      </c>
      <c r="G13" s="121" t="str">
        <f t="shared" si="1"/>
        <v>Non Aderente non Scaduto</v>
      </c>
    </row>
    <row r="14" ht="14.5">
      <c r="A14">
        <f>+A13+1</f>
        <v>10</v>
      </c>
      <c r="B14" s="119" t="s">
        <v>876</v>
      </c>
      <c r="C14" t="s">
        <v>872</v>
      </c>
      <c r="D14" s="12" t="s">
        <v>881</v>
      </c>
      <c r="E14" s="120" t="str">
        <f t="shared" si="3"/>
        <v>0_10_Non Aderente non Scaduto _ ZZZ</v>
      </c>
      <c r="G14" s="121" t="str">
        <f t="shared" si="1"/>
        <v>Non Aderente non Scaduto</v>
      </c>
    </row>
    <row r="17" ht="14.5">
      <c r="B17" s="115" t="s">
        <v>883</v>
      </c>
    </row>
    <row r="18" ht="30" customHeight="1">
      <c r="B18" s="116" t="s">
        <v>863</v>
      </c>
      <c r="C18" s="117" t="s">
        <v>864</v>
      </c>
      <c r="D18" s="117" t="s">
        <v>865</v>
      </c>
      <c r="E18" s="118" t="s">
        <v>866</v>
      </c>
    </row>
    <row r="19" ht="14.5">
      <c r="B19" s="119" t="s">
        <v>884</v>
      </c>
      <c r="C19" t="s">
        <v>885</v>
      </c>
      <c r="D19" s="12" t="s">
        <v>869</v>
      </c>
      <c r="E19" s="120" t="str">
        <f t="shared" si="0"/>
        <v>0_1_Aderenti _ Accollato</v>
      </c>
      <c r="G19" s="121" t="str">
        <f t="shared" si="1"/>
        <v>Aderenti</v>
      </c>
    </row>
    <row r="20" ht="14.5">
      <c r="B20" s="119" t="s">
        <v>884</v>
      </c>
      <c r="D20" s="12" t="s">
        <v>871</v>
      </c>
      <c r="E20" s="120" t="str">
        <f t="shared" si="0"/>
        <v xml:space="preserve">0_2_Aderenti _ </v>
      </c>
      <c r="G20" s="121" t="str">
        <f t="shared" si="1"/>
        <v>Aderenti</v>
      </c>
    </row>
    <row r="21" ht="14.5">
      <c r="B21" s="119" t="s">
        <v>884</v>
      </c>
      <c r="D21" s="12" t="s">
        <v>873</v>
      </c>
      <c r="E21" s="120" t="str">
        <f t="shared" si="0"/>
        <v xml:space="preserve">0_3_Aderenti _ </v>
      </c>
      <c r="G21" s="121" t="str">
        <f t="shared" si="1"/>
        <v>Aderenti</v>
      </c>
    </row>
    <row r="22" ht="14.5">
      <c r="B22" s="119" t="s">
        <v>884</v>
      </c>
      <c r="D22" s="12" t="s">
        <v>874</v>
      </c>
      <c r="E22" s="120" t="str">
        <f t="shared" si="0"/>
        <v xml:space="preserve">0_4_Aderenti _ </v>
      </c>
      <c r="G22" s="121" t="str">
        <f t="shared" si="1"/>
        <v>Aderenti</v>
      </c>
    </row>
    <row r="23" ht="14.5">
      <c r="B23" s="119" t="s">
        <v>884</v>
      </c>
      <c r="D23" s="12" t="s">
        <v>875</v>
      </c>
      <c r="E23" s="120" t="str">
        <f t="shared" si="0"/>
        <v xml:space="preserve">0_5_Aderenti _ </v>
      </c>
      <c r="G23" s="121" t="str">
        <f t="shared" si="1"/>
        <v>Aderenti</v>
      </c>
    </row>
    <row r="24" ht="14.5">
      <c r="B24" s="119" t="s">
        <v>884</v>
      </c>
      <c r="D24" s="12" t="s">
        <v>877</v>
      </c>
      <c r="E24" s="120" t="str">
        <f t="shared" si="0"/>
        <v xml:space="preserve">0_6_Aderenti _ </v>
      </c>
      <c r="G24" s="121" t="str">
        <f t="shared" si="1"/>
        <v>Aderenti</v>
      </c>
    </row>
    <row r="25" ht="14.5">
      <c r="B25" s="119" t="s">
        <v>884</v>
      </c>
      <c r="D25" s="12" t="s">
        <v>878</v>
      </c>
      <c r="E25" s="120" t="str">
        <f t="shared" si="0"/>
        <v xml:space="preserve">0_7_Aderenti _ </v>
      </c>
      <c r="G25" s="121" t="str">
        <f t="shared" si="1"/>
        <v>Aderenti</v>
      </c>
    </row>
    <row r="26" ht="14.5">
      <c r="B26" s="119" t="s">
        <v>884</v>
      </c>
      <c r="D26" s="12" t="s">
        <v>879</v>
      </c>
      <c r="E26" s="120" t="str">
        <f t="shared" si="0"/>
        <v xml:space="preserve">0_8_Aderenti _ </v>
      </c>
      <c r="G26" s="121" t="str">
        <f t="shared" si="1"/>
        <v>Aderenti</v>
      </c>
    </row>
    <row r="27" ht="14.5">
      <c r="B27" s="119" t="s">
        <v>884</v>
      </c>
      <c r="D27" s="12" t="s">
        <v>880</v>
      </c>
      <c r="E27" s="120" t="str">
        <f t="shared" si="0"/>
        <v xml:space="preserve">0_9_Aderenti _ </v>
      </c>
      <c r="G27" s="121" t="str">
        <f t="shared" si="1"/>
        <v>Aderenti</v>
      </c>
    </row>
    <row r="28" ht="14.5">
      <c r="B28" s="119" t="s">
        <v>884</v>
      </c>
      <c r="D28" s="12" t="s">
        <v>881</v>
      </c>
      <c r="E28" s="120" t="str">
        <f t="shared" si="0"/>
        <v xml:space="preserve">0_10_Aderenti _ </v>
      </c>
      <c r="G28" s="121" t="str">
        <f t="shared" si="1"/>
        <v>Aderenti</v>
      </c>
    </row>
  </sheetData>
  <autoFilter ref="B4:E28">
    <sortState ref="B5:E28">
      <sortCondition ref="D5:D28"/>
    </sortState>
  </autoFilter>
  <conditionalFormatting sqref="B5:E14 B19:E28">
    <cfRule priority="5" dxfId="0" type="expression">
      <formula>$B5="Chirografario"</formula>
    </cfRule>
    <cfRule priority="11" dxfId="1" type="expression">
      <formula>$B5="Privilegiato"</formula>
    </cfRule>
    <cfRule priority="14" dxfId="2" type="expression">
      <formula>$B5="Ipotecario"</formula>
    </cfRule>
  </conditionalFormatting>
  <dataValidations count="2">
    <dataValidation type="list" allowBlank="1" showInputMessage="1" showErrorMessage="1" sqref="B5:B14">
      <formula1>" Non Aderente Scaduto, Non Aderente non Scaduto"</formula1>
    </dataValidation>
    <dataValidation type="list" allowBlank="1" showInputMessage="1" showErrorMessage="1" sqref="B19:B28">
      <formula1>"Aderenti"</formula1>
    </dataValidation>
  </dataValidations>
  <hyperlinks>
    <hyperlink ref="A1" location="Input!A1" display="MENU"/>
  </hyperlinks>
</worksheet>
</file>

<file path=xl/worksheets/sheet23.xml><?xml version="1.0" encoding="utf-8"?>
<worksheet xmlns:r="http://schemas.openxmlformats.org/officeDocument/2006/relationships" xmlns="http://schemas.openxmlformats.org/spreadsheetml/2006/main">
  <sheetViews>
    <sheetView workbookViewId="0">
      <selection activeCell="K32" sqref="K32"/>
    </sheetView>
  </sheetViews>
  <sheetFormatPr defaultColWidth="11.42578" defaultRowHeight="15"/>
  <sheetData>
    <row r="9" ht="14.5">
      <c r="C9" s="94" t="s">
        <v>944</v>
      </c>
      <c r="D9" s="94"/>
      <c r="H9" t="s">
        <v>945</v>
      </c>
    </row>
    <row r="10" ht="14.5">
      <c r="C10" s="94"/>
      <c r="D10" s="94"/>
    </row>
    <row r="11" ht="14.5">
      <c r="C11" s="94"/>
      <c r="D11" s="94"/>
    </row>
    <row r="12" ht="14.5">
      <c r="C12" s="94"/>
      <c r="D12" s="94"/>
    </row>
    <row r="13" ht="14.5">
      <c r="C13" s="94"/>
      <c r="D13" s="94"/>
    </row>
    <row r="14" ht="14.5">
      <c r="C14" s="94"/>
      <c r="D14" s="94"/>
    </row>
    <row r="15" ht="14.5">
      <c r="C15" s="94" t="s">
        <v>946</v>
      </c>
      <c r="D15" s="94" t="s">
        <v>947</v>
      </c>
    </row>
    <row r="16" ht="14.5">
      <c r="C16" s="94"/>
      <c r="D16" s="94" t="s">
        <v>948</v>
      </c>
    </row>
    <row r="17" ht="14.5">
      <c r="C17" s="94"/>
      <c r="D17" s="94" t="s">
        <v>949</v>
      </c>
    </row>
    <row r="18" ht="14.5">
      <c r="C18" s="94"/>
      <c r="D18" s="94"/>
    </row>
    <row r="19" ht="14.5">
      <c r="C19" s="94" t="s">
        <v>946</v>
      </c>
      <c r="D19" s="94" t="s">
        <v>950</v>
      </c>
    </row>
    <row r="20" ht="14.5">
      <c r="C20" s="94"/>
      <c r="D20" s="94"/>
    </row>
    <row r="21" ht="14.5">
      <c r="C21" s="94" t="s">
        <v>951</v>
      </c>
      <c r="D21" s="94" t="s">
        <v>952</v>
      </c>
    </row>
    <row r="22" ht="14.5">
      <c r="C22" s="94"/>
      <c r="D22" s="94"/>
    </row>
  </sheetData>
</worksheet>
</file>

<file path=xl/worksheets/sheet24.xml><?xml version="1.0" encoding="utf-8"?>
<worksheet xmlns:r="http://schemas.openxmlformats.org/officeDocument/2006/relationships" xmlns="http://schemas.openxmlformats.org/spreadsheetml/2006/main">
  <sheetViews>
    <sheetView showGridLines="0" workbookViewId="0"/>
  </sheetViews>
  <sheetFormatPr defaultColWidth="8.855469" defaultRowHeight="15" outlineLevelRow="1"/>
  <cols>
    <col min="2" max="2" width="2.570313" customWidth="1"/>
    <col min="3" max="3" width="32.14063" bestFit="1" customWidth="1"/>
    <col min="4" max="4" width="35.42578" customWidth="1"/>
    <col min="5" max="5" width="34.42578" bestFit="1" customWidth="1"/>
    <col min="6" max="6" width="10.57031" bestFit="1" customWidth="1"/>
    <col min="7" max="7" width="10.85547" bestFit="1" customWidth="1"/>
    <col min="8" max="8" width="11.85547" bestFit="1" customWidth="1"/>
    <col min="9" max="9" width="10.14063" bestFit="1" customWidth="1"/>
    <col min="11" max="11" width="23.57031" customWidth="1"/>
    <col min="12" max="131" width="15.57031" customWidth="1"/>
  </cols>
  <sheetData>
    <row r="1" ht="14.5">
      <c r="A1" s="122" t="s">
        <v>38</v>
      </c>
    </row>
    <row r="2" outlineLevel="1" ht="23.5" customHeight="1">
      <c r="G2" s="123" t="s">
        <v>953</v>
      </c>
      <c r="H2" s="124">
        <f>MIN(L2:EA2)</f>
        <v>0</v>
      </c>
      <c r="K2" s="18" t="s">
        <v>954</v>
      </c>
      <c r="L2" s="125">
        <f>'Gestione e Proposta concordatar'!J20</f>
        <v>0</v>
      </c>
      <c r="M2" s="125">
        <f>'Gestione e Proposta concordatar'!K20</f>
        <v>0</v>
      </c>
      <c r="N2" s="125">
        <f>'Gestione e Proposta concordatar'!L20</f>
        <v>0</v>
      </c>
      <c r="O2" s="125">
        <f>'Gestione e Proposta concordatar'!M20</f>
        <v>0</v>
      </c>
      <c r="P2" s="125">
        <f>'Gestione e Proposta concordatar'!N20</f>
        <v>0</v>
      </c>
      <c r="Q2" s="125">
        <f>'Gestione e Proposta concordatar'!O20</f>
        <v>0</v>
      </c>
      <c r="R2" s="125">
        <f>'Gestione e Proposta concordatar'!P20</f>
        <v>0</v>
      </c>
      <c r="S2" s="125">
        <f>'Gestione e Proposta concordatar'!Q20</f>
        <v>0</v>
      </c>
      <c r="T2" s="125">
        <f>'Gestione e Proposta concordatar'!R20</f>
        <v>0</v>
      </c>
      <c r="U2" s="125">
        <f>'Gestione e Proposta concordatar'!S20</f>
        <v>0</v>
      </c>
      <c r="V2" s="125">
        <f>'Gestione e Proposta concordatar'!T20</f>
        <v>0</v>
      </c>
      <c r="W2" s="125">
        <f>'Gestione e Proposta concordatar'!U20</f>
        <v>0</v>
      </c>
      <c r="X2" s="125">
        <f>'Gestione e Proposta concordatar'!V20</f>
        <v>0</v>
      </c>
      <c r="Y2" s="125">
        <f>'Gestione e Proposta concordatar'!W20</f>
        <v>0</v>
      </c>
      <c r="Z2" s="125">
        <f>'Gestione e Proposta concordatar'!X20</f>
        <v>0</v>
      </c>
      <c r="AA2" s="125">
        <f>'Gestione e Proposta concordatar'!Y20</f>
        <v>0</v>
      </c>
      <c r="AB2" s="125">
        <f>'Gestione e Proposta concordatar'!Z20</f>
        <v>0</v>
      </c>
      <c r="AC2" s="125">
        <f>'Gestione e Proposta concordatar'!AA20</f>
        <v>0</v>
      </c>
      <c r="AD2" s="125">
        <f>'Gestione e Proposta concordatar'!AB20</f>
        <v>0</v>
      </c>
      <c r="AE2" s="125">
        <f>'Gestione e Proposta concordatar'!AC20</f>
        <v>0</v>
      </c>
      <c r="AF2" s="125">
        <f>'Gestione e Proposta concordatar'!AD20</f>
        <v>0</v>
      </c>
      <c r="AG2" s="125">
        <f>'Gestione e Proposta concordatar'!AE20</f>
        <v>0</v>
      </c>
      <c r="AH2" s="125">
        <f>'Gestione e Proposta concordatar'!AF20</f>
        <v>0</v>
      </c>
      <c r="AI2" s="125">
        <f>'Gestione e Proposta concordatar'!AG20</f>
        <v>0</v>
      </c>
      <c r="AJ2" s="125">
        <f>'Gestione e Proposta concordatar'!AH20</f>
        <v>0</v>
      </c>
      <c r="AK2" s="125">
        <f>'Gestione e Proposta concordatar'!AI20</f>
        <v>0</v>
      </c>
      <c r="AL2" s="125">
        <f>'Gestione e Proposta concordatar'!AJ20</f>
        <v>0</v>
      </c>
      <c r="AM2" s="125">
        <f>'Gestione e Proposta concordatar'!AK20</f>
        <v>0</v>
      </c>
      <c r="AN2" s="125">
        <f>'Gestione e Proposta concordatar'!AL20</f>
        <v>0</v>
      </c>
      <c r="AO2" s="125">
        <f>'Gestione e Proposta concordatar'!AM20</f>
        <v>0</v>
      </c>
      <c r="AP2" s="125">
        <f>'Gestione e Proposta concordatar'!AN20</f>
        <v>0</v>
      </c>
      <c r="AQ2" s="125">
        <f>'Gestione e Proposta concordatar'!AO20</f>
        <v>0</v>
      </c>
      <c r="AR2" s="125">
        <f>'Gestione e Proposta concordatar'!AP20</f>
        <v>0</v>
      </c>
      <c r="AS2" s="125">
        <f>'Gestione e Proposta concordatar'!AQ20</f>
        <v>0</v>
      </c>
      <c r="AT2" s="125">
        <f>'Gestione e Proposta concordatar'!AR20</f>
        <v>0</v>
      </c>
      <c r="AU2" s="125">
        <f>'Gestione e Proposta concordatar'!AS20</f>
        <v>0</v>
      </c>
      <c r="AV2" s="125">
        <f>'Gestione e Proposta concordatar'!AT20</f>
        <v>0</v>
      </c>
      <c r="AW2" s="125">
        <f>'Gestione e Proposta concordatar'!AU20</f>
        <v>0</v>
      </c>
      <c r="AX2" s="125">
        <f>'Gestione e Proposta concordatar'!AV20</f>
        <v>0</v>
      </c>
      <c r="AY2" s="125">
        <f>'Gestione e Proposta concordatar'!AW20</f>
        <v>0</v>
      </c>
      <c r="AZ2" s="125">
        <f>'Gestione e Proposta concordatar'!AX20</f>
        <v>0</v>
      </c>
      <c r="BA2" s="125">
        <f>'Gestione e Proposta concordatar'!AY20</f>
        <v>0</v>
      </c>
      <c r="BB2" s="125">
        <f>'Gestione e Proposta concordatar'!AZ20</f>
        <v>0</v>
      </c>
      <c r="BC2" s="125">
        <f>'Gestione e Proposta concordatar'!BA20</f>
        <v>0</v>
      </c>
      <c r="BD2" s="125">
        <f>'Gestione e Proposta concordatar'!BB20</f>
        <v>0</v>
      </c>
      <c r="BE2" s="125">
        <f>'Gestione e Proposta concordatar'!BC20</f>
        <v>0</v>
      </c>
      <c r="BF2" s="125">
        <f>'Gestione e Proposta concordatar'!BD20</f>
        <v>0</v>
      </c>
      <c r="BG2" s="125">
        <f>'Gestione e Proposta concordatar'!BE20</f>
        <v>0</v>
      </c>
      <c r="BH2" s="125">
        <f>'Gestione e Proposta concordatar'!BF20</f>
        <v>0</v>
      </c>
      <c r="BI2" s="125">
        <f>'Gestione e Proposta concordatar'!BG20</f>
        <v>0</v>
      </c>
      <c r="BJ2" s="125">
        <f>'Gestione e Proposta concordatar'!BH20</f>
        <v>0</v>
      </c>
      <c r="BK2" s="125">
        <f>'Gestione e Proposta concordatar'!BI20</f>
        <v>0</v>
      </c>
      <c r="BL2" s="125">
        <f>'Gestione e Proposta concordatar'!BJ20</f>
        <v>0</v>
      </c>
      <c r="BM2" s="125">
        <f>'Gestione e Proposta concordatar'!BK20</f>
        <v>0</v>
      </c>
      <c r="BN2" s="125">
        <f>'Gestione e Proposta concordatar'!BL20</f>
        <v>0</v>
      </c>
      <c r="BO2" s="125">
        <f>'Gestione e Proposta concordatar'!BM20</f>
        <v>0</v>
      </c>
      <c r="BP2" s="125">
        <f>'Gestione e Proposta concordatar'!BN20</f>
        <v>0</v>
      </c>
      <c r="BQ2" s="125">
        <f>'Gestione e Proposta concordatar'!BO20</f>
        <v>0</v>
      </c>
      <c r="BR2" s="125">
        <f>'Gestione e Proposta concordatar'!BP20</f>
        <v>0</v>
      </c>
      <c r="BS2" s="125">
        <f>'Gestione e Proposta concordatar'!BQ20</f>
        <v>0</v>
      </c>
      <c r="BT2" s="125">
        <f>'Gestione e Proposta concordatar'!BR20</f>
        <v>0</v>
      </c>
      <c r="BU2" s="125">
        <f>'Gestione e Proposta concordatar'!BS20</f>
        <v>0</v>
      </c>
      <c r="BV2" s="125">
        <f>'Gestione e Proposta concordatar'!BT20</f>
        <v>0</v>
      </c>
      <c r="BW2" s="125">
        <f>'Gestione e Proposta concordatar'!BU20</f>
        <v>0</v>
      </c>
      <c r="BX2" s="125">
        <f>'Gestione e Proposta concordatar'!BV20</f>
        <v>0</v>
      </c>
      <c r="BY2" s="125">
        <f>'Gestione e Proposta concordatar'!BW20</f>
        <v>0</v>
      </c>
      <c r="BZ2" s="125">
        <f>'Gestione e Proposta concordatar'!BX20</f>
        <v>0</v>
      </c>
      <c r="CA2" s="125">
        <f>'Gestione e Proposta concordatar'!BY20</f>
        <v>0</v>
      </c>
      <c r="CB2" s="125">
        <f>'Gestione e Proposta concordatar'!BZ20</f>
        <v>0</v>
      </c>
      <c r="CC2" s="125">
        <f>'Gestione e Proposta concordatar'!CA20</f>
        <v>0</v>
      </c>
      <c r="CD2" s="125">
        <f>'Gestione e Proposta concordatar'!CB20</f>
        <v>0</v>
      </c>
      <c r="CE2" s="125">
        <f>'Gestione e Proposta concordatar'!CC20</f>
        <v>0</v>
      </c>
      <c r="CF2" s="125">
        <f>'Gestione e Proposta concordatar'!CD20</f>
        <v>0</v>
      </c>
      <c r="CG2" s="125">
        <f>'Gestione e Proposta concordatar'!CE20</f>
        <v>0</v>
      </c>
      <c r="CH2" s="125">
        <f>'Gestione e Proposta concordatar'!CF20</f>
        <v>0</v>
      </c>
      <c r="CI2" s="125">
        <f>'Gestione e Proposta concordatar'!CG20</f>
        <v>0</v>
      </c>
      <c r="CJ2" s="125">
        <f>'Gestione e Proposta concordatar'!CH20</f>
        <v>0</v>
      </c>
      <c r="CK2" s="125">
        <f>'Gestione e Proposta concordatar'!CI20</f>
        <v>0</v>
      </c>
      <c r="CL2" s="125">
        <f>'Gestione e Proposta concordatar'!CJ20</f>
        <v>0</v>
      </c>
      <c r="CM2" s="125">
        <f>'Gestione e Proposta concordatar'!CK20</f>
        <v>0</v>
      </c>
      <c r="CN2" s="125">
        <f>'Gestione e Proposta concordatar'!CL20</f>
        <v>0</v>
      </c>
      <c r="CO2" s="125">
        <f>'Gestione e Proposta concordatar'!CM20</f>
        <v>0</v>
      </c>
      <c r="CP2" s="125">
        <f>'Gestione e Proposta concordatar'!CN20</f>
        <v>0</v>
      </c>
      <c r="CQ2" s="125">
        <f>'Gestione e Proposta concordatar'!CO20</f>
        <v>0</v>
      </c>
      <c r="CR2" s="125">
        <f>'Gestione e Proposta concordatar'!CP20</f>
        <v>0</v>
      </c>
      <c r="CS2" s="125">
        <f>'Gestione e Proposta concordatar'!CQ20</f>
        <v>0</v>
      </c>
      <c r="CT2" s="125">
        <f>'Gestione e Proposta concordatar'!CR20</f>
        <v>0</v>
      </c>
      <c r="CU2" s="125">
        <f>'Gestione e Proposta concordatar'!CS20</f>
        <v>0</v>
      </c>
      <c r="CV2" s="125">
        <f>'Gestione e Proposta concordatar'!CT20</f>
        <v>0</v>
      </c>
      <c r="CW2" s="125">
        <f>'Gestione e Proposta concordatar'!CU20</f>
        <v>0</v>
      </c>
      <c r="CX2" s="125">
        <f>'Gestione e Proposta concordatar'!CV20</f>
        <v>0</v>
      </c>
      <c r="CY2" s="125">
        <f>'Gestione e Proposta concordatar'!CW20</f>
        <v>0</v>
      </c>
      <c r="CZ2" s="125">
        <f>'Gestione e Proposta concordatar'!CX20</f>
        <v>0</v>
      </c>
      <c r="DA2" s="125">
        <f>'Gestione e Proposta concordatar'!CY20</f>
        <v>0</v>
      </c>
      <c r="DB2" s="125">
        <f>'Gestione e Proposta concordatar'!CZ20</f>
        <v>0</v>
      </c>
      <c r="DC2" s="125">
        <f>'Gestione e Proposta concordatar'!DA20</f>
        <v>0</v>
      </c>
      <c r="DD2" s="125">
        <f>'Gestione e Proposta concordatar'!DB20</f>
        <v>0</v>
      </c>
      <c r="DE2" s="125">
        <f>'Gestione e Proposta concordatar'!DC20</f>
        <v>0</v>
      </c>
      <c r="DF2" s="125">
        <f>'Gestione e Proposta concordatar'!DD20</f>
        <v>0</v>
      </c>
      <c r="DG2" s="125">
        <f>'Gestione e Proposta concordatar'!DE20</f>
        <v>0</v>
      </c>
      <c r="DH2" s="125">
        <f>'Gestione e Proposta concordatar'!DF20</f>
        <v>0</v>
      </c>
      <c r="DI2" s="125">
        <f>'Gestione e Proposta concordatar'!DG20</f>
        <v>0</v>
      </c>
      <c r="DJ2" s="125">
        <f>'Gestione e Proposta concordatar'!DH20</f>
        <v>0</v>
      </c>
      <c r="DK2" s="125">
        <f>'Gestione e Proposta concordatar'!DI20</f>
        <v>0</v>
      </c>
      <c r="DL2" s="125">
        <f>'Gestione e Proposta concordatar'!DJ20</f>
        <v>0</v>
      </c>
      <c r="DM2" s="125">
        <f>'Gestione e Proposta concordatar'!DK20</f>
        <v>0</v>
      </c>
      <c r="DN2" s="125">
        <f>'Gestione e Proposta concordatar'!DL20</f>
        <v>0</v>
      </c>
      <c r="DO2" s="125">
        <f>'Gestione e Proposta concordatar'!DM20</f>
        <v>0</v>
      </c>
      <c r="DP2" s="125">
        <f>'Gestione e Proposta concordatar'!DN20</f>
        <v>0</v>
      </c>
      <c r="DQ2" s="125">
        <f>'Gestione e Proposta concordatar'!DO20</f>
        <v>0</v>
      </c>
      <c r="DR2" s="125">
        <f>'Gestione e Proposta concordatar'!DP20</f>
        <v>0</v>
      </c>
      <c r="DS2" s="125">
        <f>'Gestione e Proposta concordatar'!DQ20</f>
        <v>0</v>
      </c>
      <c r="DT2" s="125">
        <f>'Gestione e Proposta concordatar'!DR20</f>
        <v>0</v>
      </c>
      <c r="DU2" s="125">
        <f>'Gestione e Proposta concordatar'!DS20</f>
        <v>0</v>
      </c>
      <c r="DV2" s="125">
        <f>'Gestione e Proposta concordatar'!DT20</f>
        <v>0</v>
      </c>
      <c r="DW2" s="125">
        <f>'Gestione e Proposta concordatar'!DU20</f>
        <v>0</v>
      </c>
      <c r="DX2" s="125">
        <f>'Gestione e Proposta concordatar'!DV20</f>
        <v>0</v>
      </c>
      <c r="DY2" s="125">
        <f>'Gestione e Proposta concordatar'!DW20</f>
        <v>0</v>
      </c>
      <c r="DZ2" s="125">
        <f>'Gestione e Proposta concordatar'!DX20</f>
        <v>0</v>
      </c>
      <c r="EA2" s="125">
        <f>'Gestione e Proposta concordatar'!DY20</f>
        <v>0</v>
      </c>
    </row>
    <row r="3" ht="14.5">
      <c r="L3" s="12" t="str">
        <f>+'Gestione e Proposta concordatar'!J2</f>
        <v>OTT</v>
      </c>
      <c r="M3" s="12" t="str">
        <f>+'Gestione e Proposta concordatar'!K2</f>
        <v>NOV</v>
      </c>
      <c r="N3" s="12" t="str">
        <f>+'Gestione e Proposta concordatar'!L2</f>
        <v>DIC</v>
      </c>
      <c r="O3" s="12" t="str">
        <f>+'Gestione e Proposta concordatar'!M2</f>
        <v>GEN</v>
      </c>
      <c r="P3" s="12" t="str">
        <f>+'Gestione e Proposta concordatar'!N2</f>
        <v>FEB</v>
      </c>
      <c r="Q3" s="12" t="str">
        <f>+'Gestione e Proposta concordatar'!O2</f>
        <v>MAR</v>
      </c>
      <c r="R3" s="12" t="str">
        <f>+'Gestione e Proposta concordatar'!P2</f>
        <v>APR</v>
      </c>
      <c r="S3" s="12" t="str">
        <f>+'Gestione e Proposta concordatar'!Q2</f>
        <v>MAG</v>
      </c>
      <c r="T3" s="12" t="str">
        <f>+'Gestione e Proposta concordatar'!R2</f>
        <v>GIU</v>
      </c>
      <c r="U3" s="12" t="str">
        <f>+'Gestione e Proposta concordatar'!S2</f>
        <v>LUG</v>
      </c>
      <c r="V3" s="12" t="str">
        <f>+'Gestione e Proposta concordatar'!T2</f>
        <v>AGO</v>
      </c>
      <c r="W3" s="12" t="str">
        <f>+'Gestione e Proposta concordatar'!U2</f>
        <v>SET</v>
      </c>
      <c r="X3" s="12" t="str">
        <f>+'Gestione e Proposta concordatar'!V2</f>
        <v>OTT</v>
      </c>
      <c r="Y3" s="12" t="str">
        <f>+'Gestione e Proposta concordatar'!W2</f>
        <v>NOV</v>
      </c>
      <c r="Z3" s="12" t="str">
        <f>+'Gestione e Proposta concordatar'!X2</f>
        <v>DIC</v>
      </c>
      <c r="AA3" s="12" t="str">
        <f>+'Gestione e Proposta concordatar'!Y2</f>
        <v>GEN</v>
      </c>
      <c r="AB3" s="12" t="str">
        <f>+'Gestione e Proposta concordatar'!Z2</f>
        <v>FEB</v>
      </c>
      <c r="AC3" s="12" t="str">
        <f>+'Gestione e Proposta concordatar'!AA2</f>
        <v>MAR</v>
      </c>
      <c r="AD3" s="12" t="str">
        <f>+'Gestione e Proposta concordatar'!AB2</f>
        <v>APR</v>
      </c>
      <c r="AE3" s="12" t="str">
        <f>+'Gestione e Proposta concordatar'!AC2</f>
        <v>MAG</v>
      </c>
      <c r="AF3" s="12" t="str">
        <f>+'Gestione e Proposta concordatar'!AD2</f>
        <v>GIU</v>
      </c>
      <c r="AG3" s="12" t="str">
        <f>+'Gestione e Proposta concordatar'!AE2</f>
        <v>LUG</v>
      </c>
      <c r="AH3" s="12" t="str">
        <f>+'Gestione e Proposta concordatar'!AF2</f>
        <v>AGO</v>
      </c>
      <c r="AI3" s="12" t="str">
        <f>+'Gestione e Proposta concordatar'!AG2</f>
        <v>SET</v>
      </c>
      <c r="AJ3" s="12" t="str">
        <f>+'Gestione e Proposta concordatar'!AH2</f>
        <v>OTT</v>
      </c>
      <c r="AK3" s="12" t="str">
        <f>+'Gestione e Proposta concordatar'!AI2</f>
        <v>NOV</v>
      </c>
      <c r="AL3" s="12" t="str">
        <f>+'Gestione e Proposta concordatar'!AJ2</f>
        <v>DIC</v>
      </c>
      <c r="AM3" s="12" t="str">
        <f>+'Gestione e Proposta concordatar'!AK2</f>
        <v>GEN</v>
      </c>
      <c r="AN3" s="12" t="str">
        <f>+'Gestione e Proposta concordatar'!AL2</f>
        <v>FEB</v>
      </c>
      <c r="AO3" s="12" t="str">
        <f>+'Gestione e Proposta concordatar'!AM2</f>
        <v>MAR</v>
      </c>
      <c r="AP3" s="12" t="str">
        <f>+'Gestione e Proposta concordatar'!AN2</f>
        <v>APR</v>
      </c>
      <c r="AQ3" s="12" t="str">
        <f>+'Gestione e Proposta concordatar'!AO2</f>
        <v>MAG</v>
      </c>
      <c r="AR3" s="12" t="str">
        <f>+'Gestione e Proposta concordatar'!AP2</f>
        <v>GIU</v>
      </c>
      <c r="AS3" s="12" t="str">
        <f>+'Gestione e Proposta concordatar'!AQ2</f>
        <v>LUG</v>
      </c>
      <c r="AT3" s="12" t="str">
        <f>+'Gestione e Proposta concordatar'!AR2</f>
        <v>AGO</v>
      </c>
      <c r="AU3" s="12" t="str">
        <f>+'Gestione e Proposta concordatar'!AS2</f>
        <v>SET</v>
      </c>
      <c r="AV3" s="12" t="str">
        <f>+'Gestione e Proposta concordatar'!AT2</f>
        <v>OTT</v>
      </c>
      <c r="AW3" s="12" t="str">
        <f>+'Gestione e Proposta concordatar'!AU2</f>
        <v>NOV</v>
      </c>
      <c r="AX3" s="12" t="str">
        <f>+'Gestione e Proposta concordatar'!AV2</f>
        <v>DIC</v>
      </c>
      <c r="AY3" s="12" t="str">
        <f>+'Gestione e Proposta concordatar'!AW2</f>
        <v>GEN</v>
      </c>
      <c r="AZ3" s="12" t="str">
        <f>+'Gestione e Proposta concordatar'!AX2</f>
        <v>FEB</v>
      </c>
      <c r="BA3" s="12" t="str">
        <f>+'Gestione e Proposta concordatar'!AY2</f>
        <v>MAR</v>
      </c>
      <c r="BB3" s="12" t="str">
        <f>+'Gestione e Proposta concordatar'!AZ2</f>
        <v>APR</v>
      </c>
      <c r="BC3" s="12" t="str">
        <f>+'Gestione e Proposta concordatar'!BA2</f>
        <v>MAG</v>
      </c>
      <c r="BD3" s="12" t="str">
        <f>+'Gestione e Proposta concordatar'!BB2</f>
        <v>GIU</v>
      </c>
      <c r="BE3" s="12" t="str">
        <f>+'Gestione e Proposta concordatar'!BC2</f>
        <v>LUG</v>
      </c>
      <c r="BF3" s="12" t="str">
        <f>+'Gestione e Proposta concordatar'!BD2</f>
        <v>AGO</v>
      </c>
      <c r="BG3" s="12" t="str">
        <f>+'Gestione e Proposta concordatar'!BE2</f>
        <v>SET</v>
      </c>
      <c r="BH3" s="12" t="str">
        <f>+'Gestione e Proposta concordatar'!BF2</f>
        <v>OTT</v>
      </c>
      <c r="BI3" s="12" t="str">
        <f>+'Gestione e Proposta concordatar'!BG2</f>
        <v>NOV</v>
      </c>
      <c r="BJ3" s="12" t="str">
        <f>+'Gestione e Proposta concordatar'!BH2</f>
        <v>DIC</v>
      </c>
      <c r="BK3" s="12" t="str">
        <f>+'Gestione e Proposta concordatar'!BI2</f>
        <v>GEN</v>
      </c>
      <c r="BL3" s="12" t="str">
        <f>+'Gestione e Proposta concordatar'!BJ2</f>
        <v>FEB</v>
      </c>
      <c r="BM3" s="12" t="str">
        <f>+'Gestione e Proposta concordatar'!BK2</f>
        <v>MAR</v>
      </c>
      <c r="BN3" s="12" t="str">
        <f>+'Gestione e Proposta concordatar'!BL2</f>
        <v>APR</v>
      </c>
      <c r="BO3" s="12" t="str">
        <f>+'Gestione e Proposta concordatar'!BM2</f>
        <v>MAG</v>
      </c>
      <c r="BP3" s="12" t="str">
        <f>+'Gestione e Proposta concordatar'!BN2</f>
        <v>GIU</v>
      </c>
      <c r="BQ3" s="12" t="str">
        <f>+'Gestione e Proposta concordatar'!BO2</f>
        <v>LUG</v>
      </c>
      <c r="BR3" s="12" t="str">
        <f>+'Gestione e Proposta concordatar'!BP2</f>
        <v>AGO</v>
      </c>
      <c r="BS3" s="12" t="str">
        <f>+'Gestione e Proposta concordatar'!BQ2</f>
        <v>SET</v>
      </c>
      <c r="BT3" s="12" t="str">
        <f>+'Gestione e Proposta concordatar'!BR2</f>
        <v>OTT</v>
      </c>
      <c r="BU3" s="12" t="str">
        <f>+'Gestione e Proposta concordatar'!BS2</f>
        <v>NOV</v>
      </c>
      <c r="BV3" s="12" t="str">
        <f>+'Gestione e Proposta concordatar'!BT2</f>
        <v>DIC</v>
      </c>
      <c r="BW3" s="12" t="str">
        <f>+'Gestione e Proposta concordatar'!BU2</f>
        <v>GEN</v>
      </c>
      <c r="BX3" s="12" t="str">
        <f>+'Gestione e Proposta concordatar'!BV2</f>
        <v>FEB</v>
      </c>
      <c r="BY3" s="12" t="str">
        <f>+'Gestione e Proposta concordatar'!BW2</f>
        <v>MAR</v>
      </c>
      <c r="BZ3" s="12" t="str">
        <f>+'Gestione e Proposta concordatar'!BX2</f>
        <v>APR</v>
      </c>
      <c r="CA3" s="12" t="str">
        <f>+'Gestione e Proposta concordatar'!BY2</f>
        <v>MAG</v>
      </c>
      <c r="CB3" s="12" t="str">
        <f>+'Gestione e Proposta concordatar'!BZ2</f>
        <v>GIU</v>
      </c>
      <c r="CC3" s="12" t="str">
        <f>+'Gestione e Proposta concordatar'!CA2</f>
        <v>LUG</v>
      </c>
      <c r="CD3" s="12" t="str">
        <f>+'Gestione e Proposta concordatar'!CB2</f>
        <v>AGO</v>
      </c>
      <c r="CE3" s="12" t="str">
        <f>+'Gestione e Proposta concordatar'!CC2</f>
        <v>SET</v>
      </c>
      <c r="CF3" s="12" t="str">
        <f>+'Gestione e Proposta concordatar'!CD2</f>
        <v>OTT</v>
      </c>
      <c r="CG3" s="12" t="str">
        <f>+'Gestione e Proposta concordatar'!CE2</f>
        <v>NOV</v>
      </c>
      <c r="CH3" s="12" t="str">
        <f>+'Gestione e Proposta concordatar'!CF2</f>
        <v>DIC</v>
      </c>
      <c r="CI3" s="12" t="str">
        <f>+'Gestione e Proposta concordatar'!CG2</f>
        <v>GEN</v>
      </c>
      <c r="CJ3" s="12" t="str">
        <f>+'Gestione e Proposta concordatar'!CH2</f>
        <v>FEB</v>
      </c>
      <c r="CK3" s="12" t="str">
        <f>+'Gestione e Proposta concordatar'!CI2</f>
        <v>MAR</v>
      </c>
      <c r="CL3" s="12" t="str">
        <f>+'Gestione e Proposta concordatar'!CJ2</f>
        <v>APR</v>
      </c>
      <c r="CM3" s="12" t="str">
        <f>+'Gestione e Proposta concordatar'!CK2</f>
        <v>MAG</v>
      </c>
      <c r="CN3" s="12" t="str">
        <f>+'Gestione e Proposta concordatar'!CL2</f>
        <v>GIU</v>
      </c>
      <c r="CO3" s="12" t="str">
        <f>+'Gestione e Proposta concordatar'!CM2</f>
        <v>LUG</v>
      </c>
      <c r="CP3" s="12" t="str">
        <f>+'Gestione e Proposta concordatar'!CN2</f>
        <v>AGO</v>
      </c>
      <c r="CQ3" s="12" t="str">
        <f>+'Gestione e Proposta concordatar'!CO2</f>
        <v>SET</v>
      </c>
      <c r="CR3" s="12" t="str">
        <f>+'Gestione e Proposta concordatar'!CP2</f>
        <v>OTT</v>
      </c>
      <c r="CS3" s="12" t="str">
        <f>+'Gestione e Proposta concordatar'!CQ2</f>
        <v>NOV</v>
      </c>
      <c r="CT3" s="12" t="str">
        <f>+'Gestione e Proposta concordatar'!CR2</f>
        <v>DIC</v>
      </c>
      <c r="CU3" s="12" t="str">
        <f>+'Gestione e Proposta concordatar'!CS2</f>
        <v>GEN</v>
      </c>
      <c r="CV3" s="12" t="str">
        <f>+'Gestione e Proposta concordatar'!CT2</f>
        <v>FEB</v>
      </c>
      <c r="CW3" s="12" t="str">
        <f>+'Gestione e Proposta concordatar'!CU2</f>
        <v>MAR</v>
      </c>
      <c r="CX3" s="12" t="str">
        <f>+'Gestione e Proposta concordatar'!CV2</f>
        <v>APR</v>
      </c>
      <c r="CY3" s="12" t="str">
        <f>+'Gestione e Proposta concordatar'!CW2</f>
        <v>MAG</v>
      </c>
      <c r="CZ3" s="12" t="str">
        <f>+'Gestione e Proposta concordatar'!CX2</f>
        <v>GIU</v>
      </c>
      <c r="DA3" s="12" t="str">
        <f>+'Gestione e Proposta concordatar'!CY2</f>
        <v>LUG</v>
      </c>
      <c r="DB3" s="12" t="str">
        <f>+'Gestione e Proposta concordatar'!CZ2</f>
        <v>AGO</v>
      </c>
      <c r="DC3" s="12" t="str">
        <f>+'Gestione e Proposta concordatar'!DA2</f>
        <v>SET</v>
      </c>
      <c r="DD3" s="12" t="str">
        <f>+'Gestione e Proposta concordatar'!DB2</f>
        <v>OTT</v>
      </c>
      <c r="DE3" s="12" t="str">
        <f>+'Gestione e Proposta concordatar'!DC2</f>
        <v>NOV</v>
      </c>
      <c r="DF3" s="12" t="str">
        <f>+'Gestione e Proposta concordatar'!DD2</f>
        <v>DIC</v>
      </c>
      <c r="DG3" s="12" t="str">
        <f>+'Gestione e Proposta concordatar'!DE2</f>
        <v>GEN</v>
      </c>
      <c r="DH3" s="12" t="str">
        <f>+'Gestione e Proposta concordatar'!DF2</f>
        <v>FEB</v>
      </c>
      <c r="DI3" s="12" t="str">
        <f>+'Gestione e Proposta concordatar'!DG2</f>
        <v>MAR</v>
      </c>
      <c r="DJ3" s="12" t="str">
        <f>+'Gestione e Proposta concordatar'!DH2</f>
        <v>APR</v>
      </c>
      <c r="DK3" s="12" t="str">
        <f>+'Gestione e Proposta concordatar'!DI2</f>
        <v>MAG</v>
      </c>
      <c r="DL3" s="12" t="str">
        <f>+'Gestione e Proposta concordatar'!DJ2</f>
        <v>GIU</v>
      </c>
      <c r="DM3" s="12" t="str">
        <f>+'Gestione e Proposta concordatar'!DK2</f>
        <v>LUG</v>
      </c>
      <c r="DN3" s="12" t="str">
        <f>+'Gestione e Proposta concordatar'!DL2</f>
        <v>AGO</v>
      </c>
      <c r="DO3" s="12" t="str">
        <f>+'Gestione e Proposta concordatar'!DM2</f>
        <v>SET</v>
      </c>
      <c r="DP3" s="12" t="str">
        <f>+'Gestione e Proposta concordatar'!DN2</f>
        <v>OTT</v>
      </c>
      <c r="DQ3" s="12" t="str">
        <f>+'Gestione e Proposta concordatar'!DO2</f>
        <v>NOV</v>
      </c>
      <c r="DR3" s="12" t="str">
        <f>+'Gestione e Proposta concordatar'!DP2</f>
        <v>DIC</v>
      </c>
      <c r="DS3" s="12" t="str">
        <f>+'Gestione e Proposta concordatar'!DQ2</f>
        <v>GEN</v>
      </c>
      <c r="DT3" s="12" t="str">
        <f>+'Gestione e Proposta concordatar'!DR2</f>
        <v>FEB</v>
      </c>
      <c r="DU3" s="12" t="str">
        <f>+'Gestione e Proposta concordatar'!DS2</f>
        <v>MAR</v>
      </c>
      <c r="DV3" s="12" t="str">
        <f>+'Gestione e Proposta concordatar'!DT2</f>
        <v>APR</v>
      </c>
      <c r="DW3" s="12" t="str">
        <f>+'Gestione e Proposta concordatar'!DU2</f>
        <v>MAG</v>
      </c>
      <c r="DX3" s="12" t="str">
        <f>+'Gestione e Proposta concordatar'!DV2</f>
        <v>GIU</v>
      </c>
      <c r="DY3" s="12" t="str">
        <f>+'Gestione e Proposta concordatar'!DW2</f>
        <v>LUG</v>
      </c>
      <c r="DZ3" s="12" t="str">
        <f>+'Gestione e Proposta concordatar'!DX2</f>
        <v>AGO</v>
      </c>
      <c r="EA3" s="12" t="str">
        <f>+'Gestione e Proposta concordatar'!DY2</f>
        <v>SET</v>
      </c>
    </row>
    <row r="4" ht="14.5">
      <c r="G4" s="126">
        <v>0.040000000000000001</v>
      </c>
      <c r="L4" s="127">
        <f>+'Gestione e Proposta concordatar'!J3</f>
        <v>2025</v>
      </c>
      <c r="M4" s="127">
        <f>+'Gestione e Proposta concordatar'!K3</f>
        <v>2025</v>
      </c>
      <c r="N4" s="127">
        <f>+'Gestione e Proposta concordatar'!L3</f>
        <v>2025</v>
      </c>
      <c r="O4" s="127">
        <f>+'Gestione e Proposta concordatar'!M3</f>
        <v>2026</v>
      </c>
      <c r="P4" s="127">
        <f>+'Gestione e Proposta concordatar'!N3</f>
        <v>2026</v>
      </c>
      <c r="Q4" s="127">
        <f>+'Gestione e Proposta concordatar'!O3</f>
        <v>2026</v>
      </c>
      <c r="R4" s="127">
        <f>+'Gestione e Proposta concordatar'!P3</f>
        <v>2026</v>
      </c>
      <c r="S4" s="127">
        <f>+'Gestione e Proposta concordatar'!Q3</f>
        <v>2026</v>
      </c>
      <c r="T4" s="127">
        <f>+'Gestione e Proposta concordatar'!R3</f>
        <v>2026</v>
      </c>
      <c r="U4" s="127">
        <f>+'Gestione e Proposta concordatar'!S3</f>
        <v>2026</v>
      </c>
      <c r="V4" s="127">
        <f>+'Gestione e Proposta concordatar'!T3</f>
        <v>2026</v>
      </c>
      <c r="W4" s="127">
        <f>+'Gestione e Proposta concordatar'!U3</f>
        <v>2026</v>
      </c>
      <c r="X4" s="127">
        <f>+'Gestione e Proposta concordatar'!V3</f>
        <v>2026</v>
      </c>
      <c r="Y4" s="127">
        <f>+'Gestione e Proposta concordatar'!W3</f>
        <v>2026</v>
      </c>
      <c r="Z4" s="127">
        <f>+'Gestione e Proposta concordatar'!X3</f>
        <v>2026</v>
      </c>
      <c r="AA4" s="127">
        <f>+'Gestione e Proposta concordatar'!Y3</f>
        <v>2027</v>
      </c>
      <c r="AB4" s="127">
        <f>+'Gestione e Proposta concordatar'!Z3</f>
        <v>2027</v>
      </c>
      <c r="AC4" s="127">
        <f>+'Gestione e Proposta concordatar'!AA3</f>
        <v>2027</v>
      </c>
      <c r="AD4" s="127">
        <f>+'Gestione e Proposta concordatar'!AB3</f>
        <v>2027</v>
      </c>
      <c r="AE4" s="127">
        <f>+'Gestione e Proposta concordatar'!AC3</f>
        <v>2027</v>
      </c>
      <c r="AF4" s="127">
        <f>+'Gestione e Proposta concordatar'!AD3</f>
        <v>2027</v>
      </c>
      <c r="AG4" s="127">
        <f>+'Gestione e Proposta concordatar'!AE3</f>
        <v>2027</v>
      </c>
      <c r="AH4" s="127">
        <f>+'Gestione e Proposta concordatar'!AF3</f>
        <v>2027</v>
      </c>
      <c r="AI4" s="127">
        <f>+'Gestione e Proposta concordatar'!AG3</f>
        <v>2027</v>
      </c>
      <c r="AJ4" s="127">
        <f>+'Gestione e Proposta concordatar'!AH3</f>
        <v>2027</v>
      </c>
      <c r="AK4" s="127">
        <f>+'Gestione e Proposta concordatar'!AI3</f>
        <v>2027</v>
      </c>
      <c r="AL4" s="127">
        <f>+'Gestione e Proposta concordatar'!AJ3</f>
        <v>2027</v>
      </c>
      <c r="AM4" s="127">
        <f>+'Gestione e Proposta concordatar'!AK3</f>
        <v>2028</v>
      </c>
      <c r="AN4" s="127">
        <f>+'Gestione e Proposta concordatar'!AL3</f>
        <v>2028</v>
      </c>
      <c r="AO4" s="127">
        <f>+'Gestione e Proposta concordatar'!AM3</f>
        <v>2028</v>
      </c>
      <c r="AP4" s="127">
        <f>+'Gestione e Proposta concordatar'!AN3</f>
        <v>2028</v>
      </c>
      <c r="AQ4" s="127">
        <f>+'Gestione e Proposta concordatar'!AO3</f>
        <v>2028</v>
      </c>
      <c r="AR4" s="127">
        <f>+'Gestione e Proposta concordatar'!AP3</f>
        <v>2028</v>
      </c>
      <c r="AS4" s="127">
        <f>+'Gestione e Proposta concordatar'!AQ3</f>
        <v>2028</v>
      </c>
      <c r="AT4" s="127">
        <f>+'Gestione e Proposta concordatar'!AR3</f>
        <v>2028</v>
      </c>
      <c r="AU4" s="127">
        <f>+'Gestione e Proposta concordatar'!AS3</f>
        <v>2028</v>
      </c>
      <c r="AV4" s="127">
        <f>+'Gestione e Proposta concordatar'!AT3</f>
        <v>2028</v>
      </c>
      <c r="AW4" s="127">
        <f>+'Gestione e Proposta concordatar'!AU3</f>
        <v>2028</v>
      </c>
      <c r="AX4" s="127">
        <f>+'Gestione e Proposta concordatar'!AV3</f>
        <v>2028</v>
      </c>
      <c r="AY4" s="127">
        <f>+'Gestione e Proposta concordatar'!AW3</f>
        <v>2029</v>
      </c>
      <c r="AZ4" s="127">
        <f>+'Gestione e Proposta concordatar'!AX3</f>
        <v>2029</v>
      </c>
      <c r="BA4" s="127">
        <f>+'Gestione e Proposta concordatar'!AY3</f>
        <v>2029</v>
      </c>
      <c r="BB4" s="127">
        <f>+'Gestione e Proposta concordatar'!AZ3</f>
        <v>2029</v>
      </c>
      <c r="BC4" s="127">
        <f>+'Gestione e Proposta concordatar'!BA3</f>
        <v>2029</v>
      </c>
      <c r="BD4" s="127">
        <f>+'Gestione e Proposta concordatar'!BB3</f>
        <v>2029</v>
      </c>
      <c r="BE4" s="127">
        <f>+'Gestione e Proposta concordatar'!BC3</f>
        <v>2029</v>
      </c>
      <c r="BF4" s="127">
        <f>+'Gestione e Proposta concordatar'!BD3</f>
        <v>2029</v>
      </c>
      <c r="BG4" s="127">
        <f>+'Gestione e Proposta concordatar'!BE3</f>
        <v>2029</v>
      </c>
      <c r="BH4" s="127">
        <f>+'Gestione e Proposta concordatar'!BF3</f>
        <v>2029</v>
      </c>
      <c r="BI4" s="127">
        <f>+'Gestione e Proposta concordatar'!BG3</f>
        <v>2029</v>
      </c>
      <c r="BJ4" s="127">
        <f>+'Gestione e Proposta concordatar'!BH3</f>
        <v>2029</v>
      </c>
      <c r="BK4" s="127">
        <f>+'Gestione e Proposta concordatar'!BI3</f>
        <v>2030</v>
      </c>
      <c r="BL4" s="127">
        <f>+'Gestione e Proposta concordatar'!BJ3</f>
        <v>2030</v>
      </c>
      <c r="BM4" s="127">
        <f>+'Gestione e Proposta concordatar'!BK3</f>
        <v>2030</v>
      </c>
      <c r="BN4" s="127">
        <f>+'Gestione e Proposta concordatar'!BL3</f>
        <v>2030</v>
      </c>
      <c r="BO4" s="127">
        <f>+'Gestione e Proposta concordatar'!BM3</f>
        <v>2030</v>
      </c>
      <c r="BP4" s="127">
        <f>+'Gestione e Proposta concordatar'!BN3</f>
        <v>2030</v>
      </c>
      <c r="BQ4" s="127">
        <f>+'Gestione e Proposta concordatar'!BO3</f>
        <v>2030</v>
      </c>
      <c r="BR4" s="127">
        <f>+'Gestione e Proposta concordatar'!BP3</f>
        <v>2030</v>
      </c>
      <c r="BS4" s="127">
        <f>+'Gestione e Proposta concordatar'!BQ3</f>
        <v>2030</v>
      </c>
      <c r="BT4" s="127">
        <f>+'Gestione e Proposta concordatar'!BR3</f>
        <v>2030</v>
      </c>
      <c r="BU4" s="127">
        <f>+'Gestione e Proposta concordatar'!BS3</f>
        <v>2030</v>
      </c>
      <c r="BV4" s="127">
        <f>+'Gestione e Proposta concordatar'!BT3</f>
        <v>2030</v>
      </c>
      <c r="BW4" s="127">
        <f>+'Gestione e Proposta concordatar'!BU3</f>
        <v>2031</v>
      </c>
      <c r="BX4" s="127">
        <f>+'Gestione e Proposta concordatar'!BV3</f>
        <v>2031</v>
      </c>
      <c r="BY4" s="127">
        <f>+'Gestione e Proposta concordatar'!BW3</f>
        <v>2031</v>
      </c>
      <c r="BZ4" s="127">
        <f>+'Gestione e Proposta concordatar'!BX3</f>
        <v>2031</v>
      </c>
      <c r="CA4" s="127">
        <f>+'Gestione e Proposta concordatar'!BY3</f>
        <v>2031</v>
      </c>
      <c r="CB4" s="127">
        <f>+'Gestione e Proposta concordatar'!BZ3</f>
        <v>2031</v>
      </c>
      <c r="CC4" s="127">
        <f>+'Gestione e Proposta concordatar'!CA3</f>
        <v>2031</v>
      </c>
      <c r="CD4" s="127">
        <f>+'Gestione e Proposta concordatar'!CB3</f>
        <v>2031</v>
      </c>
      <c r="CE4" s="127">
        <f>+'Gestione e Proposta concordatar'!CC3</f>
        <v>2031</v>
      </c>
      <c r="CF4" s="127">
        <f>+'Gestione e Proposta concordatar'!CD3</f>
        <v>2031</v>
      </c>
      <c r="CG4" s="127">
        <f>+'Gestione e Proposta concordatar'!CE3</f>
        <v>2031</v>
      </c>
      <c r="CH4" s="127">
        <f>+'Gestione e Proposta concordatar'!CF3</f>
        <v>2031</v>
      </c>
      <c r="CI4" s="127">
        <f>+'Gestione e Proposta concordatar'!CG3</f>
        <v>2032</v>
      </c>
      <c r="CJ4" s="127">
        <f>+'Gestione e Proposta concordatar'!CH3</f>
        <v>2032</v>
      </c>
      <c r="CK4" s="127">
        <f>+'Gestione e Proposta concordatar'!CI3</f>
        <v>2032</v>
      </c>
      <c r="CL4" s="127">
        <f>+'Gestione e Proposta concordatar'!CJ3</f>
        <v>2032</v>
      </c>
      <c r="CM4" s="127">
        <f>+'Gestione e Proposta concordatar'!CK3</f>
        <v>2032</v>
      </c>
      <c r="CN4" s="127">
        <f>+'Gestione e Proposta concordatar'!CL3</f>
        <v>2032</v>
      </c>
      <c r="CO4" s="127">
        <f>+'Gestione e Proposta concordatar'!CM3</f>
        <v>2032</v>
      </c>
      <c r="CP4" s="127">
        <f>+'Gestione e Proposta concordatar'!CN3</f>
        <v>2032</v>
      </c>
      <c r="CQ4" s="127">
        <f>+'Gestione e Proposta concordatar'!CO3</f>
        <v>2032</v>
      </c>
      <c r="CR4" s="127">
        <f>+'Gestione e Proposta concordatar'!CP3</f>
        <v>2032</v>
      </c>
      <c r="CS4" s="127">
        <f>+'Gestione e Proposta concordatar'!CQ3</f>
        <v>2032</v>
      </c>
      <c r="CT4" s="127">
        <f>+'Gestione e Proposta concordatar'!CR3</f>
        <v>2032</v>
      </c>
      <c r="CU4" s="127">
        <f>+'Gestione e Proposta concordatar'!CS3</f>
        <v>2033</v>
      </c>
      <c r="CV4" s="127">
        <f>+'Gestione e Proposta concordatar'!CT3</f>
        <v>2033</v>
      </c>
      <c r="CW4" s="127">
        <f>+'Gestione e Proposta concordatar'!CU3</f>
        <v>2033</v>
      </c>
      <c r="CX4" s="127">
        <f>+'Gestione e Proposta concordatar'!CV3</f>
        <v>2033</v>
      </c>
      <c r="CY4" s="127">
        <f>+'Gestione e Proposta concordatar'!CW3</f>
        <v>2033</v>
      </c>
      <c r="CZ4" s="127">
        <f>+'Gestione e Proposta concordatar'!CX3</f>
        <v>2033</v>
      </c>
      <c r="DA4" s="127">
        <f>+'Gestione e Proposta concordatar'!CY3</f>
        <v>2033</v>
      </c>
      <c r="DB4" s="127">
        <f>+'Gestione e Proposta concordatar'!CZ3</f>
        <v>2033</v>
      </c>
      <c r="DC4" s="127">
        <f>+'Gestione e Proposta concordatar'!DA3</f>
        <v>2033</v>
      </c>
      <c r="DD4" s="127">
        <f>+'Gestione e Proposta concordatar'!DB3</f>
        <v>2033</v>
      </c>
      <c r="DE4" s="127">
        <f>+'Gestione e Proposta concordatar'!DC3</f>
        <v>2033</v>
      </c>
      <c r="DF4" s="127">
        <f>+'Gestione e Proposta concordatar'!DD3</f>
        <v>2033</v>
      </c>
      <c r="DG4" s="127">
        <f>+'Gestione e Proposta concordatar'!DE3</f>
        <v>2034</v>
      </c>
      <c r="DH4" s="127">
        <f>+'Gestione e Proposta concordatar'!DF3</f>
        <v>2034</v>
      </c>
      <c r="DI4" s="127">
        <f>+'Gestione e Proposta concordatar'!DG3</f>
        <v>2034</v>
      </c>
      <c r="DJ4" s="127">
        <f>+'Gestione e Proposta concordatar'!DH3</f>
        <v>2034</v>
      </c>
      <c r="DK4" s="127">
        <f>+'Gestione e Proposta concordatar'!DI3</f>
        <v>2034</v>
      </c>
      <c r="DL4" s="127">
        <f>+'Gestione e Proposta concordatar'!DJ3</f>
        <v>2034</v>
      </c>
      <c r="DM4" s="127">
        <f>+'Gestione e Proposta concordatar'!DK3</f>
        <v>2034</v>
      </c>
      <c r="DN4" s="127">
        <f>+'Gestione e Proposta concordatar'!DL3</f>
        <v>2034</v>
      </c>
      <c r="DO4" s="127">
        <f>+'Gestione e Proposta concordatar'!DM3</f>
        <v>2034</v>
      </c>
      <c r="DP4" s="127">
        <f>+'Gestione e Proposta concordatar'!DN3</f>
        <v>2034</v>
      </c>
      <c r="DQ4" s="127">
        <f>+'Gestione e Proposta concordatar'!DO3</f>
        <v>2034</v>
      </c>
      <c r="DR4" s="127">
        <f>+'Gestione e Proposta concordatar'!DP3</f>
        <v>2034</v>
      </c>
      <c r="DS4" s="127">
        <f>+'Gestione e Proposta concordatar'!DQ3</f>
        <v>2035</v>
      </c>
      <c r="DT4" s="127">
        <f>+'Gestione e Proposta concordatar'!DR3</f>
        <v>2035</v>
      </c>
      <c r="DU4" s="127">
        <f>+'Gestione e Proposta concordatar'!DS3</f>
        <v>2035</v>
      </c>
      <c r="DV4" s="127">
        <f>+'Gestione e Proposta concordatar'!DT3</f>
        <v>2035</v>
      </c>
      <c r="DW4" s="127">
        <f>+'Gestione e Proposta concordatar'!DU3</f>
        <v>2035</v>
      </c>
      <c r="DX4" s="127">
        <f>+'Gestione e Proposta concordatar'!DV3</f>
        <v>2035</v>
      </c>
      <c r="DY4" s="127">
        <f>+'Gestione e Proposta concordatar'!DW3</f>
        <v>2035</v>
      </c>
      <c r="DZ4" s="127">
        <f>+'Gestione e Proposta concordatar'!DX3</f>
        <v>2035</v>
      </c>
      <c r="EA4" s="127">
        <f>+'Gestione e Proposta concordatar'!DY3</f>
        <v>2035</v>
      </c>
    </row>
    <row r="5" ht="31">
      <c r="C5" s="98"/>
      <c r="D5" s="98"/>
      <c r="E5" s="98"/>
      <c r="F5" s="128" t="s">
        <v>893</v>
      </c>
      <c r="G5" s="128" t="s">
        <v>894</v>
      </c>
      <c r="H5" s="128" t="s">
        <v>895</v>
      </c>
      <c r="I5" s="128" t="s">
        <v>896</v>
      </c>
      <c r="K5" t="s">
        <v>955</v>
      </c>
      <c r="L5" s="127">
        <f>+'Gestione e Proposta concordatar'!J4</f>
        <v>10</v>
      </c>
      <c r="M5" s="127">
        <f>+'Gestione e Proposta concordatar'!K4</f>
        <v>11</v>
      </c>
      <c r="N5" s="127">
        <f>+'Gestione e Proposta concordatar'!L4</f>
        <v>12</v>
      </c>
      <c r="O5" s="127">
        <f>+'Gestione e Proposta concordatar'!M4</f>
        <v>1</v>
      </c>
      <c r="P5" s="127">
        <f>+'Gestione e Proposta concordatar'!N4</f>
        <v>2</v>
      </c>
      <c r="Q5" s="127">
        <f>+'Gestione e Proposta concordatar'!O4</f>
        <v>3</v>
      </c>
      <c r="R5" s="127">
        <f>+'Gestione e Proposta concordatar'!P4</f>
        <v>4</v>
      </c>
      <c r="S5" s="127">
        <f>+'Gestione e Proposta concordatar'!Q4</f>
        <v>5</v>
      </c>
      <c r="T5" s="127">
        <f>+'Gestione e Proposta concordatar'!R4</f>
        <v>6</v>
      </c>
      <c r="U5" s="127">
        <f>+'Gestione e Proposta concordatar'!S4</f>
        <v>7</v>
      </c>
      <c r="V5" s="127">
        <f>+'Gestione e Proposta concordatar'!T4</f>
        <v>8</v>
      </c>
      <c r="W5" s="127">
        <f>+'Gestione e Proposta concordatar'!U4</f>
        <v>9</v>
      </c>
      <c r="X5" s="127">
        <f>+'Gestione e Proposta concordatar'!V4</f>
        <v>10</v>
      </c>
      <c r="Y5" s="127">
        <f>+'Gestione e Proposta concordatar'!W4</f>
        <v>11</v>
      </c>
      <c r="Z5" s="127">
        <f>+'Gestione e Proposta concordatar'!X4</f>
        <v>12</v>
      </c>
      <c r="AA5" s="127">
        <f>+'Gestione e Proposta concordatar'!Y4</f>
        <v>1</v>
      </c>
      <c r="AB5" s="127">
        <f>+'Gestione e Proposta concordatar'!Z4</f>
        <v>2</v>
      </c>
      <c r="AC5" s="127">
        <f>+'Gestione e Proposta concordatar'!AA4</f>
        <v>3</v>
      </c>
      <c r="AD5" s="127">
        <f>+'Gestione e Proposta concordatar'!AB4</f>
        <v>4</v>
      </c>
      <c r="AE5" s="127">
        <f>+'Gestione e Proposta concordatar'!AC4</f>
        <v>5</v>
      </c>
      <c r="AF5" s="127">
        <f>+'Gestione e Proposta concordatar'!AD4</f>
        <v>6</v>
      </c>
      <c r="AG5" s="127">
        <f>+'Gestione e Proposta concordatar'!AE4</f>
        <v>7</v>
      </c>
      <c r="AH5" s="127">
        <f>+'Gestione e Proposta concordatar'!AF4</f>
        <v>8</v>
      </c>
      <c r="AI5" s="127">
        <f>+'Gestione e Proposta concordatar'!AG4</f>
        <v>9</v>
      </c>
      <c r="AJ5" s="127">
        <f>+'Gestione e Proposta concordatar'!AH4</f>
        <v>10</v>
      </c>
      <c r="AK5" s="127">
        <f>+'Gestione e Proposta concordatar'!AI4</f>
        <v>11</v>
      </c>
      <c r="AL5" s="127">
        <f>+'Gestione e Proposta concordatar'!AJ4</f>
        <v>12</v>
      </c>
      <c r="AM5" s="127">
        <f>+'Gestione e Proposta concordatar'!AK4</f>
        <v>1</v>
      </c>
      <c r="AN5" s="127">
        <f>+'Gestione e Proposta concordatar'!AL4</f>
        <v>2</v>
      </c>
      <c r="AO5" s="127">
        <f>+'Gestione e Proposta concordatar'!AM4</f>
        <v>3</v>
      </c>
      <c r="AP5" s="127">
        <f>+'Gestione e Proposta concordatar'!AN4</f>
        <v>4</v>
      </c>
      <c r="AQ5" s="127">
        <f>+'Gestione e Proposta concordatar'!AO4</f>
        <v>5</v>
      </c>
      <c r="AR5" s="127">
        <f>+'Gestione e Proposta concordatar'!AP4</f>
        <v>6</v>
      </c>
      <c r="AS5" s="127">
        <f>+'Gestione e Proposta concordatar'!AQ4</f>
        <v>7</v>
      </c>
      <c r="AT5" s="127">
        <f>+'Gestione e Proposta concordatar'!AR4</f>
        <v>8</v>
      </c>
      <c r="AU5" s="127">
        <f>+'Gestione e Proposta concordatar'!AS4</f>
        <v>9</v>
      </c>
      <c r="AV5" s="127">
        <f>+'Gestione e Proposta concordatar'!AT4</f>
        <v>10</v>
      </c>
      <c r="AW5" s="127">
        <f>+'Gestione e Proposta concordatar'!AU4</f>
        <v>11</v>
      </c>
      <c r="AX5" s="127">
        <f>+'Gestione e Proposta concordatar'!AV4</f>
        <v>12</v>
      </c>
      <c r="AY5" s="127">
        <f>+'Gestione e Proposta concordatar'!AW4</f>
        <v>1</v>
      </c>
      <c r="AZ5" s="127">
        <f>+'Gestione e Proposta concordatar'!AX4</f>
        <v>2</v>
      </c>
      <c r="BA5" s="127">
        <f>+'Gestione e Proposta concordatar'!AY4</f>
        <v>3</v>
      </c>
      <c r="BB5" s="127">
        <f>+'Gestione e Proposta concordatar'!AZ4</f>
        <v>4</v>
      </c>
      <c r="BC5" s="127">
        <f>+'Gestione e Proposta concordatar'!BA4</f>
        <v>5</v>
      </c>
      <c r="BD5" s="127">
        <f>+'Gestione e Proposta concordatar'!BB4</f>
        <v>6</v>
      </c>
      <c r="BE5" s="127">
        <f>+'Gestione e Proposta concordatar'!BC4</f>
        <v>7</v>
      </c>
      <c r="BF5" s="127">
        <f>+'Gestione e Proposta concordatar'!BD4</f>
        <v>8</v>
      </c>
      <c r="BG5" s="127">
        <f>+'Gestione e Proposta concordatar'!BE4</f>
        <v>9</v>
      </c>
      <c r="BH5" s="127">
        <f>+'Gestione e Proposta concordatar'!BF4</f>
        <v>10</v>
      </c>
      <c r="BI5" s="127">
        <f>+'Gestione e Proposta concordatar'!BG4</f>
        <v>11</v>
      </c>
      <c r="BJ5" s="127">
        <f>+'Gestione e Proposta concordatar'!BH4</f>
        <v>12</v>
      </c>
      <c r="BK5" s="127">
        <f>+'Gestione e Proposta concordatar'!BI4</f>
        <v>1</v>
      </c>
      <c r="BL5" s="127">
        <f>+'Gestione e Proposta concordatar'!BJ4</f>
        <v>2</v>
      </c>
      <c r="BM5" s="127">
        <f>+'Gestione e Proposta concordatar'!BK4</f>
        <v>3</v>
      </c>
      <c r="BN5" s="127">
        <f>+'Gestione e Proposta concordatar'!BL4</f>
        <v>4</v>
      </c>
      <c r="BO5" s="127">
        <f>+'Gestione e Proposta concordatar'!BM4</f>
        <v>5</v>
      </c>
      <c r="BP5" s="127">
        <f>+'Gestione e Proposta concordatar'!BN4</f>
        <v>6</v>
      </c>
      <c r="BQ5" s="127">
        <f>+'Gestione e Proposta concordatar'!BO4</f>
        <v>7</v>
      </c>
      <c r="BR5" s="127">
        <f>+'Gestione e Proposta concordatar'!BP4</f>
        <v>8</v>
      </c>
      <c r="BS5" s="127">
        <f>+'Gestione e Proposta concordatar'!BQ4</f>
        <v>9</v>
      </c>
      <c r="BT5" s="127">
        <f>+'Gestione e Proposta concordatar'!BR4</f>
        <v>10</v>
      </c>
      <c r="BU5" s="127">
        <f>+'Gestione e Proposta concordatar'!BS4</f>
        <v>11</v>
      </c>
      <c r="BV5" s="127">
        <f>+'Gestione e Proposta concordatar'!BT4</f>
        <v>12</v>
      </c>
      <c r="BW5" s="127">
        <f>+'Gestione e Proposta concordatar'!BU4</f>
        <v>1</v>
      </c>
      <c r="BX5" s="127">
        <f>+'Gestione e Proposta concordatar'!BV4</f>
        <v>2</v>
      </c>
      <c r="BY5" s="127">
        <f>+'Gestione e Proposta concordatar'!BW4</f>
        <v>3</v>
      </c>
      <c r="BZ5" s="127">
        <f>+'Gestione e Proposta concordatar'!BX4</f>
        <v>4</v>
      </c>
      <c r="CA5" s="127">
        <f>+'Gestione e Proposta concordatar'!BY4</f>
        <v>5</v>
      </c>
      <c r="CB5" s="127">
        <f>+'Gestione e Proposta concordatar'!BZ4</f>
        <v>6</v>
      </c>
      <c r="CC5" s="127">
        <f>+'Gestione e Proposta concordatar'!CA4</f>
        <v>7</v>
      </c>
      <c r="CD5" s="127">
        <f>+'Gestione e Proposta concordatar'!CB4</f>
        <v>8</v>
      </c>
      <c r="CE5" s="127">
        <f>+'Gestione e Proposta concordatar'!CC4</f>
        <v>9</v>
      </c>
      <c r="CF5" s="127">
        <f>+'Gestione e Proposta concordatar'!CD4</f>
        <v>10</v>
      </c>
      <c r="CG5" s="127">
        <f>+'Gestione e Proposta concordatar'!CE4</f>
        <v>11</v>
      </c>
      <c r="CH5" s="127">
        <f>+'Gestione e Proposta concordatar'!CF4</f>
        <v>12</v>
      </c>
      <c r="CI5" s="127">
        <f>+'Gestione e Proposta concordatar'!CG4</f>
        <v>1</v>
      </c>
      <c r="CJ5" s="127">
        <f>+'Gestione e Proposta concordatar'!CH4</f>
        <v>2</v>
      </c>
      <c r="CK5" s="127">
        <f>+'Gestione e Proposta concordatar'!CI4</f>
        <v>3</v>
      </c>
      <c r="CL5" s="127">
        <f>+'Gestione e Proposta concordatar'!CJ4</f>
        <v>4</v>
      </c>
      <c r="CM5" s="127">
        <f>+'Gestione e Proposta concordatar'!CK4</f>
        <v>5</v>
      </c>
      <c r="CN5" s="127">
        <f>+'Gestione e Proposta concordatar'!CL4</f>
        <v>6</v>
      </c>
      <c r="CO5" s="127">
        <f>+'Gestione e Proposta concordatar'!CM4</f>
        <v>7</v>
      </c>
      <c r="CP5" s="127">
        <f>+'Gestione e Proposta concordatar'!CN4</f>
        <v>8</v>
      </c>
      <c r="CQ5" s="127">
        <f>+'Gestione e Proposta concordatar'!CO4</f>
        <v>9</v>
      </c>
      <c r="CR5" s="127">
        <f>+'Gestione e Proposta concordatar'!CP4</f>
        <v>10</v>
      </c>
      <c r="CS5" s="127">
        <f>+'Gestione e Proposta concordatar'!CQ4</f>
        <v>11</v>
      </c>
      <c r="CT5" s="127">
        <f>+'Gestione e Proposta concordatar'!CR4</f>
        <v>12</v>
      </c>
      <c r="CU5" s="127">
        <f>+'Gestione e Proposta concordatar'!CS4</f>
        <v>1</v>
      </c>
      <c r="CV5" s="127">
        <f>+'Gestione e Proposta concordatar'!CT4</f>
        <v>2</v>
      </c>
      <c r="CW5" s="127">
        <f>+'Gestione e Proposta concordatar'!CU4</f>
        <v>3</v>
      </c>
      <c r="CX5" s="127">
        <f>+'Gestione e Proposta concordatar'!CV4</f>
        <v>4</v>
      </c>
      <c r="CY5" s="127">
        <f>+'Gestione e Proposta concordatar'!CW4</f>
        <v>5</v>
      </c>
      <c r="CZ5" s="127">
        <f>+'Gestione e Proposta concordatar'!CX4</f>
        <v>6</v>
      </c>
      <c r="DA5" s="127">
        <f>+'Gestione e Proposta concordatar'!CY4</f>
        <v>7</v>
      </c>
      <c r="DB5" s="127">
        <f>+'Gestione e Proposta concordatar'!CZ4</f>
        <v>8</v>
      </c>
      <c r="DC5" s="127">
        <f>+'Gestione e Proposta concordatar'!DA4</f>
        <v>9</v>
      </c>
      <c r="DD5" s="127">
        <f>+'Gestione e Proposta concordatar'!DB4</f>
        <v>10</v>
      </c>
      <c r="DE5" s="127">
        <f>+'Gestione e Proposta concordatar'!DC4</f>
        <v>11</v>
      </c>
      <c r="DF5" s="127">
        <f>+'Gestione e Proposta concordatar'!DD4</f>
        <v>12</v>
      </c>
      <c r="DG5" s="127">
        <f>+'Gestione e Proposta concordatar'!DE4</f>
        <v>1</v>
      </c>
      <c r="DH5" s="127">
        <f>+'Gestione e Proposta concordatar'!DF4</f>
        <v>2</v>
      </c>
      <c r="DI5" s="127">
        <f>+'Gestione e Proposta concordatar'!DG4</f>
        <v>3</v>
      </c>
      <c r="DJ5" s="127">
        <f>+'Gestione e Proposta concordatar'!DH4</f>
        <v>4</v>
      </c>
      <c r="DK5" s="127">
        <f>+'Gestione e Proposta concordatar'!DI4</f>
        <v>5</v>
      </c>
      <c r="DL5" s="127">
        <f>+'Gestione e Proposta concordatar'!DJ4</f>
        <v>6</v>
      </c>
      <c r="DM5" s="127">
        <f>+'Gestione e Proposta concordatar'!DK4</f>
        <v>7</v>
      </c>
      <c r="DN5" s="127">
        <f>+'Gestione e Proposta concordatar'!DL4</f>
        <v>8</v>
      </c>
      <c r="DO5" s="127">
        <f>+'Gestione e Proposta concordatar'!DM4</f>
        <v>9</v>
      </c>
      <c r="DP5" s="127">
        <f>+'Gestione e Proposta concordatar'!DN4</f>
        <v>10</v>
      </c>
      <c r="DQ5" s="127">
        <f>+'Gestione e Proposta concordatar'!DO4</f>
        <v>11</v>
      </c>
      <c r="DR5" s="127">
        <f>+'Gestione e Proposta concordatar'!DP4</f>
        <v>12</v>
      </c>
      <c r="DS5" s="127">
        <f>+'Gestione e Proposta concordatar'!DQ4</f>
        <v>1</v>
      </c>
      <c r="DT5" s="127">
        <f>+'Gestione e Proposta concordatar'!DR4</f>
        <v>2</v>
      </c>
      <c r="DU5" s="127">
        <f>+'Gestione e Proposta concordatar'!DS4</f>
        <v>3</v>
      </c>
      <c r="DV5" s="127">
        <f>+'Gestione e Proposta concordatar'!DT4</f>
        <v>4</v>
      </c>
      <c r="DW5" s="127">
        <f>+'Gestione e Proposta concordatar'!DU4</f>
        <v>5</v>
      </c>
      <c r="DX5" s="127">
        <f>+'Gestione e Proposta concordatar'!DV4</f>
        <v>6</v>
      </c>
      <c r="DY5" s="127">
        <f>+'Gestione e Proposta concordatar'!DW4</f>
        <v>7</v>
      </c>
      <c r="DZ5" s="127">
        <f>+'Gestione e Proposta concordatar'!DX4</f>
        <v>8</v>
      </c>
      <c r="EA5" s="127">
        <f>+'Gestione e Proposta concordatar'!DY4</f>
        <v>9</v>
      </c>
    </row>
    <row r="6" ht="15.5">
      <c r="C6" s="98"/>
      <c r="D6" s="98"/>
      <c r="E6" s="98"/>
      <c r="F6" s="128"/>
      <c r="G6" s="128"/>
      <c r="H6" s="128"/>
      <c r="I6" s="128"/>
      <c r="K6" s="3" t="s">
        <v>956</v>
      </c>
      <c r="L6" s="129">
        <f>+'Gestione e Proposta concordatar'!J20</f>
        <v>0</v>
      </c>
      <c r="M6" s="129">
        <f>+'Gestione e Proposta concordatar'!K20</f>
        <v>0</v>
      </c>
      <c r="N6" s="129">
        <f>+'Gestione e Proposta concordatar'!L20</f>
        <v>0</v>
      </c>
      <c r="O6" s="129">
        <f>+'Gestione e Proposta concordatar'!M20</f>
        <v>0</v>
      </c>
      <c r="P6" s="129">
        <f>+'Gestione e Proposta concordatar'!N20</f>
        <v>0</v>
      </c>
      <c r="Q6" s="129">
        <f>+'Gestione e Proposta concordatar'!O20</f>
        <v>0</v>
      </c>
      <c r="R6" s="129">
        <f>+'Gestione e Proposta concordatar'!P20</f>
        <v>0</v>
      </c>
      <c r="S6" s="129">
        <f>+'Gestione e Proposta concordatar'!Q20</f>
        <v>0</v>
      </c>
      <c r="T6" s="129">
        <f>+'Gestione e Proposta concordatar'!R20</f>
        <v>0</v>
      </c>
      <c r="U6" s="129">
        <f>+'Gestione e Proposta concordatar'!S20</f>
        <v>0</v>
      </c>
      <c r="V6" s="129">
        <f>+'Gestione e Proposta concordatar'!T20</f>
        <v>0</v>
      </c>
      <c r="W6" s="129">
        <f>+'Gestione e Proposta concordatar'!U20</f>
        <v>0</v>
      </c>
      <c r="X6" s="129">
        <f>+'Gestione e Proposta concordatar'!V20</f>
        <v>0</v>
      </c>
      <c r="Y6" s="129">
        <f>+'Gestione e Proposta concordatar'!W20</f>
        <v>0</v>
      </c>
      <c r="Z6" s="129">
        <f>+'Gestione e Proposta concordatar'!X20</f>
        <v>0</v>
      </c>
      <c r="AA6" s="129">
        <f>+'Gestione e Proposta concordatar'!Y20</f>
        <v>0</v>
      </c>
      <c r="AB6" s="129">
        <f>+'Gestione e Proposta concordatar'!Z20</f>
        <v>0</v>
      </c>
      <c r="AC6" s="129">
        <f>+'Gestione e Proposta concordatar'!AA20</f>
        <v>0</v>
      </c>
      <c r="AD6" s="129">
        <f>+'Gestione e Proposta concordatar'!AB20</f>
        <v>0</v>
      </c>
      <c r="AE6" s="129">
        <f>+'Gestione e Proposta concordatar'!AC20</f>
        <v>0</v>
      </c>
      <c r="AF6" s="129">
        <f>+'Gestione e Proposta concordatar'!AD20</f>
        <v>0</v>
      </c>
      <c r="AG6" s="129">
        <f>+'Gestione e Proposta concordatar'!AE20</f>
        <v>0</v>
      </c>
      <c r="AH6" s="129">
        <f>+'Gestione e Proposta concordatar'!AF20</f>
        <v>0</v>
      </c>
      <c r="AI6" s="129">
        <f>+'Gestione e Proposta concordatar'!AG20</f>
        <v>0</v>
      </c>
      <c r="AJ6" s="129">
        <f>+'Gestione e Proposta concordatar'!AH20</f>
        <v>0</v>
      </c>
      <c r="AK6" s="129">
        <f>+'Gestione e Proposta concordatar'!AI20</f>
        <v>0</v>
      </c>
      <c r="AL6" s="129">
        <f>+'Gestione e Proposta concordatar'!AJ20</f>
        <v>0</v>
      </c>
      <c r="AM6" s="129">
        <f>+'Gestione e Proposta concordatar'!AK20</f>
        <v>0</v>
      </c>
      <c r="AN6" s="129">
        <f>+'Gestione e Proposta concordatar'!AL20</f>
        <v>0</v>
      </c>
      <c r="AO6" s="129">
        <f>+'Gestione e Proposta concordatar'!AM20</f>
        <v>0</v>
      </c>
      <c r="AP6" s="129">
        <f>+'Gestione e Proposta concordatar'!AN20</f>
        <v>0</v>
      </c>
      <c r="AQ6" s="129">
        <f>+'Gestione e Proposta concordatar'!AO20</f>
        <v>0</v>
      </c>
      <c r="AR6" s="129">
        <f>+'Gestione e Proposta concordatar'!AP20</f>
        <v>0</v>
      </c>
      <c r="AS6" s="129">
        <f>+'Gestione e Proposta concordatar'!AQ20</f>
        <v>0</v>
      </c>
      <c r="AT6" s="129">
        <f>+'Gestione e Proposta concordatar'!AR20</f>
        <v>0</v>
      </c>
      <c r="AU6" s="129">
        <f>+'Gestione e Proposta concordatar'!AS20</f>
        <v>0</v>
      </c>
      <c r="AV6" s="129">
        <f>+'Gestione e Proposta concordatar'!AT20</f>
        <v>0</v>
      </c>
      <c r="AW6" s="129">
        <f>+'Gestione e Proposta concordatar'!AU20</f>
        <v>0</v>
      </c>
      <c r="AX6" s="129">
        <f>+'Gestione e Proposta concordatar'!AV20</f>
        <v>0</v>
      </c>
      <c r="AY6" s="129">
        <f>+'Gestione e Proposta concordatar'!AW20</f>
        <v>0</v>
      </c>
      <c r="AZ6" s="129">
        <f>+'Gestione e Proposta concordatar'!AX20</f>
        <v>0</v>
      </c>
      <c r="BA6" s="129">
        <f>+'Gestione e Proposta concordatar'!AY20</f>
        <v>0</v>
      </c>
      <c r="BB6" s="129">
        <f>+'Gestione e Proposta concordatar'!AZ20</f>
        <v>0</v>
      </c>
      <c r="BC6" s="129">
        <f>+'Gestione e Proposta concordatar'!BA20</f>
        <v>0</v>
      </c>
      <c r="BD6" s="129">
        <f>+'Gestione e Proposta concordatar'!BB20</f>
        <v>0</v>
      </c>
      <c r="BE6" s="129">
        <f>+'Gestione e Proposta concordatar'!BC20</f>
        <v>0</v>
      </c>
      <c r="BF6" s="129">
        <f>+'Gestione e Proposta concordatar'!BD20</f>
        <v>0</v>
      </c>
      <c r="BG6" s="129">
        <f>+'Gestione e Proposta concordatar'!BE20</f>
        <v>0</v>
      </c>
      <c r="BH6" s="129">
        <f>+'Gestione e Proposta concordatar'!BF20</f>
        <v>0</v>
      </c>
      <c r="BI6" s="129">
        <f>+'Gestione e Proposta concordatar'!BG20</f>
        <v>0</v>
      </c>
      <c r="BJ6" s="129">
        <f>+'Gestione e Proposta concordatar'!BH20</f>
        <v>0</v>
      </c>
      <c r="BK6" s="129">
        <f>+'Gestione e Proposta concordatar'!BI20</f>
        <v>0</v>
      </c>
      <c r="BL6" s="129">
        <f>+'Gestione e Proposta concordatar'!BJ20</f>
        <v>0</v>
      </c>
      <c r="BM6" s="129">
        <f>+'Gestione e Proposta concordatar'!BK20</f>
        <v>0</v>
      </c>
      <c r="BN6" s="129">
        <f>+'Gestione e Proposta concordatar'!BL20</f>
        <v>0</v>
      </c>
      <c r="BO6" s="129">
        <f>+'Gestione e Proposta concordatar'!BM20</f>
        <v>0</v>
      </c>
      <c r="BP6" s="129">
        <f>+'Gestione e Proposta concordatar'!BN20</f>
        <v>0</v>
      </c>
      <c r="BQ6" s="129">
        <f>+'Gestione e Proposta concordatar'!BO20</f>
        <v>0</v>
      </c>
      <c r="BR6" s="129">
        <f>+'Gestione e Proposta concordatar'!BP20</f>
        <v>0</v>
      </c>
      <c r="BS6" s="129">
        <f>+'Gestione e Proposta concordatar'!BQ20</f>
        <v>0</v>
      </c>
      <c r="BT6" s="129">
        <f>+'Gestione e Proposta concordatar'!BR20</f>
        <v>0</v>
      </c>
      <c r="BU6" s="129">
        <f>+'Gestione e Proposta concordatar'!BS20</f>
        <v>0</v>
      </c>
      <c r="BV6" s="129">
        <f>+'Gestione e Proposta concordatar'!BT20</f>
        <v>0</v>
      </c>
      <c r="BW6" s="129">
        <f>+'Gestione e Proposta concordatar'!BU20</f>
        <v>0</v>
      </c>
      <c r="BX6" s="129">
        <f>+'Gestione e Proposta concordatar'!BV20</f>
        <v>0</v>
      </c>
      <c r="BY6" s="129">
        <f>+'Gestione e Proposta concordatar'!BW20</f>
        <v>0</v>
      </c>
      <c r="BZ6" s="129">
        <f>+'Gestione e Proposta concordatar'!BX20</f>
        <v>0</v>
      </c>
      <c r="CA6" s="129">
        <f>+'Gestione e Proposta concordatar'!BY20</f>
        <v>0</v>
      </c>
      <c r="CB6" s="129">
        <f>+'Gestione e Proposta concordatar'!BZ20</f>
        <v>0</v>
      </c>
      <c r="CC6" s="129">
        <f>+'Gestione e Proposta concordatar'!CA20</f>
        <v>0</v>
      </c>
      <c r="CD6" s="129">
        <f>+'Gestione e Proposta concordatar'!CB20</f>
        <v>0</v>
      </c>
      <c r="CE6" s="129">
        <f>+'Gestione e Proposta concordatar'!CC20</f>
        <v>0</v>
      </c>
      <c r="CF6" s="129">
        <f>+'Gestione e Proposta concordatar'!CD20</f>
        <v>0</v>
      </c>
      <c r="CG6" s="129">
        <f>+'Gestione e Proposta concordatar'!CE20</f>
        <v>0</v>
      </c>
      <c r="CH6" s="129">
        <f>+'Gestione e Proposta concordatar'!CF20</f>
        <v>0</v>
      </c>
      <c r="CI6" s="129">
        <f>+'Gestione e Proposta concordatar'!CG20</f>
        <v>0</v>
      </c>
      <c r="CJ6" s="129">
        <f>+'Gestione e Proposta concordatar'!CH20</f>
        <v>0</v>
      </c>
      <c r="CK6" s="129">
        <f>+'Gestione e Proposta concordatar'!CI20</f>
        <v>0</v>
      </c>
      <c r="CL6" s="129">
        <f>+'Gestione e Proposta concordatar'!CJ20</f>
        <v>0</v>
      </c>
      <c r="CM6" s="129">
        <f>+'Gestione e Proposta concordatar'!CK20</f>
        <v>0</v>
      </c>
      <c r="CN6" s="129">
        <f>+'Gestione e Proposta concordatar'!CL20</f>
        <v>0</v>
      </c>
      <c r="CO6" s="129">
        <f>+'Gestione e Proposta concordatar'!CM20</f>
        <v>0</v>
      </c>
      <c r="CP6" s="129">
        <f>+'Gestione e Proposta concordatar'!CN20</f>
        <v>0</v>
      </c>
      <c r="CQ6" s="129">
        <f>+'Gestione e Proposta concordatar'!CO20</f>
        <v>0</v>
      </c>
      <c r="CR6" s="129">
        <f>+'Gestione e Proposta concordatar'!CP20</f>
        <v>0</v>
      </c>
      <c r="CS6" s="129">
        <f>+'Gestione e Proposta concordatar'!CQ20</f>
        <v>0</v>
      </c>
      <c r="CT6" s="129">
        <f>+'Gestione e Proposta concordatar'!CR20</f>
        <v>0</v>
      </c>
      <c r="CU6" s="129">
        <f>+'Gestione e Proposta concordatar'!CS20</f>
        <v>0</v>
      </c>
      <c r="CV6" s="129">
        <f>+'Gestione e Proposta concordatar'!CT20</f>
        <v>0</v>
      </c>
      <c r="CW6" s="129">
        <f>+'Gestione e Proposta concordatar'!CU20</f>
        <v>0</v>
      </c>
      <c r="CX6" s="129">
        <f>+'Gestione e Proposta concordatar'!CV20</f>
        <v>0</v>
      </c>
      <c r="CY6" s="129">
        <f>+'Gestione e Proposta concordatar'!CW20</f>
        <v>0</v>
      </c>
      <c r="CZ6" s="129">
        <f>+'Gestione e Proposta concordatar'!CX20</f>
        <v>0</v>
      </c>
      <c r="DA6" s="129">
        <f>+'Gestione e Proposta concordatar'!CY20</f>
        <v>0</v>
      </c>
      <c r="DB6" s="129">
        <f>+'Gestione e Proposta concordatar'!CZ20</f>
        <v>0</v>
      </c>
      <c r="DC6" s="129">
        <f>+'Gestione e Proposta concordatar'!DA20</f>
        <v>0</v>
      </c>
      <c r="DD6" s="129">
        <f>+'Gestione e Proposta concordatar'!DB20</f>
        <v>0</v>
      </c>
      <c r="DE6" s="129">
        <f>+'Gestione e Proposta concordatar'!DC20</f>
        <v>0</v>
      </c>
      <c r="DF6" s="129">
        <f>+'Gestione e Proposta concordatar'!DD20</f>
        <v>0</v>
      </c>
      <c r="DG6" s="129">
        <f>+'Gestione e Proposta concordatar'!DE20</f>
        <v>0</v>
      </c>
      <c r="DH6" s="129">
        <f>+'Gestione e Proposta concordatar'!DF20</f>
        <v>0</v>
      </c>
      <c r="DI6" s="129">
        <f>+'Gestione e Proposta concordatar'!DG20</f>
        <v>0</v>
      </c>
      <c r="DJ6" s="129">
        <f>+'Gestione e Proposta concordatar'!DH20</f>
        <v>0</v>
      </c>
      <c r="DK6" s="129">
        <f>+'Gestione e Proposta concordatar'!DI20</f>
        <v>0</v>
      </c>
      <c r="DL6" s="129">
        <f>+'Gestione e Proposta concordatar'!DJ20</f>
        <v>0</v>
      </c>
      <c r="DM6" s="129">
        <f>+'Gestione e Proposta concordatar'!DK20</f>
        <v>0</v>
      </c>
      <c r="DN6" s="129">
        <f>+'Gestione e Proposta concordatar'!DL20</f>
        <v>0</v>
      </c>
      <c r="DO6" s="129">
        <f>+'Gestione e Proposta concordatar'!DM20</f>
        <v>0</v>
      </c>
      <c r="DP6" s="129">
        <f>+'Gestione e Proposta concordatar'!DN20</f>
        <v>0</v>
      </c>
      <c r="DQ6" s="129">
        <f>+'Gestione e Proposta concordatar'!DO20</f>
        <v>0</v>
      </c>
      <c r="DR6" s="129">
        <f>+'Gestione e Proposta concordatar'!DP20</f>
        <v>0</v>
      </c>
      <c r="DS6" s="129">
        <f>+'Gestione e Proposta concordatar'!DQ20</f>
        <v>0</v>
      </c>
      <c r="DT6" s="129">
        <f>+'Gestione e Proposta concordatar'!DR20</f>
        <v>0</v>
      </c>
      <c r="DU6" s="129">
        <f>+'Gestione e Proposta concordatar'!DS20</f>
        <v>0</v>
      </c>
      <c r="DV6" s="129">
        <f>+'Gestione e Proposta concordatar'!DT20</f>
        <v>0</v>
      </c>
      <c r="DW6" s="129">
        <f>+'Gestione e Proposta concordatar'!DU20</f>
        <v>0</v>
      </c>
      <c r="DX6" s="129">
        <f>+'Gestione e Proposta concordatar'!DV20</f>
        <v>0</v>
      </c>
      <c r="DY6" s="129">
        <f>+'Gestione e Proposta concordatar'!DW20</f>
        <v>0</v>
      </c>
      <c r="DZ6" s="129">
        <f>+'Gestione e Proposta concordatar'!DX20</f>
        <v>0</v>
      </c>
      <c r="EA6" s="129">
        <f>+'Gestione e Proposta concordatar'!DY20</f>
        <v>0</v>
      </c>
    </row>
    <row r="7" ht="14.5">
      <c r="C7" s="130" t="s">
        <v>897</v>
      </c>
      <c r="D7" s="131" t="s">
        <v>898</v>
      </c>
      <c r="E7" s="132"/>
      <c r="F7" s="96"/>
      <c r="G7" s="97">
        <v>0.040000000000000001</v>
      </c>
      <c r="H7" s="97">
        <v>0.22</v>
      </c>
      <c r="I7" s="96">
        <f>(F7+G7)*(1+H7)</f>
        <v>0.048800000000000003</v>
      </c>
      <c r="K7" s="133">
        <f>+I7-SUM(L7:EA7)</f>
        <v>0.048800000000000003</v>
      </c>
      <c r="L7" s="134"/>
      <c r="M7" s="134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34"/>
      <c r="Y7" s="134"/>
      <c r="Z7" s="134"/>
      <c r="AA7" s="134"/>
      <c r="AB7" s="134"/>
      <c r="AC7" s="134"/>
      <c r="AD7" s="134"/>
      <c r="AE7" s="134"/>
      <c r="AF7" s="134"/>
      <c r="AG7" s="134"/>
      <c r="AH7" s="134"/>
      <c r="AI7" s="134"/>
      <c r="AJ7" s="134"/>
      <c r="AK7" s="134"/>
      <c r="AL7" s="134"/>
      <c r="AM7" s="134"/>
      <c r="AN7" s="134"/>
      <c r="AO7" s="134"/>
      <c r="AP7" s="134"/>
      <c r="AQ7" s="134"/>
      <c r="AR7" s="134"/>
      <c r="AS7" s="134"/>
      <c r="AT7" s="134"/>
      <c r="AU7" s="134"/>
      <c r="AV7" s="134"/>
      <c r="AW7" s="134"/>
      <c r="AX7" s="134"/>
      <c r="AY7" s="134"/>
      <c r="AZ7" s="134"/>
      <c r="BA7" s="134"/>
      <c r="BB7" s="134"/>
      <c r="BC7" s="134"/>
      <c r="BD7" s="134"/>
      <c r="BE7" s="134"/>
      <c r="BF7" s="134"/>
      <c r="BG7" s="134"/>
      <c r="BH7" s="134"/>
      <c r="BI7" s="134"/>
      <c r="BJ7" s="134"/>
      <c r="BK7" s="134"/>
      <c r="BL7" s="134"/>
      <c r="BM7" s="134"/>
      <c r="BN7" s="134"/>
      <c r="BO7" s="134"/>
      <c r="BP7" s="134"/>
      <c r="BQ7" s="134"/>
      <c r="BR7" s="134"/>
      <c r="BS7" s="134"/>
      <c r="BT7" s="134"/>
      <c r="BU7" s="134"/>
      <c r="BV7" s="134"/>
      <c r="BW7" s="134"/>
      <c r="BX7" s="134"/>
      <c r="BY7" s="134"/>
      <c r="BZ7" s="134"/>
      <c r="CA7" s="134"/>
      <c r="CB7" s="134"/>
      <c r="CC7" s="134"/>
      <c r="CD7" s="134"/>
      <c r="CE7" s="134"/>
      <c r="CF7" s="134"/>
      <c r="CG7" s="134"/>
      <c r="CH7" s="134"/>
      <c r="CI7" s="134"/>
      <c r="CJ7" s="134"/>
      <c r="CK7" s="134"/>
      <c r="CL7" s="134"/>
      <c r="CM7" s="134"/>
      <c r="CN7" s="134"/>
      <c r="CO7" s="134"/>
      <c r="CP7" s="134"/>
      <c r="CQ7" s="134"/>
      <c r="CR7" s="134"/>
      <c r="CS7" s="134"/>
      <c r="CT7" s="134"/>
      <c r="CU7" s="134"/>
      <c r="CV7" s="134"/>
      <c r="CW7" s="134"/>
      <c r="CX7" s="134"/>
      <c r="CY7" s="134"/>
      <c r="CZ7" s="134"/>
      <c r="DA7" s="134"/>
      <c r="DB7" s="134"/>
      <c r="DC7" s="134"/>
      <c r="DD7" s="134"/>
      <c r="DE7" s="134"/>
      <c r="DF7" s="134"/>
      <c r="DG7" s="134"/>
      <c r="DH7" s="134"/>
      <c r="DI7" s="134"/>
      <c r="DJ7" s="134"/>
      <c r="DK7" s="134"/>
      <c r="DL7" s="134"/>
      <c r="DM7" s="134"/>
      <c r="DN7" s="134"/>
      <c r="DO7" s="134"/>
      <c r="DP7" s="134"/>
      <c r="DQ7" s="134"/>
      <c r="DR7" s="134"/>
      <c r="DS7" s="134"/>
      <c r="DT7" s="134"/>
      <c r="DU7" s="134"/>
      <c r="DV7" s="134"/>
      <c r="DW7" s="134"/>
      <c r="DX7" s="134"/>
      <c r="DY7" s="134"/>
      <c r="DZ7" s="134"/>
      <c r="EA7" s="134"/>
    </row>
    <row r="8" ht="14.5">
      <c r="C8" s="130" t="s">
        <v>897</v>
      </c>
      <c r="D8" s="131" t="s">
        <v>899</v>
      </c>
      <c r="E8" s="132"/>
      <c r="F8" s="96"/>
      <c r="G8" s="97">
        <v>0.040000000000000001</v>
      </c>
      <c r="H8" s="97">
        <v>0.22</v>
      </c>
      <c r="I8" s="96">
        <f t="shared" ref="I8:I28" si="0">(F8+G8)*(1+H8)</f>
        <v>0.048800000000000003</v>
      </c>
      <c r="K8" s="133">
        <f t="shared" ref="K8:K28" si="1">+I8-SUM(L8:EA8)</f>
        <v>0.048800000000000003</v>
      </c>
      <c r="L8" s="134"/>
      <c r="M8" s="134"/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4"/>
      <c r="Z8" s="134"/>
      <c r="AA8" s="134"/>
      <c r="AB8" s="134"/>
      <c r="AC8" s="134"/>
      <c r="AD8" s="134"/>
      <c r="AE8" s="134"/>
      <c r="AF8" s="134"/>
      <c r="AG8" s="134"/>
      <c r="AH8" s="134"/>
      <c r="AI8" s="134"/>
      <c r="AJ8" s="134"/>
      <c r="AK8" s="134"/>
      <c r="AL8" s="134"/>
      <c r="AM8" s="134"/>
      <c r="AN8" s="134"/>
      <c r="AO8" s="134"/>
      <c r="AP8" s="134"/>
      <c r="AQ8" s="134"/>
      <c r="AR8" s="134"/>
      <c r="AS8" s="134"/>
      <c r="AT8" s="134"/>
      <c r="AU8" s="134"/>
      <c r="AV8" s="134"/>
      <c r="AW8" s="134"/>
      <c r="AX8" s="134"/>
      <c r="AY8" s="134"/>
      <c r="AZ8" s="134"/>
      <c r="BA8" s="134"/>
      <c r="BB8" s="134"/>
      <c r="BC8" s="134"/>
      <c r="BD8" s="134"/>
      <c r="BE8" s="134"/>
      <c r="BF8" s="134"/>
      <c r="BG8" s="134"/>
      <c r="BH8" s="134"/>
      <c r="BI8" s="134"/>
      <c r="BJ8" s="134"/>
      <c r="BK8" s="134"/>
      <c r="BL8" s="134"/>
      <c r="BM8" s="134"/>
      <c r="BN8" s="134"/>
      <c r="BO8" s="134"/>
      <c r="BP8" s="134"/>
      <c r="BQ8" s="134"/>
      <c r="BR8" s="134"/>
      <c r="BS8" s="134"/>
      <c r="BT8" s="134"/>
      <c r="BU8" s="134"/>
      <c r="BV8" s="134"/>
      <c r="BW8" s="134"/>
      <c r="BX8" s="134"/>
      <c r="BY8" s="134"/>
      <c r="BZ8" s="134"/>
      <c r="CA8" s="134"/>
      <c r="CB8" s="134"/>
      <c r="CC8" s="134"/>
      <c r="CD8" s="134"/>
      <c r="CE8" s="134"/>
      <c r="CF8" s="134"/>
      <c r="CG8" s="134"/>
      <c r="CH8" s="134"/>
      <c r="CI8" s="134"/>
      <c r="CJ8" s="134"/>
      <c r="CK8" s="134"/>
      <c r="CL8" s="134"/>
      <c r="CM8" s="134"/>
      <c r="CN8" s="134"/>
      <c r="CO8" s="134"/>
      <c r="CP8" s="134"/>
      <c r="CQ8" s="134"/>
      <c r="CR8" s="134"/>
      <c r="CS8" s="134"/>
      <c r="CT8" s="134"/>
      <c r="CU8" s="134"/>
      <c r="CV8" s="134"/>
      <c r="CW8" s="134"/>
      <c r="CX8" s="134"/>
      <c r="CY8" s="134"/>
      <c r="CZ8" s="134"/>
      <c r="DA8" s="134"/>
      <c r="DB8" s="134"/>
      <c r="DC8" s="134"/>
      <c r="DD8" s="134"/>
      <c r="DE8" s="134"/>
      <c r="DF8" s="134"/>
      <c r="DG8" s="134"/>
      <c r="DH8" s="134"/>
      <c r="DI8" s="134"/>
      <c r="DJ8" s="134"/>
      <c r="DK8" s="134"/>
      <c r="DL8" s="134"/>
      <c r="DM8" s="134"/>
      <c r="DN8" s="134"/>
      <c r="DO8" s="134"/>
      <c r="DP8" s="134"/>
      <c r="DQ8" s="134"/>
      <c r="DR8" s="134"/>
      <c r="DS8" s="134"/>
      <c r="DT8" s="134"/>
      <c r="DU8" s="134"/>
      <c r="DV8" s="134"/>
      <c r="DW8" s="134"/>
      <c r="DX8" s="134"/>
      <c r="DY8" s="134"/>
      <c r="DZ8" s="134"/>
      <c r="EA8" s="134"/>
    </row>
    <row r="9" ht="14.5">
      <c r="C9" s="130" t="s">
        <v>897</v>
      </c>
      <c r="D9" s="131" t="s">
        <v>900</v>
      </c>
      <c r="E9" s="132"/>
      <c r="F9" s="96"/>
      <c r="G9" s="97">
        <v>0.040000000000000001</v>
      </c>
      <c r="H9" s="97">
        <v>0.22</v>
      </c>
      <c r="I9" s="96">
        <f t="shared" si="0"/>
        <v>0.048800000000000003</v>
      </c>
      <c r="K9" s="133">
        <f t="shared" si="1"/>
        <v>0.048800000000000003</v>
      </c>
      <c r="L9" s="134"/>
      <c r="M9" s="134"/>
      <c r="N9" s="134"/>
      <c r="O9" s="134"/>
      <c r="P9" s="134"/>
      <c r="Q9" s="134"/>
      <c r="R9" s="134"/>
      <c r="S9" s="134"/>
      <c r="T9" s="134"/>
      <c r="U9" s="134"/>
      <c r="V9" s="134"/>
      <c r="W9" s="134"/>
      <c r="X9" s="134"/>
      <c r="Y9" s="134"/>
      <c r="Z9" s="134"/>
      <c r="AA9" s="134"/>
      <c r="AB9" s="134"/>
      <c r="AC9" s="134"/>
      <c r="AD9" s="134"/>
      <c r="AE9" s="134"/>
      <c r="AF9" s="134"/>
      <c r="AG9" s="134"/>
      <c r="AH9" s="134"/>
      <c r="AI9" s="134"/>
      <c r="AJ9" s="134"/>
      <c r="AK9" s="134"/>
      <c r="AL9" s="134"/>
      <c r="AM9" s="134"/>
      <c r="AN9" s="134"/>
      <c r="AO9" s="134"/>
      <c r="AP9" s="134"/>
      <c r="AQ9" s="134"/>
      <c r="AR9" s="134"/>
      <c r="AS9" s="134"/>
      <c r="AT9" s="134"/>
      <c r="AU9" s="134"/>
      <c r="AV9" s="134"/>
      <c r="AW9" s="134"/>
      <c r="AX9" s="134"/>
      <c r="AY9" s="134"/>
      <c r="AZ9" s="134"/>
      <c r="BA9" s="134"/>
      <c r="BB9" s="134"/>
      <c r="BC9" s="134"/>
      <c r="BD9" s="134"/>
      <c r="BE9" s="134"/>
      <c r="BF9" s="134"/>
      <c r="BG9" s="134"/>
      <c r="BH9" s="134"/>
      <c r="BI9" s="134"/>
      <c r="BJ9" s="134"/>
      <c r="BK9" s="134"/>
      <c r="BL9" s="134"/>
      <c r="BM9" s="134"/>
      <c r="BN9" s="134"/>
      <c r="BO9" s="134"/>
      <c r="BP9" s="134"/>
      <c r="BQ9" s="134"/>
      <c r="BR9" s="134"/>
      <c r="BS9" s="134"/>
      <c r="BT9" s="134"/>
      <c r="BU9" s="134"/>
      <c r="BV9" s="134"/>
      <c r="BW9" s="134"/>
      <c r="BX9" s="134"/>
      <c r="BY9" s="134"/>
      <c r="BZ9" s="134"/>
      <c r="CA9" s="134"/>
      <c r="CB9" s="134"/>
      <c r="CC9" s="134"/>
      <c r="CD9" s="134"/>
      <c r="CE9" s="134"/>
      <c r="CF9" s="134"/>
      <c r="CG9" s="134"/>
      <c r="CH9" s="134"/>
      <c r="CI9" s="134"/>
      <c r="CJ9" s="134"/>
      <c r="CK9" s="134"/>
      <c r="CL9" s="134"/>
      <c r="CM9" s="134"/>
      <c r="CN9" s="134"/>
      <c r="CO9" s="134"/>
      <c r="CP9" s="134"/>
      <c r="CQ9" s="134"/>
      <c r="CR9" s="134"/>
      <c r="CS9" s="134"/>
      <c r="CT9" s="134"/>
      <c r="CU9" s="134"/>
      <c r="CV9" s="134"/>
      <c r="CW9" s="134"/>
      <c r="CX9" s="134"/>
      <c r="CY9" s="134"/>
      <c r="CZ9" s="134"/>
      <c r="DA9" s="134"/>
      <c r="DB9" s="134"/>
      <c r="DC9" s="134"/>
      <c r="DD9" s="134"/>
      <c r="DE9" s="134"/>
      <c r="DF9" s="134"/>
      <c r="DG9" s="134"/>
      <c r="DH9" s="134"/>
      <c r="DI9" s="134"/>
      <c r="DJ9" s="134"/>
      <c r="DK9" s="134"/>
      <c r="DL9" s="134"/>
      <c r="DM9" s="134"/>
      <c r="DN9" s="134"/>
      <c r="DO9" s="134"/>
      <c r="DP9" s="134"/>
      <c r="DQ9" s="134"/>
      <c r="DR9" s="134"/>
      <c r="DS9" s="134"/>
      <c r="DT9" s="134"/>
      <c r="DU9" s="134"/>
      <c r="DV9" s="134"/>
      <c r="DW9" s="134"/>
      <c r="DX9" s="134"/>
      <c r="DY9" s="134"/>
      <c r="DZ9" s="134"/>
      <c r="EA9" s="134"/>
    </row>
    <row r="10" ht="14.5">
      <c r="C10" s="130" t="s">
        <v>897</v>
      </c>
      <c r="D10" s="131" t="s">
        <v>901</v>
      </c>
      <c r="E10" s="132"/>
      <c r="F10" s="96"/>
      <c r="G10" s="97">
        <v>0.040000000000000001</v>
      </c>
      <c r="H10" s="97">
        <v>0.22</v>
      </c>
      <c r="I10" s="96">
        <f t="shared" si="0"/>
        <v>0.048800000000000003</v>
      </c>
      <c r="K10" s="133">
        <f t="shared" si="1"/>
        <v>0.048800000000000003</v>
      </c>
      <c r="L10" s="134"/>
      <c r="M10" s="134"/>
      <c r="N10" s="134"/>
      <c r="O10" s="134"/>
      <c r="P10" s="134"/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4"/>
      <c r="AG10" s="134"/>
      <c r="AH10" s="134"/>
      <c r="AI10" s="134"/>
      <c r="AJ10" s="134"/>
      <c r="AK10" s="134"/>
      <c r="AL10" s="134"/>
      <c r="AM10" s="134"/>
      <c r="AN10" s="134"/>
      <c r="AO10" s="134"/>
      <c r="AP10" s="134"/>
      <c r="AQ10" s="134"/>
      <c r="AR10" s="134"/>
      <c r="AS10" s="134"/>
      <c r="AT10" s="134"/>
      <c r="AU10" s="134"/>
      <c r="AV10" s="134"/>
      <c r="AW10" s="134"/>
      <c r="AX10" s="134"/>
      <c r="AY10" s="134"/>
      <c r="AZ10" s="134"/>
      <c r="BA10" s="134"/>
      <c r="BB10" s="134"/>
      <c r="BC10" s="134"/>
      <c r="BD10" s="134"/>
      <c r="BE10" s="134"/>
      <c r="BF10" s="134"/>
      <c r="BG10" s="134"/>
      <c r="BH10" s="134"/>
      <c r="BI10" s="134"/>
      <c r="BJ10" s="134"/>
      <c r="BK10" s="134"/>
      <c r="BL10" s="134"/>
      <c r="BM10" s="134"/>
      <c r="BN10" s="134"/>
      <c r="BO10" s="134"/>
      <c r="BP10" s="134"/>
      <c r="BQ10" s="134"/>
      <c r="BR10" s="134"/>
      <c r="BS10" s="134"/>
      <c r="BT10" s="134"/>
      <c r="BU10" s="134"/>
      <c r="BV10" s="134"/>
      <c r="BW10" s="134"/>
      <c r="BX10" s="134"/>
      <c r="BY10" s="134"/>
      <c r="BZ10" s="134"/>
      <c r="CA10" s="134"/>
      <c r="CB10" s="134"/>
      <c r="CC10" s="134"/>
      <c r="CD10" s="134"/>
      <c r="CE10" s="134"/>
      <c r="CF10" s="134"/>
      <c r="CG10" s="134"/>
      <c r="CH10" s="134"/>
      <c r="CI10" s="134"/>
      <c r="CJ10" s="134"/>
      <c r="CK10" s="134"/>
      <c r="CL10" s="134"/>
      <c r="CM10" s="134"/>
      <c r="CN10" s="134"/>
      <c r="CO10" s="134"/>
      <c r="CP10" s="134"/>
      <c r="CQ10" s="134"/>
      <c r="CR10" s="134"/>
      <c r="CS10" s="134"/>
      <c r="CT10" s="134"/>
      <c r="CU10" s="134"/>
      <c r="CV10" s="134"/>
      <c r="CW10" s="134"/>
      <c r="CX10" s="134"/>
      <c r="CY10" s="134"/>
      <c r="CZ10" s="134"/>
      <c r="DA10" s="134"/>
      <c r="DB10" s="134"/>
      <c r="DC10" s="134"/>
      <c r="DD10" s="134"/>
      <c r="DE10" s="134"/>
      <c r="DF10" s="134"/>
      <c r="DG10" s="134"/>
      <c r="DH10" s="134"/>
      <c r="DI10" s="134"/>
      <c r="DJ10" s="134"/>
      <c r="DK10" s="134"/>
      <c r="DL10" s="134"/>
      <c r="DM10" s="134"/>
      <c r="DN10" s="134"/>
      <c r="DO10" s="134"/>
      <c r="DP10" s="134"/>
      <c r="DQ10" s="134"/>
      <c r="DR10" s="134"/>
      <c r="DS10" s="134"/>
      <c r="DT10" s="134"/>
      <c r="DU10" s="134"/>
      <c r="DV10" s="134"/>
      <c r="DW10" s="134"/>
      <c r="DX10" s="134"/>
      <c r="DY10" s="134"/>
      <c r="DZ10" s="134"/>
      <c r="EA10" s="134"/>
    </row>
    <row r="11" ht="14.5">
      <c r="C11" s="135"/>
      <c r="D11" s="135"/>
      <c r="E11" s="135"/>
      <c r="F11" s="104"/>
      <c r="G11" s="104"/>
      <c r="H11" s="136"/>
      <c r="I11" s="109">
        <f t="shared" si="0"/>
        <v>0</v>
      </c>
      <c r="K11" s="133">
        <f t="shared" si="1"/>
        <v>0</v>
      </c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4"/>
      <c r="Y11" s="134"/>
      <c r="Z11" s="134"/>
      <c r="AA11" s="134"/>
      <c r="AB11" s="134"/>
      <c r="AC11" s="134"/>
      <c r="AD11" s="134"/>
      <c r="AE11" s="134"/>
      <c r="AF11" s="134"/>
      <c r="AG11" s="134"/>
      <c r="AH11" s="134"/>
      <c r="AI11" s="134"/>
      <c r="AJ11" s="134"/>
      <c r="AK11" s="134"/>
      <c r="AL11" s="134"/>
      <c r="AM11" s="134"/>
      <c r="AN11" s="134"/>
      <c r="AO11" s="134"/>
      <c r="AP11" s="134"/>
      <c r="AQ11" s="134"/>
      <c r="AR11" s="134"/>
      <c r="AS11" s="134"/>
      <c r="AT11" s="134"/>
      <c r="AU11" s="134"/>
      <c r="AV11" s="134"/>
      <c r="AW11" s="134"/>
      <c r="AX11" s="134"/>
      <c r="AY11" s="134"/>
      <c r="AZ11" s="134"/>
      <c r="BA11" s="134"/>
      <c r="BB11" s="134"/>
      <c r="BC11" s="134"/>
      <c r="BD11" s="134"/>
      <c r="BE11" s="134"/>
      <c r="BF11" s="134"/>
      <c r="BG11" s="134"/>
      <c r="BH11" s="134"/>
      <c r="BI11" s="134"/>
      <c r="BJ11" s="134"/>
      <c r="BK11" s="134"/>
      <c r="BL11" s="134"/>
      <c r="BM11" s="134"/>
      <c r="BN11" s="134"/>
      <c r="BO11" s="134"/>
      <c r="BP11" s="134"/>
      <c r="BQ11" s="134"/>
      <c r="BR11" s="134"/>
      <c r="BS11" s="134"/>
      <c r="BT11" s="134"/>
      <c r="BU11" s="134"/>
      <c r="BV11" s="134"/>
      <c r="BW11" s="134"/>
      <c r="BX11" s="134"/>
      <c r="BY11" s="134"/>
      <c r="BZ11" s="134"/>
      <c r="CA11" s="134"/>
      <c r="CB11" s="134"/>
      <c r="CC11" s="134"/>
      <c r="CD11" s="134"/>
      <c r="CE11" s="134"/>
      <c r="CF11" s="134"/>
      <c r="CG11" s="134"/>
      <c r="CH11" s="134"/>
      <c r="CI11" s="134"/>
      <c r="CJ11" s="134"/>
      <c r="CK11" s="134"/>
      <c r="CL11" s="134"/>
      <c r="CM11" s="134"/>
      <c r="CN11" s="134"/>
      <c r="CO11" s="134"/>
      <c r="CP11" s="134"/>
      <c r="CQ11" s="134"/>
      <c r="CR11" s="134"/>
      <c r="CS11" s="134"/>
      <c r="CT11" s="134"/>
      <c r="CU11" s="134"/>
      <c r="CV11" s="134"/>
      <c r="CW11" s="134"/>
      <c r="CX11" s="134"/>
      <c r="CY11" s="134"/>
      <c r="CZ11" s="134"/>
      <c r="DA11" s="134"/>
      <c r="DB11" s="134"/>
      <c r="DC11" s="134"/>
      <c r="DD11" s="134"/>
      <c r="DE11" s="134"/>
      <c r="DF11" s="134"/>
      <c r="DG11" s="134"/>
      <c r="DH11" s="134"/>
      <c r="DI11" s="134"/>
      <c r="DJ11" s="134"/>
      <c r="DK11" s="134"/>
      <c r="DL11" s="134"/>
      <c r="DM11" s="134"/>
      <c r="DN11" s="134"/>
      <c r="DO11" s="134"/>
      <c r="DP11" s="134"/>
      <c r="DQ11" s="134"/>
      <c r="DR11" s="134"/>
      <c r="DS11" s="134"/>
      <c r="DT11" s="134"/>
      <c r="DU11" s="134"/>
      <c r="DV11" s="134"/>
      <c r="DW11" s="134"/>
      <c r="DX11" s="134"/>
      <c r="DY11" s="134"/>
      <c r="DZ11" s="134"/>
      <c r="EA11" s="134"/>
    </row>
    <row r="12" ht="14.5">
      <c r="C12" s="135"/>
      <c r="D12" s="135"/>
      <c r="E12" s="135"/>
      <c r="F12" s="104"/>
      <c r="G12" s="104"/>
      <c r="H12" s="136"/>
      <c r="I12" s="109">
        <f t="shared" si="0"/>
        <v>0</v>
      </c>
      <c r="K12" s="133">
        <f t="shared" si="1"/>
        <v>0</v>
      </c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  <c r="AF12" s="134"/>
      <c r="AG12" s="134"/>
      <c r="AH12" s="134"/>
      <c r="AI12" s="134"/>
      <c r="AJ12" s="134"/>
      <c r="AK12" s="134"/>
      <c r="AL12" s="134"/>
      <c r="AM12" s="134"/>
      <c r="AN12" s="134"/>
      <c r="AO12" s="134"/>
      <c r="AP12" s="134"/>
      <c r="AQ12" s="134"/>
      <c r="AR12" s="134"/>
      <c r="AS12" s="134"/>
      <c r="AT12" s="134"/>
      <c r="AU12" s="134"/>
      <c r="AV12" s="134"/>
      <c r="AW12" s="134"/>
      <c r="AX12" s="134"/>
      <c r="AY12" s="134"/>
      <c r="AZ12" s="134"/>
      <c r="BA12" s="134"/>
      <c r="BB12" s="134"/>
      <c r="BC12" s="134"/>
      <c r="BD12" s="134"/>
      <c r="BE12" s="134"/>
      <c r="BF12" s="134"/>
      <c r="BG12" s="134"/>
      <c r="BH12" s="134"/>
      <c r="BI12" s="134"/>
      <c r="BJ12" s="134"/>
      <c r="BK12" s="134"/>
      <c r="BL12" s="134"/>
      <c r="BM12" s="134"/>
      <c r="BN12" s="134"/>
      <c r="BO12" s="134"/>
      <c r="BP12" s="134"/>
      <c r="BQ12" s="134"/>
      <c r="BR12" s="134"/>
      <c r="BS12" s="134"/>
      <c r="BT12" s="134"/>
      <c r="BU12" s="134"/>
      <c r="BV12" s="134"/>
      <c r="BW12" s="134"/>
      <c r="BX12" s="134"/>
      <c r="BY12" s="134"/>
      <c r="BZ12" s="134"/>
      <c r="CA12" s="134"/>
      <c r="CB12" s="134"/>
      <c r="CC12" s="134"/>
      <c r="CD12" s="134"/>
      <c r="CE12" s="134"/>
      <c r="CF12" s="134"/>
      <c r="CG12" s="134"/>
      <c r="CH12" s="134"/>
      <c r="CI12" s="134"/>
      <c r="CJ12" s="134"/>
      <c r="CK12" s="134"/>
      <c r="CL12" s="134"/>
      <c r="CM12" s="134"/>
      <c r="CN12" s="134"/>
      <c r="CO12" s="134"/>
      <c r="CP12" s="134"/>
      <c r="CQ12" s="134"/>
      <c r="CR12" s="134"/>
      <c r="CS12" s="134"/>
      <c r="CT12" s="134"/>
      <c r="CU12" s="134"/>
      <c r="CV12" s="134"/>
      <c r="CW12" s="134"/>
      <c r="CX12" s="134"/>
      <c r="CY12" s="134"/>
      <c r="CZ12" s="134"/>
      <c r="DA12" s="134"/>
      <c r="DB12" s="134"/>
      <c r="DC12" s="134"/>
      <c r="DD12" s="134"/>
      <c r="DE12" s="134"/>
      <c r="DF12" s="134"/>
      <c r="DG12" s="134"/>
      <c r="DH12" s="134"/>
      <c r="DI12" s="134"/>
      <c r="DJ12" s="134"/>
      <c r="DK12" s="134"/>
      <c r="DL12" s="134"/>
      <c r="DM12" s="134"/>
      <c r="DN12" s="134"/>
      <c r="DO12" s="134"/>
      <c r="DP12" s="134"/>
      <c r="DQ12" s="134"/>
      <c r="DR12" s="134"/>
      <c r="DS12" s="134"/>
      <c r="DT12" s="134"/>
      <c r="DU12" s="134"/>
      <c r="DV12" s="134"/>
      <c r="DW12" s="134"/>
      <c r="DX12" s="134"/>
      <c r="DY12" s="134"/>
      <c r="DZ12" s="134"/>
      <c r="EA12" s="134"/>
    </row>
    <row r="13" ht="14.5">
      <c r="C13" s="135"/>
      <c r="D13" s="135"/>
      <c r="E13" s="135"/>
      <c r="F13" s="104"/>
      <c r="G13" s="104"/>
      <c r="H13" s="136"/>
      <c r="I13" s="109">
        <f t="shared" si="0"/>
        <v>0</v>
      </c>
      <c r="K13" s="133">
        <f t="shared" si="1"/>
        <v>0</v>
      </c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4"/>
      <c r="AD13" s="134"/>
      <c r="AE13" s="134"/>
      <c r="AF13" s="134"/>
      <c r="AG13" s="134"/>
      <c r="AH13" s="134"/>
      <c r="AI13" s="134"/>
      <c r="AJ13" s="134"/>
      <c r="AK13" s="134"/>
      <c r="AL13" s="134"/>
      <c r="AM13" s="134"/>
      <c r="AN13" s="134"/>
      <c r="AO13" s="134"/>
      <c r="AP13" s="134"/>
      <c r="AQ13" s="134"/>
      <c r="AR13" s="134"/>
      <c r="AS13" s="134"/>
      <c r="AT13" s="134"/>
      <c r="AU13" s="134"/>
      <c r="AV13" s="134"/>
      <c r="AW13" s="134"/>
      <c r="AX13" s="134"/>
      <c r="AY13" s="134"/>
      <c r="AZ13" s="134"/>
      <c r="BA13" s="134"/>
      <c r="BB13" s="134"/>
      <c r="BC13" s="134"/>
      <c r="BD13" s="134"/>
      <c r="BE13" s="134"/>
      <c r="BF13" s="134"/>
      <c r="BG13" s="134"/>
      <c r="BH13" s="134"/>
      <c r="BI13" s="134"/>
      <c r="BJ13" s="134"/>
      <c r="BK13" s="134"/>
      <c r="BL13" s="134"/>
      <c r="BM13" s="134"/>
      <c r="BN13" s="134"/>
      <c r="BO13" s="134"/>
      <c r="BP13" s="134"/>
      <c r="BQ13" s="134"/>
      <c r="BR13" s="134"/>
      <c r="BS13" s="134"/>
      <c r="BT13" s="134"/>
      <c r="BU13" s="134"/>
      <c r="BV13" s="134"/>
      <c r="BW13" s="134"/>
      <c r="BX13" s="134"/>
      <c r="BY13" s="134"/>
      <c r="BZ13" s="134"/>
      <c r="CA13" s="134"/>
      <c r="CB13" s="134"/>
      <c r="CC13" s="134"/>
      <c r="CD13" s="134"/>
      <c r="CE13" s="134"/>
      <c r="CF13" s="134"/>
      <c r="CG13" s="134"/>
      <c r="CH13" s="134"/>
      <c r="CI13" s="134"/>
      <c r="CJ13" s="134"/>
      <c r="CK13" s="134"/>
      <c r="CL13" s="134"/>
      <c r="CM13" s="134"/>
      <c r="CN13" s="134"/>
      <c r="CO13" s="134"/>
      <c r="CP13" s="134"/>
      <c r="CQ13" s="134"/>
      <c r="CR13" s="134"/>
      <c r="CS13" s="134"/>
      <c r="CT13" s="134"/>
      <c r="CU13" s="134"/>
      <c r="CV13" s="134"/>
      <c r="CW13" s="134"/>
      <c r="CX13" s="134"/>
      <c r="CY13" s="134"/>
      <c r="CZ13" s="134"/>
      <c r="DA13" s="134"/>
      <c r="DB13" s="134"/>
      <c r="DC13" s="134"/>
      <c r="DD13" s="134"/>
      <c r="DE13" s="134"/>
      <c r="DF13" s="134"/>
      <c r="DG13" s="134"/>
      <c r="DH13" s="134"/>
      <c r="DI13" s="134"/>
      <c r="DJ13" s="134"/>
      <c r="DK13" s="134"/>
      <c r="DL13" s="134"/>
      <c r="DM13" s="134"/>
      <c r="DN13" s="134"/>
      <c r="DO13" s="134"/>
      <c r="DP13" s="134"/>
      <c r="DQ13" s="134"/>
      <c r="DR13" s="134"/>
      <c r="DS13" s="134"/>
      <c r="DT13" s="134"/>
      <c r="DU13" s="134"/>
      <c r="DV13" s="134"/>
      <c r="DW13" s="134"/>
      <c r="DX13" s="134"/>
      <c r="DY13" s="134"/>
      <c r="DZ13" s="134"/>
      <c r="EA13" s="134"/>
    </row>
    <row r="14" ht="14.5">
      <c r="C14" s="135"/>
      <c r="D14" s="135"/>
      <c r="E14" s="135"/>
      <c r="F14" s="104"/>
      <c r="G14" s="104"/>
      <c r="H14" s="136"/>
      <c r="I14" s="109">
        <f t="shared" si="0"/>
        <v>0</v>
      </c>
      <c r="K14" s="133">
        <f t="shared" si="1"/>
        <v>0</v>
      </c>
      <c r="L14" s="134"/>
      <c r="M14" s="134"/>
      <c r="N14" s="134"/>
      <c r="O14" s="134"/>
      <c r="P14" s="134"/>
      <c r="Q14" s="134"/>
      <c r="R14" s="134"/>
      <c r="S14" s="134">
        <f t="shared" ref="S14:T15" si="2">I14</f>
        <v>0</v>
      </c>
      <c r="T14" s="134">
        <f t="shared" si="2"/>
        <v>0</v>
      </c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4"/>
      <c r="AF14" s="134"/>
      <c r="AG14" s="134"/>
      <c r="AH14" s="134"/>
      <c r="AI14" s="134"/>
      <c r="AJ14" s="134"/>
      <c r="AK14" s="134"/>
      <c r="AL14" s="134"/>
      <c r="AM14" s="134"/>
      <c r="AN14" s="134"/>
      <c r="AO14" s="134"/>
      <c r="AP14" s="134"/>
      <c r="AQ14" s="134"/>
      <c r="AR14" s="134"/>
      <c r="AS14" s="134"/>
      <c r="AT14" s="134"/>
      <c r="AU14" s="134"/>
      <c r="AV14" s="134"/>
      <c r="AW14" s="134"/>
      <c r="AX14" s="134"/>
      <c r="AY14" s="134"/>
      <c r="AZ14" s="134"/>
      <c r="BA14" s="134"/>
      <c r="BB14" s="134"/>
      <c r="BC14" s="134"/>
      <c r="BD14" s="134"/>
      <c r="BE14" s="134"/>
      <c r="BF14" s="134"/>
      <c r="BG14" s="134"/>
      <c r="BH14" s="134"/>
      <c r="BI14" s="134"/>
      <c r="BJ14" s="134"/>
      <c r="BK14" s="134"/>
      <c r="BL14" s="134"/>
      <c r="BM14" s="134"/>
      <c r="BN14" s="134"/>
      <c r="BO14" s="134"/>
      <c r="BP14" s="134"/>
      <c r="BQ14" s="134"/>
      <c r="BR14" s="134"/>
      <c r="BS14" s="134"/>
      <c r="BT14" s="134"/>
      <c r="BU14" s="134"/>
      <c r="BV14" s="134"/>
      <c r="BW14" s="134"/>
      <c r="BX14" s="134"/>
      <c r="BY14" s="134"/>
      <c r="BZ14" s="134"/>
      <c r="CA14" s="134"/>
      <c r="CB14" s="134"/>
      <c r="CC14" s="134"/>
      <c r="CD14" s="134"/>
      <c r="CE14" s="134"/>
      <c r="CF14" s="134"/>
      <c r="CG14" s="134"/>
      <c r="CH14" s="134"/>
      <c r="CI14" s="134"/>
      <c r="CJ14" s="134"/>
      <c r="CK14" s="134"/>
      <c r="CL14" s="134"/>
      <c r="CM14" s="134"/>
      <c r="CN14" s="134"/>
      <c r="CO14" s="134"/>
      <c r="CP14" s="134"/>
      <c r="CQ14" s="134"/>
      <c r="CR14" s="134"/>
      <c r="CS14" s="134"/>
      <c r="CT14" s="134"/>
      <c r="CU14" s="134"/>
      <c r="CV14" s="134"/>
      <c r="CW14" s="134"/>
      <c r="CX14" s="134"/>
      <c r="CY14" s="134"/>
      <c r="CZ14" s="134"/>
      <c r="DA14" s="134"/>
      <c r="DB14" s="134"/>
      <c r="DC14" s="134"/>
      <c r="DD14" s="134"/>
      <c r="DE14" s="134"/>
      <c r="DF14" s="134"/>
      <c r="DG14" s="134"/>
      <c r="DH14" s="134"/>
      <c r="DI14" s="134"/>
      <c r="DJ14" s="134"/>
      <c r="DK14" s="134"/>
      <c r="DL14" s="134"/>
      <c r="DM14" s="134"/>
      <c r="DN14" s="134"/>
      <c r="DO14" s="134"/>
      <c r="DP14" s="134"/>
      <c r="DQ14" s="134"/>
      <c r="DR14" s="134"/>
      <c r="DS14" s="134"/>
      <c r="DT14" s="134"/>
      <c r="DU14" s="134"/>
      <c r="DV14" s="134"/>
      <c r="DW14" s="134"/>
      <c r="DX14" s="134"/>
      <c r="DY14" s="134"/>
      <c r="DZ14" s="134"/>
      <c r="EA14" s="134"/>
    </row>
    <row r="15" ht="14.5">
      <c r="S15">
        <f t="shared" si="2"/>
        <v>0</v>
      </c>
    </row>
    <row r="16" ht="15.5">
      <c r="C16" s="98"/>
      <c r="D16" s="98"/>
      <c r="E16" s="98"/>
      <c r="F16" s="128"/>
      <c r="G16" s="128"/>
      <c r="H16" s="128"/>
      <c r="I16" s="128"/>
      <c r="J16" s="137"/>
      <c r="L16" s="128"/>
      <c r="M16" s="128"/>
      <c r="N16" s="128"/>
      <c r="O16" s="128"/>
      <c r="P16" s="128"/>
      <c r="Q16" s="128"/>
      <c r="R16" s="128"/>
      <c r="S16" s="128"/>
      <c r="T16" s="128"/>
      <c r="U16" s="128"/>
      <c r="V16" s="128"/>
      <c r="W16" s="128"/>
      <c r="X16" s="128"/>
      <c r="Y16" s="128"/>
      <c r="Z16" s="128"/>
      <c r="AA16" s="128"/>
      <c r="AB16" s="128"/>
      <c r="AC16" s="128"/>
      <c r="AD16" s="128"/>
      <c r="AE16" s="128"/>
      <c r="AF16" s="128"/>
      <c r="AG16" s="128"/>
      <c r="AH16" s="128"/>
      <c r="AI16" s="128"/>
      <c r="AJ16" s="128"/>
      <c r="AK16" s="128"/>
      <c r="AL16" s="128"/>
      <c r="AM16" s="128"/>
      <c r="AN16" s="128"/>
      <c r="AO16" s="128"/>
      <c r="AP16" s="128"/>
      <c r="AQ16" s="128"/>
      <c r="AR16" s="128"/>
      <c r="AS16" s="128"/>
      <c r="AT16" s="128"/>
      <c r="AU16" s="128"/>
      <c r="AV16" s="128"/>
      <c r="AW16" s="128"/>
      <c r="AX16" s="128"/>
      <c r="AY16" s="128"/>
      <c r="AZ16" s="128"/>
      <c r="BA16" s="128"/>
      <c r="BB16" s="128"/>
      <c r="BC16" s="128"/>
      <c r="BD16" s="128"/>
      <c r="BE16" s="128"/>
      <c r="BF16" s="128"/>
      <c r="BG16" s="128"/>
      <c r="BH16" s="128"/>
      <c r="BI16" s="128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  <c r="CJ16" s="128"/>
      <c r="CK16" s="128"/>
      <c r="CL16" s="128"/>
      <c r="CM16" s="128"/>
      <c r="CN16" s="128"/>
      <c r="CO16" s="128"/>
      <c r="CP16" s="128"/>
      <c r="CQ16" s="128"/>
      <c r="CR16" s="128"/>
      <c r="CS16" s="128"/>
      <c r="CT16" s="128"/>
      <c r="CU16" s="128"/>
      <c r="CV16" s="128"/>
      <c r="CW16" s="128"/>
      <c r="CX16" s="128"/>
      <c r="CY16" s="128"/>
      <c r="CZ16" s="128"/>
      <c r="DA16" s="128"/>
      <c r="DB16" s="128"/>
      <c r="DC16" s="128"/>
      <c r="DD16" s="128"/>
      <c r="DE16" s="128"/>
      <c r="DF16" s="128"/>
      <c r="DG16" s="128"/>
      <c r="DH16" s="128"/>
      <c r="DI16" s="128"/>
      <c r="DJ16" s="128"/>
      <c r="DK16" s="128"/>
      <c r="DL16" s="128"/>
      <c r="DM16" s="128"/>
      <c r="DN16" s="128"/>
      <c r="DO16" s="128"/>
      <c r="DP16" s="128"/>
      <c r="DQ16" s="128"/>
      <c r="DR16" s="128"/>
      <c r="DS16" s="128"/>
      <c r="DT16" s="128"/>
      <c r="DU16" s="128"/>
      <c r="DV16" s="128"/>
      <c r="DW16" s="128"/>
      <c r="DX16" s="128"/>
      <c r="DY16" s="128"/>
      <c r="DZ16" s="128"/>
      <c r="EA16" s="128"/>
    </row>
    <row r="17" ht="14.5">
      <c r="C17" s="130" t="s">
        <v>902</v>
      </c>
      <c r="D17" s="131" t="s">
        <v>903</v>
      </c>
      <c r="E17" s="135" t="s">
        <v>957</v>
      </c>
      <c r="F17" s="96"/>
      <c r="G17" s="97">
        <v>0.040000000000000001</v>
      </c>
      <c r="H17" s="97">
        <v>0.22</v>
      </c>
      <c r="I17" s="96">
        <f t="shared" si="0"/>
        <v>0.048800000000000003</v>
      </c>
      <c r="K17" s="133">
        <f t="shared" si="1"/>
        <v>0.048800000000000003</v>
      </c>
      <c r="L17" s="134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  <c r="Y17" s="134"/>
      <c r="Z17" s="134"/>
      <c r="AA17" s="134"/>
      <c r="AB17" s="134"/>
      <c r="AC17" s="134"/>
      <c r="AD17" s="134"/>
      <c r="AE17" s="134"/>
      <c r="AF17" s="134"/>
      <c r="AG17" s="134"/>
      <c r="AH17" s="134"/>
      <c r="AI17" s="134"/>
      <c r="AJ17" s="134"/>
      <c r="AK17" s="134"/>
      <c r="AL17" s="134"/>
      <c r="AM17" s="134"/>
      <c r="AN17" s="134"/>
      <c r="AO17" s="134"/>
      <c r="AP17" s="134"/>
      <c r="AQ17" s="134"/>
      <c r="AR17" s="134"/>
      <c r="AS17" s="134"/>
      <c r="AT17" s="134"/>
      <c r="AU17" s="134"/>
      <c r="AV17" s="134"/>
      <c r="AW17" s="134"/>
      <c r="AX17" s="134"/>
      <c r="AY17" s="134"/>
      <c r="AZ17" s="134"/>
      <c r="BA17" s="134"/>
      <c r="BB17" s="134"/>
      <c r="BC17" s="134"/>
      <c r="BD17" s="134"/>
      <c r="BE17" s="134"/>
      <c r="BF17" s="134"/>
      <c r="BG17" s="134"/>
      <c r="BH17" s="134"/>
      <c r="BI17" s="134"/>
      <c r="BJ17" s="134"/>
      <c r="BK17" s="134"/>
      <c r="BL17" s="134"/>
      <c r="BM17" s="134"/>
      <c r="BN17" s="134"/>
      <c r="BO17" s="134"/>
      <c r="BP17" s="134"/>
      <c r="BQ17" s="134"/>
      <c r="BR17" s="134"/>
      <c r="BS17" s="134"/>
      <c r="BT17" s="134"/>
      <c r="BU17" s="134"/>
      <c r="BV17" s="134"/>
      <c r="BW17" s="134"/>
      <c r="BX17" s="134"/>
      <c r="BY17" s="134"/>
      <c r="BZ17" s="134"/>
      <c r="CA17" s="134"/>
      <c r="CB17" s="134"/>
      <c r="CC17" s="134"/>
      <c r="CD17" s="134"/>
      <c r="CE17" s="134"/>
      <c r="CF17" s="134"/>
      <c r="CG17" s="134"/>
      <c r="CH17" s="134"/>
      <c r="CI17" s="134"/>
      <c r="CJ17" s="134"/>
      <c r="CK17" s="134"/>
      <c r="CL17" s="134"/>
      <c r="CM17" s="134"/>
      <c r="CN17" s="134"/>
      <c r="CO17" s="134"/>
      <c r="CP17" s="134"/>
      <c r="CQ17" s="134"/>
      <c r="CR17" s="134"/>
      <c r="CS17" s="134"/>
      <c r="CT17" s="134"/>
      <c r="CU17" s="134"/>
      <c r="CV17" s="134"/>
      <c r="CW17" s="134"/>
      <c r="CX17" s="134"/>
      <c r="CY17" s="134"/>
      <c r="CZ17" s="134"/>
      <c r="DA17" s="134"/>
      <c r="DB17" s="134"/>
      <c r="DC17" s="134"/>
      <c r="DD17" s="134"/>
      <c r="DE17" s="134"/>
      <c r="DF17" s="134"/>
      <c r="DG17" s="134"/>
      <c r="DH17" s="134"/>
      <c r="DI17" s="134"/>
      <c r="DJ17" s="134"/>
      <c r="DK17" s="134"/>
      <c r="DL17" s="134"/>
      <c r="DM17" s="134"/>
      <c r="DN17" s="134"/>
      <c r="DO17" s="134"/>
      <c r="DP17" s="134"/>
      <c r="DQ17" s="134"/>
      <c r="DR17" s="134"/>
      <c r="DS17" s="134"/>
      <c r="DT17" s="134"/>
      <c r="DU17" s="134"/>
      <c r="DV17" s="134"/>
      <c r="DW17" s="134"/>
      <c r="DX17" s="134"/>
      <c r="DY17" s="134"/>
      <c r="DZ17" s="134"/>
      <c r="EA17" s="134"/>
    </row>
    <row r="18" ht="14.5">
      <c r="C18" s="130" t="s">
        <v>902</v>
      </c>
      <c r="D18" s="131" t="s">
        <v>904</v>
      </c>
      <c r="E18" s="135" t="s">
        <v>957</v>
      </c>
      <c r="F18" s="96"/>
      <c r="G18" s="97">
        <v>0.040000000000000001</v>
      </c>
      <c r="H18" s="97">
        <v>0.22</v>
      </c>
      <c r="I18" s="96">
        <f t="shared" si="0"/>
        <v>0.048800000000000003</v>
      </c>
      <c r="K18" s="133">
        <f t="shared" si="1"/>
        <v>0.048800000000000003</v>
      </c>
      <c r="L18" s="134"/>
      <c r="M18" s="134"/>
      <c r="N18" s="134"/>
      <c r="O18" s="134"/>
      <c r="P18" s="134"/>
      <c r="Q18" s="134"/>
      <c r="R18" s="134"/>
      <c r="S18" s="134"/>
      <c r="T18" s="134"/>
      <c r="U18" s="134"/>
      <c r="V18" s="134"/>
      <c r="W18" s="134"/>
      <c r="X18" s="134"/>
      <c r="Y18" s="134"/>
      <c r="Z18" s="134"/>
      <c r="AA18" s="134"/>
      <c r="AB18" s="134"/>
      <c r="AC18" s="134"/>
      <c r="AD18" s="134"/>
      <c r="AE18" s="134"/>
      <c r="AF18" s="134"/>
      <c r="AG18" s="134"/>
      <c r="AH18" s="134"/>
      <c r="AI18" s="134"/>
      <c r="AJ18" s="134"/>
      <c r="AK18" s="134"/>
      <c r="AL18" s="134"/>
      <c r="AM18" s="134"/>
      <c r="AN18" s="134"/>
      <c r="AO18" s="134"/>
      <c r="AP18" s="134"/>
      <c r="AQ18" s="134"/>
      <c r="AR18" s="134"/>
      <c r="AS18" s="134"/>
      <c r="AT18" s="134"/>
      <c r="AU18" s="134"/>
      <c r="AV18" s="134"/>
      <c r="AW18" s="134"/>
      <c r="AX18" s="134"/>
      <c r="AY18" s="134"/>
      <c r="AZ18" s="134"/>
      <c r="BA18" s="134"/>
      <c r="BB18" s="134"/>
      <c r="BC18" s="134"/>
      <c r="BD18" s="134"/>
      <c r="BE18" s="134"/>
      <c r="BF18" s="134"/>
      <c r="BG18" s="134"/>
      <c r="BH18" s="134"/>
      <c r="BI18" s="134"/>
      <c r="BJ18" s="134"/>
      <c r="BK18" s="134"/>
      <c r="BL18" s="134"/>
      <c r="BM18" s="134"/>
      <c r="BN18" s="134"/>
      <c r="BO18" s="134"/>
      <c r="BP18" s="134"/>
      <c r="BQ18" s="134"/>
      <c r="BR18" s="134"/>
      <c r="BS18" s="134"/>
      <c r="BT18" s="134"/>
      <c r="BU18" s="134"/>
      <c r="BV18" s="134"/>
      <c r="BW18" s="134"/>
      <c r="BX18" s="134"/>
      <c r="BY18" s="134"/>
      <c r="BZ18" s="134"/>
      <c r="CA18" s="134"/>
      <c r="CB18" s="134"/>
      <c r="CC18" s="134"/>
      <c r="CD18" s="134"/>
      <c r="CE18" s="134"/>
      <c r="CF18" s="134"/>
      <c r="CG18" s="134"/>
      <c r="CH18" s="134"/>
      <c r="CI18" s="134"/>
      <c r="CJ18" s="134"/>
      <c r="CK18" s="134"/>
      <c r="CL18" s="134"/>
      <c r="CM18" s="134"/>
      <c r="CN18" s="134"/>
      <c r="CO18" s="134"/>
      <c r="CP18" s="134"/>
      <c r="CQ18" s="134"/>
      <c r="CR18" s="134"/>
      <c r="CS18" s="134"/>
      <c r="CT18" s="134"/>
      <c r="CU18" s="134"/>
      <c r="CV18" s="134"/>
      <c r="CW18" s="134"/>
      <c r="CX18" s="134"/>
      <c r="CY18" s="134"/>
      <c r="CZ18" s="134"/>
      <c r="DA18" s="134"/>
      <c r="DB18" s="134"/>
      <c r="DC18" s="134"/>
      <c r="DD18" s="134"/>
      <c r="DE18" s="134"/>
      <c r="DF18" s="134"/>
      <c r="DG18" s="134"/>
      <c r="DH18" s="134"/>
      <c r="DI18" s="134"/>
      <c r="DJ18" s="134"/>
      <c r="DK18" s="134"/>
      <c r="DL18" s="134"/>
      <c r="DM18" s="134"/>
      <c r="DN18" s="134"/>
      <c r="DO18" s="134"/>
      <c r="DP18" s="134"/>
      <c r="DQ18" s="134"/>
      <c r="DR18" s="134"/>
      <c r="DS18" s="134"/>
      <c r="DT18" s="134"/>
      <c r="DU18" s="134"/>
      <c r="DV18" s="134"/>
      <c r="DW18" s="134"/>
      <c r="DX18" s="134"/>
      <c r="DY18" s="134"/>
      <c r="DZ18" s="134"/>
      <c r="EA18" s="134"/>
    </row>
    <row r="19" ht="14.5">
      <c r="C19" s="130" t="s">
        <v>902</v>
      </c>
      <c r="D19" s="131" t="s">
        <v>905</v>
      </c>
      <c r="E19" s="135" t="s">
        <v>958</v>
      </c>
      <c r="F19" s="96"/>
      <c r="G19" s="97"/>
      <c r="H19" s="97"/>
      <c r="I19" s="96">
        <f t="shared" si="0"/>
        <v>0</v>
      </c>
      <c r="K19" s="133">
        <f t="shared" si="1"/>
        <v>0</v>
      </c>
      <c r="L19" s="134"/>
      <c r="M19" s="134"/>
      <c r="N19" s="134"/>
      <c r="O19" s="134"/>
      <c r="P19" s="134"/>
      <c r="Q19" s="134"/>
      <c r="R19" s="134"/>
      <c r="S19" s="134"/>
      <c r="T19" s="134"/>
      <c r="U19" s="134"/>
      <c r="V19" s="134"/>
      <c r="W19" s="134"/>
      <c r="X19" s="134"/>
      <c r="Y19" s="134"/>
      <c r="Z19" s="134"/>
      <c r="AA19" s="134"/>
      <c r="AB19" s="134"/>
      <c r="AC19" s="134"/>
      <c r="AD19" s="134"/>
      <c r="AE19" s="134"/>
      <c r="AF19" s="134"/>
      <c r="AG19" s="134"/>
      <c r="AH19" s="134"/>
      <c r="AI19" s="134"/>
      <c r="AJ19" s="134"/>
      <c r="AK19" s="134"/>
      <c r="AL19" s="134"/>
      <c r="AM19" s="134"/>
      <c r="AN19" s="134"/>
      <c r="AO19" s="134"/>
      <c r="AP19" s="134"/>
      <c r="AQ19" s="134"/>
      <c r="AR19" s="134"/>
      <c r="AS19" s="134"/>
      <c r="AT19" s="134"/>
      <c r="AU19" s="134"/>
      <c r="AV19" s="134"/>
      <c r="AW19" s="134"/>
      <c r="AX19" s="134"/>
      <c r="AY19" s="134"/>
      <c r="AZ19" s="134"/>
      <c r="BA19" s="134"/>
      <c r="BB19" s="134"/>
      <c r="BC19" s="134"/>
      <c r="BD19" s="134"/>
      <c r="BE19" s="134"/>
      <c r="BF19" s="134"/>
      <c r="BG19" s="134"/>
      <c r="BH19" s="134"/>
      <c r="BI19" s="134"/>
      <c r="BJ19" s="134"/>
      <c r="BK19" s="134"/>
      <c r="BL19" s="134"/>
      <c r="BM19" s="134"/>
      <c r="BN19" s="134"/>
      <c r="BO19" s="134"/>
      <c r="BP19" s="134"/>
      <c r="BQ19" s="134"/>
      <c r="BR19" s="134"/>
      <c r="BS19" s="134"/>
      <c r="BT19" s="134"/>
      <c r="BU19" s="134"/>
      <c r="BV19" s="134"/>
      <c r="BW19" s="134"/>
      <c r="BX19" s="134"/>
      <c r="BY19" s="134"/>
      <c r="BZ19" s="134"/>
      <c r="CA19" s="134"/>
      <c r="CB19" s="134"/>
      <c r="CC19" s="134"/>
      <c r="CD19" s="134"/>
      <c r="CE19" s="134"/>
      <c r="CF19" s="134"/>
      <c r="CG19" s="134"/>
      <c r="CH19" s="134"/>
      <c r="CI19" s="134"/>
      <c r="CJ19" s="134"/>
      <c r="CK19" s="134"/>
      <c r="CL19" s="134"/>
      <c r="CM19" s="134"/>
      <c r="CN19" s="134"/>
      <c r="CO19" s="134"/>
      <c r="CP19" s="134"/>
      <c r="CQ19" s="134"/>
      <c r="CR19" s="134"/>
      <c r="CS19" s="134"/>
      <c r="CT19" s="134"/>
      <c r="CU19" s="134"/>
      <c r="CV19" s="134"/>
      <c r="CW19" s="134"/>
      <c r="CX19" s="134"/>
      <c r="CY19" s="134"/>
      <c r="CZ19" s="134"/>
      <c r="DA19" s="134"/>
      <c r="DB19" s="134"/>
      <c r="DC19" s="134"/>
      <c r="DD19" s="134"/>
      <c r="DE19" s="134"/>
      <c r="DF19" s="134"/>
      <c r="DG19" s="134"/>
      <c r="DH19" s="134"/>
      <c r="DI19" s="134"/>
      <c r="DJ19" s="134"/>
      <c r="DK19" s="134"/>
      <c r="DL19" s="134"/>
      <c r="DM19" s="134"/>
      <c r="DN19" s="134"/>
      <c r="DO19" s="134"/>
      <c r="DP19" s="134"/>
      <c r="DQ19" s="134"/>
      <c r="DR19" s="134"/>
      <c r="DS19" s="134"/>
      <c r="DT19" s="134"/>
      <c r="DU19" s="134"/>
      <c r="DV19" s="134"/>
      <c r="DW19" s="134"/>
      <c r="DX19" s="134"/>
      <c r="DY19" s="134"/>
      <c r="DZ19" s="134"/>
      <c r="EA19" s="134"/>
    </row>
    <row r="20" ht="14.5">
      <c r="C20" s="130" t="s">
        <v>902</v>
      </c>
      <c r="D20" s="131" t="s">
        <v>906</v>
      </c>
      <c r="E20" s="135" t="s">
        <v>958</v>
      </c>
      <c r="F20" s="96"/>
      <c r="G20" s="97"/>
      <c r="H20" s="97"/>
      <c r="I20" s="96">
        <f t="shared" si="0"/>
        <v>0</v>
      </c>
      <c r="K20" s="133">
        <f t="shared" si="1"/>
        <v>0</v>
      </c>
      <c r="L20" s="134"/>
      <c r="M20" s="134"/>
      <c r="N20" s="134"/>
      <c r="O20" s="134"/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/>
      <c r="AA20" s="134"/>
      <c r="AB20" s="134"/>
      <c r="AC20" s="134"/>
      <c r="AD20" s="134"/>
      <c r="AE20" s="134"/>
      <c r="AF20" s="134"/>
      <c r="AG20" s="134"/>
      <c r="AH20" s="134"/>
      <c r="AI20" s="134"/>
      <c r="AJ20" s="134"/>
      <c r="AK20" s="134"/>
      <c r="AL20" s="134"/>
      <c r="AM20" s="134"/>
      <c r="AN20" s="134"/>
      <c r="AO20" s="134"/>
      <c r="AP20" s="134"/>
      <c r="AQ20" s="134"/>
      <c r="AR20" s="134"/>
      <c r="AS20" s="134"/>
      <c r="AT20" s="134"/>
      <c r="AU20" s="134"/>
      <c r="AV20" s="134"/>
      <c r="AW20" s="134"/>
      <c r="AX20" s="134"/>
      <c r="AY20" s="134"/>
      <c r="AZ20" s="134"/>
      <c r="BA20" s="134"/>
      <c r="BB20" s="134"/>
      <c r="BC20" s="134"/>
      <c r="BD20" s="134"/>
      <c r="BE20" s="134"/>
      <c r="BF20" s="134"/>
      <c r="BG20" s="134"/>
      <c r="BH20" s="134"/>
      <c r="BI20" s="134"/>
      <c r="BJ20" s="134"/>
      <c r="BK20" s="134"/>
      <c r="BL20" s="134"/>
      <c r="BM20" s="134"/>
      <c r="BN20" s="134"/>
      <c r="BO20" s="134"/>
      <c r="BP20" s="134"/>
      <c r="BQ20" s="134"/>
      <c r="BR20" s="134"/>
      <c r="BS20" s="134"/>
      <c r="BT20" s="134"/>
      <c r="BU20" s="134"/>
      <c r="BV20" s="134"/>
      <c r="BW20" s="134"/>
      <c r="BX20" s="134"/>
      <c r="BY20" s="134"/>
      <c r="BZ20" s="134"/>
      <c r="CA20" s="134"/>
      <c r="CB20" s="134"/>
      <c r="CC20" s="134"/>
      <c r="CD20" s="134"/>
      <c r="CE20" s="134"/>
      <c r="CF20" s="134"/>
      <c r="CG20" s="134"/>
      <c r="CH20" s="134"/>
      <c r="CI20" s="134"/>
      <c r="CJ20" s="134"/>
      <c r="CK20" s="134"/>
      <c r="CL20" s="134"/>
      <c r="CM20" s="134"/>
      <c r="CN20" s="134"/>
      <c r="CO20" s="134"/>
      <c r="CP20" s="134"/>
      <c r="CQ20" s="134"/>
      <c r="CR20" s="134"/>
      <c r="CS20" s="134"/>
      <c r="CT20" s="134"/>
      <c r="CU20" s="134"/>
      <c r="CV20" s="134"/>
      <c r="CW20" s="134"/>
      <c r="CX20" s="134"/>
      <c r="CY20" s="134"/>
      <c r="CZ20" s="134"/>
      <c r="DA20" s="134"/>
      <c r="DB20" s="134"/>
      <c r="DC20" s="134"/>
      <c r="DD20" s="134"/>
      <c r="DE20" s="134"/>
      <c r="DF20" s="134"/>
      <c r="DG20" s="134"/>
      <c r="DH20" s="134"/>
      <c r="DI20" s="134"/>
      <c r="DJ20" s="134"/>
      <c r="DK20" s="134"/>
      <c r="DL20" s="134"/>
      <c r="DM20" s="134"/>
      <c r="DN20" s="134"/>
      <c r="DO20" s="134"/>
      <c r="DP20" s="134"/>
      <c r="DQ20" s="134"/>
      <c r="DR20" s="134"/>
      <c r="DS20" s="134"/>
      <c r="DT20" s="134"/>
      <c r="DU20" s="134"/>
      <c r="DV20" s="134"/>
      <c r="DW20" s="134"/>
      <c r="DX20" s="134"/>
      <c r="DY20" s="134"/>
      <c r="DZ20" s="134"/>
      <c r="EA20" s="134"/>
    </row>
    <row r="21" ht="14.5">
      <c r="C21" s="130" t="s">
        <v>902</v>
      </c>
      <c r="D21" s="131" t="s">
        <v>907</v>
      </c>
      <c r="E21" s="135" t="s">
        <v>958</v>
      </c>
      <c r="F21" s="96"/>
      <c r="G21" s="97"/>
      <c r="H21" s="97"/>
      <c r="I21" s="96">
        <f t="shared" si="0"/>
        <v>0</v>
      </c>
      <c r="K21" s="133">
        <f t="shared" si="1"/>
        <v>0</v>
      </c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4"/>
      <c r="AE21" s="134"/>
      <c r="AF21" s="134"/>
      <c r="AG21" s="134"/>
      <c r="AH21" s="134"/>
      <c r="AI21" s="134"/>
      <c r="AJ21" s="134"/>
      <c r="AK21" s="134"/>
      <c r="AL21" s="134"/>
      <c r="AM21" s="134"/>
      <c r="AN21" s="134"/>
      <c r="AO21" s="134"/>
      <c r="AP21" s="134"/>
      <c r="AQ21" s="134"/>
      <c r="AR21" s="134"/>
      <c r="AS21" s="134"/>
      <c r="AT21" s="134"/>
      <c r="AU21" s="134"/>
      <c r="AV21" s="134"/>
      <c r="AW21" s="134"/>
      <c r="AX21" s="134"/>
      <c r="AY21" s="134"/>
      <c r="AZ21" s="134"/>
      <c r="BA21" s="134"/>
      <c r="BB21" s="134"/>
      <c r="BC21" s="134"/>
      <c r="BD21" s="134"/>
      <c r="BE21" s="134"/>
      <c r="BF21" s="134"/>
      <c r="BG21" s="134"/>
      <c r="BH21" s="134"/>
      <c r="BI21" s="134"/>
      <c r="BJ21" s="134"/>
      <c r="BK21" s="134"/>
      <c r="BL21" s="134"/>
      <c r="BM21" s="134"/>
      <c r="BN21" s="134"/>
      <c r="BO21" s="134"/>
      <c r="BP21" s="134"/>
      <c r="BQ21" s="134"/>
      <c r="BR21" s="134"/>
      <c r="BS21" s="134"/>
      <c r="BT21" s="134"/>
      <c r="BU21" s="134"/>
      <c r="BV21" s="134"/>
      <c r="BW21" s="134"/>
      <c r="BX21" s="134"/>
      <c r="BY21" s="134"/>
      <c r="BZ21" s="134"/>
      <c r="CA21" s="134"/>
      <c r="CB21" s="134"/>
      <c r="CC21" s="134"/>
      <c r="CD21" s="134"/>
      <c r="CE21" s="134"/>
      <c r="CF21" s="134"/>
      <c r="CG21" s="134"/>
      <c r="CH21" s="134"/>
      <c r="CI21" s="134"/>
      <c r="CJ21" s="134"/>
      <c r="CK21" s="134"/>
      <c r="CL21" s="134"/>
      <c r="CM21" s="134"/>
      <c r="CN21" s="134"/>
      <c r="CO21" s="134"/>
      <c r="CP21" s="134"/>
      <c r="CQ21" s="134"/>
      <c r="CR21" s="134"/>
      <c r="CS21" s="134"/>
      <c r="CT21" s="134"/>
      <c r="CU21" s="134"/>
      <c r="CV21" s="134"/>
      <c r="CW21" s="134"/>
      <c r="CX21" s="134"/>
      <c r="CY21" s="134"/>
      <c r="CZ21" s="134"/>
      <c r="DA21" s="134"/>
      <c r="DB21" s="134"/>
      <c r="DC21" s="134"/>
      <c r="DD21" s="134"/>
      <c r="DE21" s="134"/>
      <c r="DF21" s="134"/>
      <c r="DG21" s="134"/>
      <c r="DH21" s="134"/>
      <c r="DI21" s="134"/>
      <c r="DJ21" s="134"/>
      <c r="DK21" s="134"/>
      <c r="DL21" s="134"/>
      <c r="DM21" s="134"/>
      <c r="DN21" s="134"/>
      <c r="DO21" s="134"/>
      <c r="DP21" s="134"/>
      <c r="DQ21" s="134"/>
      <c r="DR21" s="134"/>
      <c r="DS21" s="134"/>
      <c r="DT21" s="134"/>
      <c r="DU21" s="134"/>
      <c r="DV21" s="134"/>
      <c r="DW21" s="134"/>
      <c r="DX21" s="134"/>
      <c r="DY21" s="134"/>
      <c r="DZ21" s="134"/>
      <c r="EA21" s="134"/>
    </row>
    <row r="22" ht="14.5">
      <c r="C22" s="130" t="s">
        <v>902</v>
      </c>
      <c r="D22" s="131" t="s">
        <v>908</v>
      </c>
      <c r="E22" s="135" t="s">
        <v>959</v>
      </c>
      <c r="F22" s="96"/>
      <c r="G22" s="97"/>
      <c r="H22" s="97"/>
      <c r="I22" s="96">
        <f t="shared" si="0"/>
        <v>0</v>
      </c>
      <c r="K22" s="133">
        <f t="shared" si="1"/>
        <v>0</v>
      </c>
      <c r="L22" s="134"/>
      <c r="M22" s="134"/>
      <c r="N22" s="134"/>
      <c r="O22" s="134"/>
      <c r="P22" s="134"/>
      <c r="Q22" s="134"/>
      <c r="R22" s="134"/>
      <c r="S22" s="134"/>
      <c r="T22" s="134"/>
      <c r="U22" s="134"/>
      <c r="V22" s="134"/>
      <c r="W22" s="134"/>
      <c r="X22" s="134"/>
      <c r="Y22" s="134"/>
      <c r="Z22" s="134"/>
      <c r="AA22" s="134"/>
      <c r="AB22" s="134"/>
      <c r="AC22" s="134"/>
      <c r="AD22" s="134"/>
      <c r="AE22" s="134"/>
      <c r="AF22" s="134"/>
      <c r="AG22" s="134"/>
      <c r="AH22" s="134"/>
      <c r="AI22" s="134"/>
      <c r="AJ22" s="134"/>
      <c r="AK22" s="134"/>
      <c r="AL22" s="134"/>
      <c r="AM22" s="134"/>
      <c r="AN22" s="134"/>
      <c r="AO22" s="134"/>
      <c r="AP22" s="134"/>
      <c r="AQ22" s="134"/>
      <c r="AR22" s="134"/>
      <c r="AS22" s="134"/>
      <c r="AT22" s="134"/>
      <c r="AU22" s="134"/>
      <c r="AV22" s="134"/>
      <c r="AW22" s="134"/>
      <c r="AX22" s="134"/>
      <c r="AY22" s="134"/>
      <c r="AZ22" s="134"/>
      <c r="BA22" s="134"/>
      <c r="BB22" s="134"/>
      <c r="BC22" s="134"/>
      <c r="BD22" s="134"/>
      <c r="BE22" s="134"/>
      <c r="BF22" s="134"/>
      <c r="BG22" s="134"/>
      <c r="BH22" s="134"/>
      <c r="BI22" s="134"/>
      <c r="BJ22" s="134"/>
      <c r="BK22" s="134"/>
      <c r="BL22" s="134"/>
      <c r="BM22" s="134"/>
      <c r="BN22" s="134"/>
      <c r="BO22" s="134"/>
      <c r="BP22" s="134"/>
      <c r="BQ22" s="134"/>
      <c r="BR22" s="134"/>
      <c r="BS22" s="134"/>
      <c r="BT22" s="134"/>
      <c r="BU22" s="134"/>
      <c r="BV22" s="134"/>
      <c r="BW22" s="134"/>
      <c r="BX22" s="134"/>
      <c r="BY22" s="134"/>
      <c r="BZ22" s="134"/>
      <c r="CA22" s="134"/>
      <c r="CB22" s="134"/>
      <c r="CC22" s="134"/>
      <c r="CD22" s="134"/>
      <c r="CE22" s="134"/>
      <c r="CF22" s="134"/>
      <c r="CG22" s="134"/>
      <c r="CH22" s="134"/>
      <c r="CI22" s="134"/>
      <c r="CJ22" s="134"/>
      <c r="CK22" s="134"/>
      <c r="CL22" s="134"/>
      <c r="CM22" s="134"/>
      <c r="CN22" s="134"/>
      <c r="CO22" s="134"/>
      <c r="CP22" s="134"/>
      <c r="CQ22" s="134"/>
      <c r="CR22" s="134"/>
      <c r="CS22" s="134"/>
      <c r="CT22" s="134"/>
      <c r="CU22" s="134"/>
      <c r="CV22" s="134"/>
      <c r="CW22" s="134"/>
      <c r="CX22" s="134"/>
      <c r="CY22" s="134"/>
      <c r="CZ22" s="134"/>
      <c r="DA22" s="134"/>
      <c r="DB22" s="134"/>
      <c r="DC22" s="134"/>
      <c r="DD22" s="134"/>
      <c r="DE22" s="134"/>
      <c r="DF22" s="134"/>
      <c r="DG22" s="134"/>
      <c r="DH22" s="134"/>
      <c r="DI22" s="134"/>
      <c r="DJ22" s="134"/>
      <c r="DK22" s="134"/>
      <c r="DL22" s="134"/>
      <c r="DM22" s="134"/>
      <c r="DN22" s="134"/>
      <c r="DO22" s="134"/>
      <c r="DP22" s="134"/>
      <c r="DQ22" s="134"/>
      <c r="DR22" s="134"/>
      <c r="DS22" s="134"/>
      <c r="DT22" s="134"/>
      <c r="DU22" s="134"/>
      <c r="DV22" s="134"/>
      <c r="DW22" s="134"/>
      <c r="DX22" s="134"/>
      <c r="DY22" s="134"/>
      <c r="DZ22" s="134"/>
      <c r="EA22" s="134"/>
    </row>
    <row r="23" ht="14.5">
      <c r="C23" s="130" t="s">
        <v>902</v>
      </c>
      <c r="D23" s="131" t="s">
        <v>909</v>
      </c>
      <c r="E23" s="135"/>
      <c r="F23" s="96"/>
      <c r="G23" s="97"/>
      <c r="H23" s="97"/>
      <c r="I23" s="138"/>
      <c r="K23" s="133">
        <f t="shared" si="1"/>
        <v>0</v>
      </c>
      <c r="L23" s="134"/>
      <c r="M23" s="134"/>
      <c r="N23" s="134"/>
      <c r="O23" s="134"/>
      <c r="P23" s="134"/>
      <c r="Q23" s="134"/>
      <c r="R23" s="134"/>
      <c r="S23" s="134"/>
      <c r="T23" s="134"/>
      <c r="U23" s="134"/>
      <c r="V23" s="134"/>
      <c r="W23" s="134"/>
      <c r="X23" s="134"/>
      <c r="Y23" s="134"/>
      <c r="Z23" s="134"/>
      <c r="AA23" s="134"/>
      <c r="AB23" s="134"/>
      <c r="AC23" s="134"/>
      <c r="AD23" s="134"/>
      <c r="AE23" s="134"/>
      <c r="AF23" s="134"/>
      <c r="AG23" s="134"/>
      <c r="AH23" s="134"/>
      <c r="AI23" s="134"/>
      <c r="AJ23" s="134"/>
      <c r="AK23" s="134"/>
      <c r="AL23" s="134"/>
      <c r="AM23" s="134"/>
      <c r="AN23" s="134"/>
      <c r="AO23" s="134"/>
      <c r="AP23" s="134"/>
      <c r="AQ23" s="134"/>
      <c r="AR23" s="134"/>
      <c r="AS23" s="134"/>
      <c r="AT23" s="134"/>
      <c r="AU23" s="134"/>
      <c r="AV23" s="134"/>
      <c r="AW23" s="134"/>
      <c r="AX23" s="134"/>
      <c r="AY23" s="134"/>
      <c r="AZ23" s="134"/>
      <c r="BA23" s="134"/>
      <c r="BB23" s="134"/>
      <c r="BC23" s="134"/>
      <c r="BD23" s="134"/>
      <c r="BE23" s="134"/>
      <c r="BF23" s="134"/>
      <c r="BG23" s="134"/>
      <c r="BH23" s="134"/>
      <c r="BI23" s="134"/>
      <c r="BJ23" s="134"/>
      <c r="BK23" s="134"/>
      <c r="BL23" s="134"/>
      <c r="BM23" s="134"/>
      <c r="BN23" s="134"/>
      <c r="BO23" s="134"/>
      <c r="BP23" s="134"/>
      <c r="BQ23" s="134"/>
      <c r="BR23" s="134"/>
      <c r="BS23" s="134"/>
      <c r="BT23" s="134"/>
      <c r="BU23" s="134"/>
      <c r="BV23" s="134"/>
      <c r="BW23" s="134"/>
      <c r="BX23" s="134"/>
      <c r="BY23" s="134"/>
      <c r="BZ23" s="134"/>
      <c r="CA23" s="134"/>
      <c r="CB23" s="134"/>
      <c r="CC23" s="134"/>
      <c r="CD23" s="134"/>
      <c r="CE23" s="134"/>
      <c r="CF23" s="134"/>
      <c r="CG23" s="134"/>
      <c r="CH23" s="134"/>
      <c r="CI23" s="134"/>
      <c r="CJ23" s="134"/>
      <c r="CK23" s="134"/>
      <c r="CL23" s="134"/>
      <c r="CM23" s="134"/>
      <c r="CN23" s="134"/>
      <c r="CO23" s="134"/>
      <c r="CP23" s="134"/>
      <c r="CQ23" s="134"/>
      <c r="CR23" s="134"/>
      <c r="CS23" s="134"/>
      <c r="CT23" s="134"/>
      <c r="CU23" s="134"/>
      <c r="CV23" s="134"/>
      <c r="CW23" s="134"/>
      <c r="CX23" s="134"/>
      <c r="CY23" s="134"/>
      <c r="CZ23" s="134"/>
      <c r="DA23" s="134"/>
      <c r="DB23" s="134"/>
      <c r="DC23" s="134"/>
      <c r="DD23" s="134"/>
      <c r="DE23" s="134"/>
      <c r="DF23" s="134"/>
      <c r="DG23" s="134"/>
      <c r="DH23" s="134"/>
      <c r="DI23" s="134"/>
      <c r="DJ23" s="134"/>
      <c r="DK23" s="134"/>
      <c r="DL23" s="134"/>
      <c r="DM23" s="134"/>
      <c r="DN23" s="134"/>
      <c r="DO23" s="134"/>
      <c r="DP23" s="134"/>
      <c r="DQ23" s="134"/>
      <c r="DR23" s="134"/>
      <c r="DS23" s="134"/>
      <c r="DT23" s="134"/>
      <c r="DU23" s="134"/>
      <c r="DV23" s="134"/>
      <c r="DW23" s="134"/>
      <c r="DX23" s="134"/>
      <c r="DY23" s="134"/>
      <c r="DZ23" s="134"/>
      <c r="EA23" s="134"/>
    </row>
    <row r="24" ht="14.5">
      <c r="C24" s="130" t="s">
        <v>902</v>
      </c>
      <c r="D24" s="131" t="s">
        <v>910</v>
      </c>
      <c r="E24" s="135"/>
      <c r="F24" s="96"/>
      <c r="G24" s="97"/>
      <c r="H24" s="97"/>
      <c r="I24" s="138"/>
      <c r="K24" s="133">
        <f t="shared" si="1"/>
        <v>0</v>
      </c>
      <c r="L24" s="134"/>
      <c r="M24" s="134"/>
      <c r="N24" s="134"/>
      <c r="O24" s="134"/>
      <c r="P24" s="134"/>
      <c r="Q24" s="134"/>
      <c r="R24" s="134"/>
      <c r="S24" s="134"/>
      <c r="T24" s="134"/>
      <c r="U24" s="134"/>
      <c r="V24" s="134"/>
      <c r="W24" s="134"/>
      <c r="X24" s="134"/>
      <c r="Y24" s="134"/>
      <c r="Z24" s="134"/>
      <c r="AA24" s="134"/>
      <c r="AB24" s="134"/>
      <c r="AC24" s="134"/>
      <c r="AD24" s="134"/>
      <c r="AE24" s="134"/>
      <c r="AF24" s="134"/>
      <c r="AG24" s="134"/>
      <c r="AH24" s="134"/>
      <c r="AI24" s="134"/>
      <c r="AJ24" s="134"/>
      <c r="AK24" s="134"/>
      <c r="AL24" s="134"/>
      <c r="AM24" s="134"/>
      <c r="AN24" s="134"/>
      <c r="AO24" s="134"/>
      <c r="AP24" s="134"/>
      <c r="AQ24" s="134"/>
      <c r="AR24" s="134"/>
      <c r="AS24" s="134"/>
      <c r="AT24" s="134"/>
      <c r="AU24" s="134"/>
      <c r="AV24" s="134"/>
      <c r="AW24" s="134"/>
      <c r="AX24" s="134"/>
      <c r="AY24" s="134"/>
      <c r="AZ24" s="134"/>
      <c r="BA24" s="134"/>
      <c r="BB24" s="134"/>
      <c r="BC24" s="134"/>
      <c r="BD24" s="134"/>
      <c r="BE24" s="134"/>
      <c r="BF24" s="134"/>
      <c r="BG24" s="134"/>
      <c r="BH24" s="134"/>
      <c r="BI24" s="134"/>
      <c r="BJ24" s="134"/>
      <c r="BK24" s="134"/>
      <c r="BL24" s="134"/>
      <c r="BM24" s="134"/>
      <c r="BN24" s="134"/>
      <c r="BO24" s="134"/>
      <c r="BP24" s="134"/>
      <c r="BQ24" s="134"/>
      <c r="BR24" s="134"/>
      <c r="BS24" s="134"/>
      <c r="BT24" s="134"/>
      <c r="BU24" s="134"/>
      <c r="BV24" s="134"/>
      <c r="BW24" s="134"/>
      <c r="BX24" s="134"/>
      <c r="BY24" s="134"/>
      <c r="BZ24" s="134"/>
      <c r="CA24" s="134"/>
      <c r="CB24" s="134"/>
      <c r="CC24" s="134"/>
      <c r="CD24" s="134"/>
      <c r="CE24" s="134"/>
      <c r="CF24" s="134"/>
      <c r="CG24" s="134"/>
      <c r="CH24" s="134"/>
      <c r="CI24" s="134"/>
      <c r="CJ24" s="134"/>
      <c r="CK24" s="134"/>
      <c r="CL24" s="134"/>
      <c r="CM24" s="134"/>
      <c r="CN24" s="134"/>
      <c r="CO24" s="134"/>
      <c r="CP24" s="134"/>
      <c r="CQ24" s="134"/>
      <c r="CR24" s="134"/>
      <c r="CS24" s="134"/>
      <c r="CT24" s="134"/>
      <c r="CU24" s="134"/>
      <c r="CV24" s="134"/>
      <c r="CW24" s="134"/>
      <c r="CX24" s="134"/>
      <c r="CY24" s="134"/>
      <c r="CZ24" s="134"/>
      <c r="DA24" s="134"/>
      <c r="DB24" s="134"/>
      <c r="DC24" s="134"/>
      <c r="DD24" s="134"/>
      <c r="DE24" s="134"/>
      <c r="DF24" s="134"/>
      <c r="DG24" s="134"/>
      <c r="DH24" s="134"/>
      <c r="DI24" s="134"/>
      <c r="DJ24" s="134"/>
      <c r="DK24" s="134"/>
      <c r="DL24" s="134"/>
      <c r="DM24" s="134"/>
      <c r="DN24" s="134"/>
      <c r="DO24" s="134"/>
      <c r="DP24" s="134"/>
      <c r="DQ24" s="134"/>
      <c r="DR24" s="134"/>
      <c r="DS24" s="134"/>
      <c r="DT24" s="134"/>
      <c r="DU24" s="134"/>
      <c r="DV24" s="134"/>
      <c r="DW24" s="134"/>
      <c r="DX24" s="134"/>
      <c r="DY24" s="134"/>
      <c r="DZ24" s="134"/>
      <c r="EA24" s="134"/>
    </row>
    <row r="25" ht="14.5">
      <c r="C25" s="130" t="s">
        <v>902</v>
      </c>
      <c r="D25" s="132"/>
      <c r="E25" s="135"/>
      <c r="F25" s="96"/>
      <c r="G25" s="97"/>
      <c r="H25" s="97"/>
      <c r="I25" s="138"/>
      <c r="K25" s="133">
        <f t="shared" si="1"/>
        <v>0</v>
      </c>
      <c r="L25" s="134"/>
      <c r="M25" s="134"/>
      <c r="N25" s="134"/>
      <c r="O25" s="134"/>
      <c r="P25" s="134"/>
      <c r="Q25" s="134"/>
      <c r="R25" s="134"/>
      <c r="S25" s="134"/>
      <c r="T25" s="134"/>
      <c r="U25" s="134"/>
      <c r="V25" s="134"/>
      <c r="W25" s="134"/>
      <c r="X25" s="134"/>
      <c r="Y25" s="134"/>
      <c r="Z25" s="134"/>
      <c r="AA25" s="134"/>
      <c r="AB25" s="134"/>
      <c r="AC25" s="134"/>
      <c r="AD25" s="134"/>
      <c r="AE25" s="134"/>
      <c r="AF25" s="134"/>
      <c r="AG25" s="134"/>
      <c r="AH25" s="134"/>
      <c r="AI25" s="134"/>
      <c r="AJ25" s="134"/>
      <c r="AK25" s="134"/>
      <c r="AL25" s="134"/>
      <c r="AM25" s="134"/>
      <c r="AN25" s="134"/>
      <c r="AO25" s="134"/>
      <c r="AP25" s="134"/>
      <c r="AQ25" s="134"/>
      <c r="AR25" s="134"/>
      <c r="AS25" s="134"/>
      <c r="AT25" s="134"/>
      <c r="AU25" s="134"/>
      <c r="AV25" s="134"/>
      <c r="AW25" s="134"/>
      <c r="AX25" s="134"/>
      <c r="AY25" s="134"/>
      <c r="AZ25" s="134"/>
      <c r="BA25" s="134"/>
      <c r="BB25" s="134"/>
      <c r="BC25" s="134"/>
      <c r="BD25" s="134"/>
      <c r="BE25" s="134"/>
      <c r="BF25" s="134"/>
      <c r="BG25" s="134"/>
      <c r="BH25" s="134"/>
      <c r="BI25" s="134"/>
      <c r="BJ25" s="134"/>
      <c r="BK25" s="134"/>
      <c r="BL25" s="134"/>
      <c r="BM25" s="134"/>
      <c r="BN25" s="134"/>
      <c r="BO25" s="134"/>
      <c r="BP25" s="134"/>
      <c r="BQ25" s="134"/>
      <c r="BR25" s="134"/>
      <c r="BS25" s="134"/>
      <c r="BT25" s="134"/>
      <c r="BU25" s="134"/>
      <c r="BV25" s="134"/>
      <c r="BW25" s="134"/>
      <c r="BX25" s="134"/>
      <c r="BY25" s="134"/>
      <c r="BZ25" s="134"/>
      <c r="CA25" s="134"/>
      <c r="CB25" s="134"/>
      <c r="CC25" s="134"/>
      <c r="CD25" s="134"/>
      <c r="CE25" s="134"/>
      <c r="CF25" s="134"/>
      <c r="CG25" s="134"/>
      <c r="CH25" s="134"/>
      <c r="CI25" s="134"/>
      <c r="CJ25" s="134"/>
      <c r="CK25" s="134"/>
      <c r="CL25" s="134"/>
      <c r="CM25" s="134"/>
      <c r="CN25" s="134"/>
      <c r="CO25" s="134"/>
      <c r="CP25" s="134"/>
      <c r="CQ25" s="134"/>
      <c r="CR25" s="134"/>
      <c r="CS25" s="134"/>
      <c r="CT25" s="134"/>
      <c r="CU25" s="134"/>
      <c r="CV25" s="134"/>
      <c r="CW25" s="134"/>
      <c r="CX25" s="134"/>
      <c r="CY25" s="134"/>
      <c r="CZ25" s="134"/>
      <c r="DA25" s="134"/>
      <c r="DB25" s="134"/>
      <c r="DC25" s="134"/>
      <c r="DD25" s="134"/>
      <c r="DE25" s="134"/>
      <c r="DF25" s="134"/>
      <c r="DG25" s="134"/>
      <c r="DH25" s="134"/>
      <c r="DI25" s="134"/>
      <c r="DJ25" s="134"/>
      <c r="DK25" s="134"/>
      <c r="DL25" s="134"/>
      <c r="DM25" s="134"/>
      <c r="DN25" s="134"/>
      <c r="DO25" s="134"/>
      <c r="DP25" s="134"/>
      <c r="DQ25" s="134"/>
      <c r="DR25" s="134"/>
      <c r="DS25" s="134"/>
      <c r="DT25" s="134"/>
      <c r="DU25" s="134"/>
      <c r="DV25" s="134"/>
      <c r="DW25" s="134"/>
      <c r="DX25" s="134"/>
      <c r="DY25" s="134"/>
      <c r="DZ25" s="134"/>
      <c r="EA25" s="134"/>
    </row>
    <row r="26" ht="14.5">
      <c r="C26" s="135"/>
      <c r="D26" s="135"/>
      <c r="E26" s="135"/>
      <c r="F26" s="104"/>
      <c r="G26" s="104"/>
      <c r="H26" s="136"/>
      <c r="I26" s="109">
        <f t="shared" si="0"/>
        <v>0</v>
      </c>
      <c r="K26" s="133">
        <f t="shared" si="1"/>
        <v>0</v>
      </c>
      <c r="L26" s="134"/>
      <c r="M26" s="134"/>
      <c r="N26" s="134"/>
      <c r="O26" s="134"/>
      <c r="P26" s="134"/>
      <c r="Q26" s="134"/>
      <c r="R26" s="134"/>
      <c r="S26" s="134"/>
      <c r="T26" s="134"/>
      <c r="U26" s="134"/>
      <c r="V26" s="134"/>
      <c r="W26" s="134"/>
      <c r="X26" s="134"/>
      <c r="Y26" s="134"/>
      <c r="Z26" s="134"/>
      <c r="AA26" s="134"/>
      <c r="AB26" s="134"/>
      <c r="AC26" s="134"/>
      <c r="AD26" s="134"/>
      <c r="AE26" s="134"/>
      <c r="AF26" s="134"/>
      <c r="AG26" s="134"/>
      <c r="AH26" s="134"/>
      <c r="AI26" s="134"/>
      <c r="AJ26" s="134"/>
      <c r="AK26" s="134"/>
      <c r="AL26" s="134"/>
      <c r="AM26" s="134"/>
      <c r="AN26" s="134"/>
      <c r="AO26" s="134"/>
      <c r="AP26" s="134"/>
      <c r="AQ26" s="134"/>
      <c r="AR26" s="134"/>
      <c r="AS26" s="134"/>
      <c r="AT26" s="134"/>
      <c r="AU26" s="134"/>
      <c r="AV26" s="134"/>
      <c r="AW26" s="134"/>
      <c r="AX26" s="134"/>
      <c r="AY26" s="134"/>
      <c r="AZ26" s="134"/>
      <c r="BA26" s="134"/>
      <c r="BB26" s="134"/>
      <c r="BC26" s="134"/>
      <c r="BD26" s="134"/>
      <c r="BE26" s="134"/>
      <c r="BF26" s="134"/>
      <c r="BG26" s="134"/>
      <c r="BH26" s="134"/>
      <c r="BI26" s="134"/>
      <c r="BJ26" s="134"/>
      <c r="BK26" s="134"/>
      <c r="BL26" s="134"/>
      <c r="BM26" s="134"/>
      <c r="BN26" s="134"/>
      <c r="BO26" s="134"/>
      <c r="BP26" s="134"/>
      <c r="BQ26" s="134"/>
      <c r="BR26" s="134"/>
      <c r="BS26" s="134"/>
      <c r="BT26" s="134"/>
      <c r="BU26" s="134"/>
      <c r="BV26" s="134"/>
      <c r="BW26" s="134"/>
      <c r="BX26" s="134"/>
      <c r="BY26" s="134"/>
      <c r="BZ26" s="134"/>
      <c r="CA26" s="134"/>
      <c r="CB26" s="134"/>
      <c r="CC26" s="134"/>
      <c r="CD26" s="134"/>
      <c r="CE26" s="134"/>
      <c r="CF26" s="134"/>
      <c r="CG26" s="134"/>
      <c r="CH26" s="134"/>
      <c r="CI26" s="134"/>
      <c r="CJ26" s="134"/>
      <c r="CK26" s="134"/>
      <c r="CL26" s="134"/>
      <c r="CM26" s="134"/>
      <c r="CN26" s="134"/>
      <c r="CO26" s="134"/>
      <c r="CP26" s="134"/>
      <c r="CQ26" s="134"/>
      <c r="CR26" s="134"/>
      <c r="CS26" s="134"/>
      <c r="CT26" s="134"/>
      <c r="CU26" s="134"/>
      <c r="CV26" s="134"/>
      <c r="CW26" s="134"/>
      <c r="CX26" s="134"/>
      <c r="CY26" s="134"/>
      <c r="CZ26" s="134"/>
      <c r="DA26" s="134"/>
      <c r="DB26" s="134"/>
      <c r="DC26" s="134"/>
      <c r="DD26" s="134"/>
      <c r="DE26" s="134"/>
      <c r="DF26" s="134"/>
      <c r="DG26" s="134"/>
      <c r="DH26" s="134"/>
      <c r="DI26" s="134"/>
      <c r="DJ26" s="134"/>
      <c r="DK26" s="134"/>
      <c r="DL26" s="134"/>
      <c r="DM26" s="134"/>
      <c r="DN26" s="134"/>
      <c r="DO26" s="134"/>
      <c r="DP26" s="134"/>
      <c r="DQ26" s="134"/>
      <c r="DR26" s="134"/>
      <c r="DS26" s="134"/>
      <c r="DT26" s="134"/>
      <c r="DU26" s="134"/>
      <c r="DV26" s="134"/>
      <c r="DW26" s="134"/>
      <c r="DX26" s="134"/>
      <c r="DY26" s="134"/>
      <c r="DZ26" s="134"/>
      <c r="EA26" s="134"/>
    </row>
    <row r="27" ht="14.5">
      <c r="C27" s="135"/>
      <c r="D27" s="135"/>
      <c r="E27" s="135"/>
      <c r="F27" s="104"/>
      <c r="G27" s="104"/>
      <c r="H27" s="136"/>
      <c r="I27" s="109">
        <f t="shared" si="0"/>
        <v>0</v>
      </c>
      <c r="K27" s="133">
        <f t="shared" si="1"/>
        <v>0</v>
      </c>
      <c r="L27" s="134"/>
      <c r="M27" s="134"/>
      <c r="N27" s="134"/>
      <c r="O27" s="134"/>
      <c r="P27" s="134"/>
      <c r="Q27" s="134"/>
      <c r="R27" s="134"/>
      <c r="S27" s="134"/>
      <c r="T27" s="134"/>
      <c r="U27" s="134"/>
      <c r="V27" s="134"/>
      <c r="W27" s="134"/>
      <c r="X27" s="134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4"/>
      <c r="AK27" s="134"/>
      <c r="AL27" s="134"/>
      <c r="AM27" s="134"/>
      <c r="AN27" s="134"/>
      <c r="AO27" s="134"/>
      <c r="AP27" s="134"/>
      <c r="AQ27" s="134"/>
      <c r="AR27" s="134"/>
      <c r="AS27" s="134"/>
      <c r="AT27" s="134"/>
      <c r="AU27" s="134"/>
      <c r="AV27" s="134"/>
      <c r="AW27" s="134"/>
      <c r="AX27" s="134"/>
      <c r="AY27" s="134"/>
      <c r="AZ27" s="134"/>
      <c r="BA27" s="134"/>
      <c r="BB27" s="134"/>
      <c r="BC27" s="134"/>
      <c r="BD27" s="134"/>
      <c r="BE27" s="134"/>
      <c r="BF27" s="134"/>
      <c r="BG27" s="134"/>
      <c r="BH27" s="134"/>
      <c r="BI27" s="134"/>
      <c r="BJ27" s="134"/>
      <c r="BK27" s="134"/>
      <c r="BL27" s="134"/>
      <c r="BM27" s="134"/>
      <c r="BN27" s="134"/>
      <c r="BO27" s="134"/>
      <c r="BP27" s="134"/>
      <c r="BQ27" s="134"/>
      <c r="BR27" s="134"/>
      <c r="BS27" s="134"/>
      <c r="BT27" s="134"/>
      <c r="BU27" s="134"/>
      <c r="BV27" s="134"/>
      <c r="BW27" s="134"/>
      <c r="BX27" s="134"/>
      <c r="BY27" s="134"/>
      <c r="BZ27" s="134"/>
      <c r="CA27" s="134"/>
      <c r="CB27" s="134"/>
      <c r="CC27" s="134"/>
      <c r="CD27" s="134"/>
      <c r="CE27" s="134"/>
      <c r="CF27" s="134"/>
      <c r="CG27" s="134"/>
      <c r="CH27" s="134"/>
      <c r="CI27" s="134"/>
      <c r="CJ27" s="134"/>
      <c r="CK27" s="134"/>
      <c r="CL27" s="134"/>
      <c r="CM27" s="134"/>
      <c r="CN27" s="134"/>
      <c r="CO27" s="134"/>
      <c r="CP27" s="134"/>
      <c r="CQ27" s="134"/>
      <c r="CR27" s="134"/>
      <c r="CS27" s="134"/>
      <c r="CT27" s="134"/>
      <c r="CU27" s="134"/>
      <c r="CV27" s="134"/>
      <c r="CW27" s="134"/>
      <c r="CX27" s="134"/>
      <c r="CY27" s="134"/>
      <c r="CZ27" s="134"/>
      <c r="DA27" s="134"/>
      <c r="DB27" s="134"/>
      <c r="DC27" s="134"/>
      <c r="DD27" s="134"/>
      <c r="DE27" s="134"/>
      <c r="DF27" s="134"/>
      <c r="DG27" s="134"/>
      <c r="DH27" s="134"/>
      <c r="DI27" s="134"/>
      <c r="DJ27" s="134"/>
      <c r="DK27" s="134"/>
      <c r="DL27" s="134"/>
      <c r="DM27" s="134"/>
      <c r="DN27" s="134"/>
      <c r="DO27" s="134"/>
      <c r="DP27" s="134"/>
      <c r="DQ27" s="134"/>
      <c r="DR27" s="134"/>
      <c r="DS27" s="134"/>
      <c r="DT27" s="134"/>
      <c r="DU27" s="134"/>
      <c r="DV27" s="134"/>
      <c r="DW27" s="134"/>
      <c r="DX27" s="134"/>
      <c r="DY27" s="134"/>
      <c r="DZ27" s="134"/>
      <c r="EA27" s="134"/>
    </row>
    <row r="28" ht="14.5">
      <c r="C28" s="135"/>
      <c r="D28" s="135"/>
      <c r="E28" s="135"/>
      <c r="F28" s="104"/>
      <c r="G28" s="104"/>
      <c r="H28" s="136"/>
      <c r="I28" s="109">
        <f t="shared" si="0"/>
        <v>0</v>
      </c>
      <c r="K28" s="133">
        <f t="shared" si="1"/>
        <v>0</v>
      </c>
      <c r="L28" s="134"/>
      <c r="M28" s="134"/>
      <c r="N28" s="134"/>
      <c r="O28" s="134"/>
      <c r="P28" s="134"/>
      <c r="Q28" s="134"/>
      <c r="R28" s="134"/>
      <c r="S28" s="134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4"/>
      <c r="AG28" s="134"/>
      <c r="AH28" s="134"/>
      <c r="AI28" s="134"/>
      <c r="AJ28" s="134"/>
      <c r="AK28" s="134"/>
      <c r="AL28" s="134"/>
      <c r="AM28" s="134"/>
      <c r="AN28" s="134"/>
      <c r="AO28" s="134"/>
      <c r="AP28" s="134"/>
      <c r="AQ28" s="134"/>
      <c r="AR28" s="134"/>
      <c r="AS28" s="134"/>
      <c r="AT28" s="134"/>
      <c r="AU28" s="134"/>
      <c r="AV28" s="134"/>
      <c r="AW28" s="134"/>
      <c r="AX28" s="134"/>
      <c r="AY28" s="134"/>
      <c r="AZ28" s="134"/>
      <c r="BA28" s="134"/>
      <c r="BB28" s="134"/>
      <c r="BC28" s="134"/>
      <c r="BD28" s="134"/>
      <c r="BE28" s="134"/>
      <c r="BF28" s="134"/>
      <c r="BG28" s="134"/>
      <c r="BH28" s="134"/>
      <c r="BI28" s="134"/>
      <c r="BJ28" s="134"/>
      <c r="BK28" s="134"/>
      <c r="BL28" s="134"/>
      <c r="BM28" s="134"/>
      <c r="BN28" s="134"/>
      <c r="BO28" s="134"/>
      <c r="BP28" s="134"/>
      <c r="BQ28" s="134"/>
      <c r="BR28" s="134"/>
      <c r="BS28" s="134"/>
      <c r="BT28" s="134"/>
      <c r="BU28" s="134"/>
      <c r="BV28" s="134"/>
      <c r="BW28" s="134"/>
      <c r="BX28" s="134"/>
      <c r="BY28" s="134"/>
      <c r="BZ28" s="134"/>
      <c r="CA28" s="134"/>
      <c r="CB28" s="134"/>
      <c r="CC28" s="134"/>
      <c r="CD28" s="134"/>
      <c r="CE28" s="134"/>
      <c r="CF28" s="134"/>
      <c r="CG28" s="134"/>
      <c r="CH28" s="134"/>
      <c r="CI28" s="134"/>
      <c r="CJ28" s="134"/>
      <c r="CK28" s="134"/>
      <c r="CL28" s="134"/>
      <c r="CM28" s="134"/>
      <c r="CN28" s="134"/>
      <c r="CO28" s="134"/>
      <c r="CP28" s="134"/>
      <c r="CQ28" s="134"/>
      <c r="CR28" s="134"/>
      <c r="CS28" s="134"/>
      <c r="CT28" s="134"/>
      <c r="CU28" s="134"/>
      <c r="CV28" s="134"/>
      <c r="CW28" s="134"/>
      <c r="CX28" s="134"/>
      <c r="CY28" s="134"/>
      <c r="CZ28" s="134"/>
      <c r="DA28" s="134"/>
      <c r="DB28" s="134"/>
      <c r="DC28" s="134"/>
      <c r="DD28" s="134"/>
      <c r="DE28" s="134"/>
      <c r="DF28" s="134"/>
      <c r="DG28" s="134"/>
      <c r="DH28" s="134"/>
      <c r="DI28" s="134"/>
      <c r="DJ28" s="134"/>
      <c r="DK28" s="134"/>
      <c r="DL28" s="134"/>
      <c r="DM28" s="134"/>
      <c r="DN28" s="134"/>
      <c r="DO28" s="134"/>
      <c r="DP28" s="134"/>
      <c r="DQ28" s="134"/>
      <c r="DR28" s="134"/>
      <c r="DS28" s="134"/>
      <c r="DT28" s="134"/>
      <c r="DU28" s="134"/>
      <c r="DV28" s="134"/>
      <c r="DW28" s="134"/>
      <c r="DX28" s="134"/>
      <c r="DY28" s="134"/>
      <c r="DZ28" s="134"/>
      <c r="EA28" s="134"/>
    </row>
    <row r="29" ht="14.5">
      <c r="D29" s="139" t="s">
        <v>849</v>
      </c>
      <c r="E29" s="140"/>
      <c r="F29" s="100">
        <f t="shared" ref="F29:G29" si="3">SUM(F7:F28)</f>
        <v>0</v>
      </c>
      <c r="G29" s="100">
        <f t="shared" si="3"/>
        <v>0.24000000000000002</v>
      </c>
      <c r="H29" s="100"/>
      <c r="I29" s="100">
        <f>SUM(I7:I28)</f>
        <v>0.2928</v>
      </c>
      <c r="L29" s="100">
        <f>SUM(L7:L28)</f>
        <v>0</v>
      </c>
      <c r="M29" s="100">
        <f t="shared" ref="M29:AQ29" si="4">SUM(M7:M28)</f>
        <v>0</v>
      </c>
      <c r="N29" s="100">
        <f t="shared" si="4"/>
        <v>0</v>
      </c>
      <c r="O29" s="100">
        <f t="shared" si="4"/>
        <v>0</v>
      </c>
      <c r="P29" s="100">
        <f t="shared" si="4"/>
        <v>0</v>
      </c>
      <c r="Q29" s="100">
        <f t="shared" si="4"/>
        <v>0</v>
      </c>
      <c r="R29" s="100">
        <f t="shared" si="4"/>
        <v>0</v>
      </c>
      <c r="S29" s="100">
        <f t="shared" si="4"/>
        <v>0</v>
      </c>
      <c r="T29" s="100">
        <f t="shared" si="4"/>
        <v>0</v>
      </c>
      <c r="U29" s="100">
        <f t="shared" si="4"/>
        <v>0</v>
      </c>
      <c r="V29" s="100">
        <f t="shared" si="4"/>
        <v>0</v>
      </c>
      <c r="W29" s="100">
        <f t="shared" si="4"/>
        <v>0</v>
      </c>
      <c r="X29" s="100">
        <f t="shared" si="4"/>
        <v>0</v>
      </c>
      <c r="Y29" s="100">
        <f t="shared" si="4"/>
        <v>0</v>
      </c>
      <c r="Z29" s="100">
        <f t="shared" si="4"/>
        <v>0</v>
      </c>
      <c r="AA29" s="100">
        <f t="shared" si="4"/>
        <v>0</v>
      </c>
      <c r="AB29" s="100">
        <f t="shared" si="4"/>
        <v>0</v>
      </c>
      <c r="AC29" s="100">
        <f t="shared" si="4"/>
        <v>0</v>
      </c>
      <c r="AD29" s="100">
        <f t="shared" si="4"/>
        <v>0</v>
      </c>
      <c r="AE29" s="100">
        <f t="shared" si="4"/>
        <v>0</v>
      </c>
      <c r="AF29" s="100">
        <f t="shared" si="4"/>
        <v>0</v>
      </c>
      <c r="AG29" s="100">
        <f t="shared" si="4"/>
        <v>0</v>
      </c>
      <c r="AH29" s="100">
        <f t="shared" si="4"/>
        <v>0</v>
      </c>
      <c r="AI29" s="100">
        <f t="shared" si="4"/>
        <v>0</v>
      </c>
      <c r="AJ29" s="100">
        <f t="shared" si="4"/>
        <v>0</v>
      </c>
      <c r="AK29" s="100">
        <f t="shared" si="4"/>
        <v>0</v>
      </c>
      <c r="AL29" s="100">
        <f t="shared" si="4"/>
        <v>0</v>
      </c>
      <c r="AM29" s="100">
        <f t="shared" si="4"/>
        <v>0</v>
      </c>
      <c r="AN29" s="100">
        <f t="shared" si="4"/>
        <v>0</v>
      </c>
      <c r="AO29" s="100">
        <f t="shared" si="4"/>
        <v>0</v>
      </c>
      <c r="AP29" s="100">
        <f t="shared" si="4"/>
        <v>0</v>
      </c>
      <c r="AQ29" s="100">
        <f t="shared" si="4"/>
        <v>0</v>
      </c>
      <c r="AR29" s="100">
        <f t="shared" ref="AR29:BW29" si="5">SUM(AR7:AR28)</f>
        <v>0</v>
      </c>
      <c r="AS29" s="100">
        <f t="shared" si="5"/>
        <v>0</v>
      </c>
      <c r="AT29" s="100">
        <f t="shared" si="5"/>
        <v>0</v>
      </c>
      <c r="AU29" s="100">
        <f t="shared" si="5"/>
        <v>0</v>
      </c>
      <c r="AV29" s="100">
        <f t="shared" si="5"/>
        <v>0</v>
      </c>
      <c r="AW29" s="100">
        <f t="shared" si="5"/>
        <v>0</v>
      </c>
      <c r="AX29" s="100">
        <f t="shared" si="5"/>
        <v>0</v>
      </c>
      <c r="AY29" s="100">
        <f t="shared" si="5"/>
        <v>0</v>
      </c>
      <c r="AZ29" s="100">
        <f t="shared" si="5"/>
        <v>0</v>
      </c>
      <c r="BA29" s="100">
        <f t="shared" si="5"/>
        <v>0</v>
      </c>
      <c r="BB29" s="100">
        <f t="shared" si="5"/>
        <v>0</v>
      </c>
      <c r="BC29" s="100">
        <f t="shared" si="5"/>
        <v>0</v>
      </c>
      <c r="BD29" s="100">
        <f t="shared" si="5"/>
        <v>0</v>
      </c>
      <c r="BE29" s="100">
        <f t="shared" si="5"/>
        <v>0</v>
      </c>
      <c r="BF29" s="100">
        <f t="shared" si="5"/>
        <v>0</v>
      </c>
      <c r="BG29" s="100">
        <f t="shared" si="5"/>
        <v>0</v>
      </c>
      <c r="BH29" s="100">
        <f t="shared" si="5"/>
        <v>0</v>
      </c>
      <c r="BI29" s="100">
        <f t="shared" si="5"/>
        <v>0</v>
      </c>
      <c r="BJ29" s="100">
        <f t="shared" si="5"/>
        <v>0</v>
      </c>
      <c r="BK29" s="100">
        <f t="shared" si="5"/>
        <v>0</v>
      </c>
      <c r="BL29" s="100">
        <f t="shared" si="5"/>
        <v>0</v>
      </c>
      <c r="BM29" s="100">
        <f t="shared" si="5"/>
        <v>0</v>
      </c>
      <c r="BN29" s="100">
        <f t="shared" si="5"/>
        <v>0</v>
      </c>
      <c r="BO29" s="100">
        <f t="shared" si="5"/>
        <v>0</v>
      </c>
      <c r="BP29" s="100">
        <f t="shared" si="5"/>
        <v>0</v>
      </c>
      <c r="BQ29" s="100">
        <f t="shared" si="5"/>
        <v>0</v>
      </c>
      <c r="BR29" s="100">
        <f t="shared" si="5"/>
        <v>0</v>
      </c>
      <c r="BS29" s="100">
        <f t="shared" si="5"/>
        <v>0</v>
      </c>
      <c r="BT29" s="100">
        <f t="shared" si="5"/>
        <v>0</v>
      </c>
      <c r="BU29" s="100">
        <f t="shared" si="5"/>
        <v>0</v>
      </c>
      <c r="BV29" s="100">
        <f t="shared" si="5"/>
        <v>0</v>
      </c>
      <c r="BW29" s="100">
        <f t="shared" si="5"/>
        <v>0</v>
      </c>
      <c r="BX29" s="100">
        <f t="shared" ref="BX29:DC29" si="6">SUM(BX7:BX28)</f>
        <v>0</v>
      </c>
      <c r="BY29" s="100">
        <f t="shared" si="6"/>
        <v>0</v>
      </c>
      <c r="BZ29" s="100">
        <f t="shared" si="6"/>
        <v>0</v>
      </c>
      <c r="CA29" s="100">
        <f t="shared" si="6"/>
        <v>0</v>
      </c>
      <c r="CB29" s="100">
        <f t="shared" si="6"/>
        <v>0</v>
      </c>
      <c r="CC29" s="100">
        <f t="shared" si="6"/>
        <v>0</v>
      </c>
      <c r="CD29" s="100">
        <f t="shared" si="6"/>
        <v>0</v>
      </c>
      <c r="CE29" s="100">
        <f t="shared" si="6"/>
        <v>0</v>
      </c>
      <c r="CF29" s="100">
        <f t="shared" si="6"/>
        <v>0</v>
      </c>
      <c r="CG29" s="100">
        <f t="shared" si="6"/>
        <v>0</v>
      </c>
      <c r="CH29" s="100">
        <f t="shared" si="6"/>
        <v>0</v>
      </c>
      <c r="CI29" s="100">
        <f t="shared" si="6"/>
        <v>0</v>
      </c>
      <c r="CJ29" s="100">
        <f t="shared" si="6"/>
        <v>0</v>
      </c>
      <c r="CK29" s="100">
        <f t="shared" si="6"/>
        <v>0</v>
      </c>
      <c r="CL29" s="100">
        <f t="shared" si="6"/>
        <v>0</v>
      </c>
      <c r="CM29" s="100">
        <f t="shared" si="6"/>
        <v>0</v>
      </c>
      <c r="CN29" s="100">
        <f t="shared" si="6"/>
        <v>0</v>
      </c>
      <c r="CO29" s="100">
        <f t="shared" si="6"/>
        <v>0</v>
      </c>
      <c r="CP29" s="100">
        <f t="shared" si="6"/>
        <v>0</v>
      </c>
      <c r="CQ29" s="100">
        <f t="shared" si="6"/>
        <v>0</v>
      </c>
      <c r="CR29" s="100">
        <f t="shared" si="6"/>
        <v>0</v>
      </c>
      <c r="CS29" s="100">
        <f t="shared" si="6"/>
        <v>0</v>
      </c>
      <c r="CT29" s="100">
        <f t="shared" si="6"/>
        <v>0</v>
      </c>
      <c r="CU29" s="100">
        <f t="shared" si="6"/>
        <v>0</v>
      </c>
      <c r="CV29" s="100">
        <f t="shared" si="6"/>
        <v>0</v>
      </c>
      <c r="CW29" s="100">
        <f t="shared" si="6"/>
        <v>0</v>
      </c>
      <c r="CX29" s="100">
        <f t="shared" si="6"/>
        <v>0</v>
      </c>
      <c r="CY29" s="100">
        <f t="shared" si="6"/>
        <v>0</v>
      </c>
      <c r="CZ29" s="100">
        <f t="shared" si="6"/>
        <v>0</v>
      </c>
      <c r="DA29" s="100">
        <f t="shared" si="6"/>
        <v>0</v>
      </c>
      <c r="DB29" s="100">
        <f t="shared" si="6"/>
        <v>0</v>
      </c>
      <c r="DC29" s="100">
        <f t="shared" si="6"/>
        <v>0</v>
      </c>
      <c r="DD29" s="100">
        <f t="shared" ref="DD29:EA29" si="7">SUM(DD7:DD28)</f>
        <v>0</v>
      </c>
      <c r="DE29" s="100">
        <f t="shared" si="7"/>
        <v>0</v>
      </c>
      <c r="DF29" s="100">
        <f t="shared" si="7"/>
        <v>0</v>
      </c>
      <c r="DG29" s="100">
        <f t="shared" si="7"/>
        <v>0</v>
      </c>
      <c r="DH29" s="100">
        <f t="shared" si="7"/>
        <v>0</v>
      </c>
      <c r="DI29" s="100">
        <f t="shared" si="7"/>
        <v>0</v>
      </c>
      <c r="DJ29" s="100">
        <f t="shared" si="7"/>
        <v>0</v>
      </c>
      <c r="DK29" s="100">
        <f t="shared" si="7"/>
        <v>0</v>
      </c>
      <c r="DL29" s="100">
        <f t="shared" si="7"/>
        <v>0</v>
      </c>
      <c r="DM29" s="100">
        <f t="shared" si="7"/>
        <v>0</v>
      </c>
      <c r="DN29" s="100">
        <f t="shared" si="7"/>
        <v>0</v>
      </c>
      <c r="DO29" s="100">
        <f t="shared" si="7"/>
        <v>0</v>
      </c>
      <c r="DP29" s="100">
        <f t="shared" si="7"/>
        <v>0</v>
      </c>
      <c r="DQ29" s="100">
        <f t="shared" si="7"/>
        <v>0</v>
      </c>
      <c r="DR29" s="100">
        <f t="shared" si="7"/>
        <v>0</v>
      </c>
      <c r="DS29" s="100">
        <f t="shared" si="7"/>
        <v>0</v>
      </c>
      <c r="DT29" s="100">
        <f t="shared" si="7"/>
        <v>0</v>
      </c>
      <c r="DU29" s="100">
        <f t="shared" si="7"/>
        <v>0</v>
      </c>
      <c r="DV29" s="100">
        <f t="shared" si="7"/>
        <v>0</v>
      </c>
      <c r="DW29" s="100">
        <f t="shared" si="7"/>
        <v>0</v>
      </c>
      <c r="DX29" s="100">
        <f t="shared" si="7"/>
        <v>0</v>
      </c>
      <c r="DY29" s="100">
        <f t="shared" si="7"/>
        <v>0</v>
      </c>
      <c r="DZ29" s="100">
        <f t="shared" si="7"/>
        <v>0</v>
      </c>
      <c r="EA29" s="100">
        <f t="shared" si="7"/>
        <v>0</v>
      </c>
    </row>
    <row r="31" ht="14.5">
      <c r="K31" s="3" t="s">
        <v>960</v>
      </c>
      <c r="L31" s="129">
        <f>+'Gestione e Proposta concordatar'!J24</f>
        <v>0</v>
      </c>
      <c r="M31" s="129">
        <f>+'Gestione e Proposta concordatar'!K24</f>
        <v>0</v>
      </c>
      <c r="N31" s="129">
        <f>+'Gestione e Proposta concordatar'!L24</f>
        <v>0</v>
      </c>
      <c r="O31" s="129">
        <f>+'Gestione e Proposta concordatar'!M24</f>
        <v>0</v>
      </c>
      <c r="P31" s="129">
        <f>+'Gestione e Proposta concordatar'!N24</f>
        <v>0</v>
      </c>
      <c r="Q31" s="129">
        <f>+'Gestione e Proposta concordatar'!O24</f>
        <v>0</v>
      </c>
      <c r="R31" s="129">
        <f>+'Gestione e Proposta concordatar'!P24</f>
        <v>0</v>
      </c>
      <c r="S31" s="129">
        <f>+'Gestione e Proposta concordatar'!Q24</f>
        <v>0</v>
      </c>
      <c r="T31" s="129">
        <f>+'Gestione e Proposta concordatar'!R24</f>
        <v>0</v>
      </c>
      <c r="U31" s="129">
        <f>+'Gestione e Proposta concordatar'!S24</f>
        <v>0</v>
      </c>
      <c r="V31" s="129">
        <f>+'Gestione e Proposta concordatar'!T24</f>
        <v>0</v>
      </c>
      <c r="W31" s="129">
        <f>+'Gestione e Proposta concordatar'!U24</f>
        <v>0</v>
      </c>
      <c r="X31" s="129">
        <f>+'Gestione e Proposta concordatar'!V24</f>
        <v>0</v>
      </c>
      <c r="Y31" s="129">
        <f>+'Gestione e Proposta concordatar'!W24</f>
        <v>0</v>
      </c>
      <c r="Z31" s="129">
        <f>+'Gestione e Proposta concordatar'!X24</f>
        <v>0</v>
      </c>
      <c r="AA31" s="129">
        <f>+'Gestione e Proposta concordatar'!Y24</f>
        <v>0</v>
      </c>
      <c r="AB31" s="129">
        <f>+'Gestione e Proposta concordatar'!Z24</f>
        <v>0</v>
      </c>
      <c r="AC31" s="129">
        <f>+'Gestione e Proposta concordatar'!AA24</f>
        <v>0</v>
      </c>
      <c r="AD31" s="129">
        <f>+'Gestione e Proposta concordatar'!AB24</f>
        <v>0</v>
      </c>
      <c r="AE31" s="129">
        <f>+'Gestione e Proposta concordatar'!AC24</f>
        <v>0</v>
      </c>
      <c r="AF31" s="129">
        <f>+'Gestione e Proposta concordatar'!AD24</f>
        <v>0</v>
      </c>
      <c r="AG31" s="129">
        <f>+'Gestione e Proposta concordatar'!AE24</f>
        <v>0</v>
      </c>
      <c r="AH31" s="129">
        <f>+'Gestione e Proposta concordatar'!AF24</f>
        <v>0</v>
      </c>
      <c r="AI31" s="129">
        <f>+'Gestione e Proposta concordatar'!AG24</f>
        <v>0</v>
      </c>
      <c r="AJ31" s="129">
        <f>+'Gestione e Proposta concordatar'!AH24</f>
        <v>0</v>
      </c>
      <c r="AK31" s="129">
        <f>+'Gestione e Proposta concordatar'!AI24</f>
        <v>0</v>
      </c>
      <c r="AL31" s="129">
        <f>+'Gestione e Proposta concordatar'!AJ24</f>
        <v>0</v>
      </c>
      <c r="AM31" s="129">
        <f>+'Gestione e Proposta concordatar'!AK24</f>
        <v>0</v>
      </c>
      <c r="AN31" s="129">
        <f>+'Gestione e Proposta concordatar'!AL24</f>
        <v>0</v>
      </c>
      <c r="AO31" s="129">
        <f>+'Gestione e Proposta concordatar'!AM24</f>
        <v>0</v>
      </c>
      <c r="AP31" s="129">
        <f>+'Gestione e Proposta concordatar'!AN24</f>
        <v>0</v>
      </c>
      <c r="AQ31" s="129">
        <f>+'Gestione e Proposta concordatar'!AO24</f>
        <v>0</v>
      </c>
      <c r="AR31" s="129">
        <f>+'Gestione e Proposta concordatar'!AP24</f>
        <v>0</v>
      </c>
      <c r="AS31" s="129">
        <f>+'Gestione e Proposta concordatar'!AQ24</f>
        <v>0</v>
      </c>
      <c r="AT31" s="129">
        <f>+'Gestione e Proposta concordatar'!AR24</f>
        <v>0</v>
      </c>
      <c r="AU31" s="129">
        <f>+'Gestione e Proposta concordatar'!AS24</f>
        <v>0</v>
      </c>
      <c r="AV31" s="129">
        <f>+'Gestione e Proposta concordatar'!AT24</f>
        <v>0</v>
      </c>
      <c r="AW31" s="129">
        <f>+'Gestione e Proposta concordatar'!AU24</f>
        <v>0</v>
      </c>
      <c r="AX31" s="129">
        <f>+'Gestione e Proposta concordatar'!AV24</f>
        <v>0</v>
      </c>
      <c r="AY31" s="129">
        <f>+'Gestione e Proposta concordatar'!AW24</f>
        <v>0</v>
      </c>
      <c r="AZ31" s="129">
        <f>+'Gestione e Proposta concordatar'!AX24</f>
        <v>0</v>
      </c>
      <c r="BA31" s="129">
        <f>+'Gestione e Proposta concordatar'!AY24</f>
        <v>0</v>
      </c>
      <c r="BB31" s="129">
        <f>+'Gestione e Proposta concordatar'!AZ24</f>
        <v>0</v>
      </c>
      <c r="BC31" s="129">
        <f>+'Gestione e Proposta concordatar'!BA24</f>
        <v>0</v>
      </c>
      <c r="BD31" s="129">
        <f>+'Gestione e Proposta concordatar'!BB24</f>
        <v>0</v>
      </c>
      <c r="BE31" s="129">
        <f>+'Gestione e Proposta concordatar'!BC24</f>
        <v>0</v>
      </c>
      <c r="BF31" s="129">
        <f>+'Gestione e Proposta concordatar'!BD24</f>
        <v>0</v>
      </c>
      <c r="BG31" s="129">
        <f>+'Gestione e Proposta concordatar'!BE24</f>
        <v>0</v>
      </c>
      <c r="BH31" s="129">
        <f>+'Gestione e Proposta concordatar'!BF24</f>
        <v>0</v>
      </c>
      <c r="BI31" s="129">
        <f>+'Gestione e Proposta concordatar'!BG24</f>
        <v>0</v>
      </c>
      <c r="BJ31" s="129">
        <f>+'Gestione e Proposta concordatar'!BH24</f>
        <v>0</v>
      </c>
      <c r="BK31" s="129">
        <f>+'Gestione e Proposta concordatar'!BI24</f>
        <v>0</v>
      </c>
      <c r="BL31" s="129">
        <f>+'Gestione e Proposta concordatar'!BJ24</f>
        <v>0</v>
      </c>
      <c r="BM31" s="129">
        <f>+'Gestione e Proposta concordatar'!BK24</f>
        <v>0</v>
      </c>
      <c r="BN31" s="129">
        <f>+'Gestione e Proposta concordatar'!BL24</f>
        <v>0</v>
      </c>
      <c r="BO31" s="129">
        <f>+'Gestione e Proposta concordatar'!BM24</f>
        <v>0</v>
      </c>
      <c r="BP31" s="129">
        <f>+'Gestione e Proposta concordatar'!BN24</f>
        <v>0</v>
      </c>
      <c r="BQ31" s="129">
        <f>+'Gestione e Proposta concordatar'!BO24</f>
        <v>0</v>
      </c>
      <c r="BR31" s="129">
        <f>+'Gestione e Proposta concordatar'!BP24</f>
        <v>0</v>
      </c>
      <c r="BS31" s="129">
        <f>+'Gestione e Proposta concordatar'!BQ24</f>
        <v>0</v>
      </c>
      <c r="BT31" s="129">
        <f>+'Gestione e Proposta concordatar'!BR24</f>
        <v>0</v>
      </c>
      <c r="BU31" s="129">
        <f>+'Gestione e Proposta concordatar'!BS24</f>
        <v>0</v>
      </c>
      <c r="BV31" s="129">
        <f>+'Gestione e Proposta concordatar'!BT24</f>
        <v>0</v>
      </c>
      <c r="BW31" s="129">
        <f>+'Gestione e Proposta concordatar'!BU24</f>
        <v>0</v>
      </c>
      <c r="BX31" s="129">
        <f>+'Gestione e Proposta concordatar'!BV24</f>
        <v>0</v>
      </c>
      <c r="BY31" s="129">
        <f>+'Gestione e Proposta concordatar'!BW24</f>
        <v>0</v>
      </c>
      <c r="BZ31" s="129">
        <f>+'Gestione e Proposta concordatar'!BX24</f>
        <v>0</v>
      </c>
      <c r="CA31" s="129">
        <f>+'Gestione e Proposta concordatar'!BY24</f>
        <v>0</v>
      </c>
      <c r="CB31" s="129">
        <f>+'Gestione e Proposta concordatar'!BZ24</f>
        <v>0</v>
      </c>
      <c r="CC31" s="129">
        <f>+'Gestione e Proposta concordatar'!CA24</f>
        <v>0</v>
      </c>
      <c r="CD31" s="129">
        <f>+'Gestione e Proposta concordatar'!CB24</f>
        <v>0</v>
      </c>
      <c r="CE31" s="129">
        <f>+'Gestione e Proposta concordatar'!CC24</f>
        <v>0</v>
      </c>
      <c r="CF31" s="129">
        <f>+'Gestione e Proposta concordatar'!CD24</f>
        <v>0</v>
      </c>
      <c r="CG31" s="129">
        <f>+'Gestione e Proposta concordatar'!CE24</f>
        <v>0</v>
      </c>
      <c r="CH31" s="129">
        <f>+'Gestione e Proposta concordatar'!CF24</f>
        <v>0</v>
      </c>
      <c r="CI31" s="129">
        <f>+'Gestione e Proposta concordatar'!CG24</f>
        <v>0</v>
      </c>
      <c r="CJ31" s="129">
        <f>+'Gestione e Proposta concordatar'!CH24</f>
        <v>0</v>
      </c>
      <c r="CK31" s="129">
        <f>+'Gestione e Proposta concordatar'!CI24</f>
        <v>0</v>
      </c>
      <c r="CL31" s="129">
        <f>+'Gestione e Proposta concordatar'!CJ24</f>
        <v>0</v>
      </c>
      <c r="CM31" s="129">
        <f>+'Gestione e Proposta concordatar'!CK24</f>
        <v>0</v>
      </c>
      <c r="CN31" s="129">
        <f>+'Gestione e Proposta concordatar'!CL24</f>
        <v>0</v>
      </c>
      <c r="CO31" s="129">
        <f>+'Gestione e Proposta concordatar'!CM24</f>
        <v>0</v>
      </c>
      <c r="CP31" s="129">
        <f>+'Gestione e Proposta concordatar'!CN24</f>
        <v>0</v>
      </c>
      <c r="CQ31" s="129">
        <f>+'Gestione e Proposta concordatar'!CO24</f>
        <v>0</v>
      </c>
      <c r="CR31" s="129">
        <f>+'Gestione e Proposta concordatar'!CP24</f>
        <v>0</v>
      </c>
      <c r="CS31" s="129">
        <f>+'Gestione e Proposta concordatar'!CQ24</f>
        <v>0</v>
      </c>
      <c r="CT31" s="129">
        <f>+'Gestione e Proposta concordatar'!CR24</f>
        <v>0</v>
      </c>
      <c r="CU31" s="129">
        <f>+'Gestione e Proposta concordatar'!CS24</f>
        <v>0</v>
      </c>
      <c r="CV31" s="129">
        <f>+'Gestione e Proposta concordatar'!CT24</f>
        <v>0</v>
      </c>
      <c r="CW31" s="129">
        <f>+'Gestione e Proposta concordatar'!CU24</f>
        <v>0</v>
      </c>
      <c r="CX31" s="129">
        <f>+'Gestione e Proposta concordatar'!CV24</f>
        <v>0</v>
      </c>
      <c r="CY31" s="129">
        <f>+'Gestione e Proposta concordatar'!CW24</f>
        <v>0</v>
      </c>
      <c r="CZ31" s="129">
        <f>+'Gestione e Proposta concordatar'!CX24</f>
        <v>0</v>
      </c>
      <c r="DA31" s="129">
        <f>+'Gestione e Proposta concordatar'!CY24</f>
        <v>0</v>
      </c>
      <c r="DB31" s="129">
        <f>+'Gestione e Proposta concordatar'!CZ24</f>
        <v>0</v>
      </c>
      <c r="DC31" s="129">
        <f>+'Gestione e Proposta concordatar'!DA24</f>
        <v>0</v>
      </c>
      <c r="DD31" s="129">
        <f>+'Gestione e Proposta concordatar'!DB24</f>
        <v>0</v>
      </c>
      <c r="DE31" s="129">
        <f>+'Gestione e Proposta concordatar'!DC24</f>
        <v>0</v>
      </c>
      <c r="DF31" s="129">
        <f>+'Gestione e Proposta concordatar'!DD24</f>
        <v>0</v>
      </c>
      <c r="DG31" s="129">
        <f>+'Gestione e Proposta concordatar'!DE24</f>
        <v>0</v>
      </c>
      <c r="DH31" s="129">
        <f>+'Gestione e Proposta concordatar'!DF24</f>
        <v>0</v>
      </c>
      <c r="DI31" s="129">
        <f>+'Gestione e Proposta concordatar'!DG24</f>
        <v>0</v>
      </c>
      <c r="DJ31" s="129">
        <f>+'Gestione e Proposta concordatar'!DH24</f>
        <v>0</v>
      </c>
      <c r="DK31" s="129">
        <f>+'Gestione e Proposta concordatar'!DI24</f>
        <v>0</v>
      </c>
      <c r="DL31" s="129">
        <f>+'Gestione e Proposta concordatar'!DJ24</f>
        <v>0</v>
      </c>
      <c r="DM31" s="129">
        <f>+'Gestione e Proposta concordatar'!DK24</f>
        <v>0</v>
      </c>
      <c r="DN31" s="129">
        <f>+'Gestione e Proposta concordatar'!DL24</f>
        <v>0</v>
      </c>
      <c r="DO31" s="129">
        <f>+'Gestione e Proposta concordatar'!DM24</f>
        <v>0</v>
      </c>
      <c r="DP31" s="129">
        <f>+'Gestione e Proposta concordatar'!DN24</f>
        <v>0</v>
      </c>
      <c r="DQ31" s="129">
        <f>+'Gestione e Proposta concordatar'!DO24</f>
        <v>0</v>
      </c>
      <c r="DR31" s="129">
        <f>+'Gestione e Proposta concordatar'!DP24</f>
        <v>0</v>
      </c>
      <c r="DS31" s="129">
        <f>+'Gestione e Proposta concordatar'!DQ24</f>
        <v>0</v>
      </c>
      <c r="DT31" s="129">
        <f>+'Gestione e Proposta concordatar'!DR24</f>
        <v>0</v>
      </c>
      <c r="DU31" s="129">
        <f>+'Gestione e Proposta concordatar'!DS24</f>
        <v>0</v>
      </c>
      <c r="DV31" s="129">
        <f>+'Gestione e Proposta concordatar'!DT24</f>
        <v>0</v>
      </c>
      <c r="DW31" s="129">
        <f>+'Gestione e Proposta concordatar'!DU24</f>
        <v>0</v>
      </c>
      <c r="DX31" s="129">
        <f>+'Gestione e Proposta concordatar'!DV24</f>
        <v>0</v>
      </c>
      <c r="DY31" s="129">
        <f>+'Gestione e Proposta concordatar'!DW24</f>
        <v>0</v>
      </c>
      <c r="DZ31" s="129">
        <f>+'Gestione e Proposta concordatar'!DX24</f>
        <v>0</v>
      </c>
      <c r="EA31" s="129">
        <f>+'Gestione e Proposta concordatar'!DY24</f>
        <v>0</v>
      </c>
    </row>
    <row r="33" ht="14.5">
      <c r="T33" s="141"/>
    </row>
  </sheetData>
  <hyperlinks>
    <hyperlink ref="A1" location="Input!A1" display="MENU"/>
  </hyperlinks>
  <pageSetup r:id="rId1" paperSize="9" orientation="portrait"/>
</worksheet>
</file>

<file path=xl/worksheets/sheet25.xml><?xml version="1.0" encoding="utf-8"?>
<worksheet xmlns:r="http://schemas.openxmlformats.org/officeDocument/2006/relationships" xmlns="http://schemas.openxmlformats.org/spreadsheetml/2006/main">
  <sheetPr>
    <tabColor rgb="FFFF0000"/>
  </sheetPr>
  <sheetViews>
    <sheetView showGridLines="0" zoomScaleNormal="100" workbookViewId="0">
      <pane activePane="topRight" state="frozen" topLeftCell="C1" xSplit="2"/>
      <selection pane="topRight" activeCell="B1" sqref="B1"/>
    </sheetView>
  </sheetViews>
  <sheetFormatPr defaultColWidth="8.855469" defaultRowHeight="15" outlineLevelCol="1"/>
  <cols>
    <col min="1" max="1" width="16.42578" customWidth="1"/>
    <col min="2" max="2" width="28.42578" bestFit="1" customWidth="1"/>
    <col min="3" max="3" width="12.14063" bestFit="1" customWidth="1"/>
    <col min="4" max="5" width="14" bestFit="1" customWidth="1"/>
    <col min="6" max="7" width="14.85547" bestFit="1" customWidth="1"/>
    <col min="8" max="8" width="15.42578" bestFit="1" customWidth="1"/>
    <col min="9" max="9" width="15" bestFit="1" customWidth="1"/>
    <col min="10" max="10" width="15.42578" bestFit="1" customWidth="1"/>
    <col min="11" max="11" width="15.85547" hidden="1" customWidth="1" outlineLevel="1"/>
    <col min="12" max="12" width="10.42578" hidden="1" customWidth="1" outlineLevel="1"/>
    <col min="13" max="13" width="8.855469" collapsed="1"/>
  </cols>
  <sheetData>
    <row r="1" ht="14.5">
      <c r="B1" s="79" t="s">
        <v>38</v>
      </c>
    </row>
    <row r="2" ht="14.5">
      <c r="A2" s="142"/>
    </row>
    <row r="3" ht="14.5">
      <c r="A3" s="143" t="e">
        <f>C3-1</f>
        <v>#REF!</v>
      </c>
      <c r="B3" s="143" t="s">
        <v>961</v>
      </c>
      <c r="C3" s="143" t="e">
        <f>+#REF!</f>
        <v>#REF!</v>
      </c>
      <c r="D3" s="143" t="e">
        <f>+#REF!</f>
        <v>#REF!</v>
      </c>
      <c r="E3" s="143" t="e">
        <f>+#REF!</f>
        <v>#REF!</v>
      </c>
      <c r="F3" s="143" t="e">
        <f>+#REF!</f>
        <v>#REF!</v>
      </c>
      <c r="G3" s="143" t="e">
        <f>+#REF!</f>
        <v>#REF!</v>
      </c>
      <c r="H3" s="143" t="e">
        <f>+#REF!</f>
        <v>#REF!</v>
      </c>
      <c r="I3" s="143" t="e">
        <f>+#REF!</f>
        <v>#REF!</v>
      </c>
      <c r="J3" s="143" t="e">
        <f>+#REF!</f>
        <v>#REF!</v>
      </c>
      <c r="K3" s="143" t="e">
        <f>+#REF!</f>
        <v>#REF!</v>
      </c>
      <c r="L3" s="143" t="e">
        <f>+#REF!</f>
        <v>#REF!</v>
      </c>
    </row>
    <row r="4" ht="14.5">
      <c r="A4" s="142"/>
      <c r="B4" t="str">
        <f>+'CE-mese'!A5</f>
        <v>Fatturato</v>
      </c>
      <c r="C4" s="144" t="e">
        <f>+#REF!</f>
        <v>#REF!</v>
      </c>
      <c r="D4" s="144" t="e">
        <f>+#REF!</f>
        <v>#REF!</v>
      </c>
      <c r="E4" s="144" t="e">
        <f>+#REF!</f>
        <v>#REF!</v>
      </c>
      <c r="F4" s="144" t="e">
        <f>+#REF!</f>
        <v>#REF!</v>
      </c>
      <c r="G4" s="144" t="e">
        <f>+#REF!</f>
        <v>#REF!</v>
      </c>
      <c r="H4" s="144" t="e">
        <f>+#REF!</f>
        <v>#REF!</v>
      </c>
      <c r="I4" s="144" t="e">
        <f>+#REF!</f>
        <v>#REF!</v>
      </c>
      <c r="J4" s="144" t="e">
        <f>+#REF!</f>
        <v>#REF!</v>
      </c>
      <c r="K4" s="144" t="e">
        <f>+#REF!</f>
        <v>#REF!</v>
      </c>
      <c r="L4" s="144" t="e">
        <f>+#REF!</f>
        <v>#REF!</v>
      </c>
    </row>
    <row r="5" ht="14.5">
      <c r="A5" s="142"/>
      <c r="B5" t="str">
        <f>+'CE-mese'!A11</f>
        <v>1° Margine di Contribuzione</v>
      </c>
      <c r="C5" s="144" t="e">
        <f>+#REF!</f>
        <v>#REF!</v>
      </c>
      <c r="D5" s="144" t="e">
        <f>+#REF!</f>
        <v>#REF!</v>
      </c>
      <c r="E5" s="144" t="e">
        <f>+#REF!</f>
        <v>#REF!</v>
      </c>
      <c r="F5" s="144" t="e">
        <f>+#REF!</f>
        <v>#REF!</v>
      </c>
      <c r="G5" s="144" t="e">
        <f>+#REF!</f>
        <v>#REF!</v>
      </c>
      <c r="H5" s="144" t="e">
        <f>+#REF!</f>
        <v>#REF!</v>
      </c>
      <c r="I5" s="144" t="e">
        <f>+#REF!</f>
        <v>#REF!</v>
      </c>
      <c r="J5" s="144" t="e">
        <f>+#REF!</f>
        <v>#REF!</v>
      </c>
      <c r="K5" s="144" t="e">
        <f>+#REF!</f>
        <v>#REF!</v>
      </c>
      <c r="L5" s="144" t="e">
        <f>+#REF!</f>
        <v>#REF!</v>
      </c>
    </row>
    <row r="6" ht="14.5">
      <c r="A6" s="142"/>
      <c r="B6" t="str">
        <f>+'CE-mese'!A16</f>
        <v>2° Margine Contribuzione</v>
      </c>
      <c r="C6" s="145" t="e">
        <f>+#REF!</f>
        <v>#REF!</v>
      </c>
      <c r="D6" s="145" t="e">
        <f>+#REF!</f>
        <v>#REF!</v>
      </c>
      <c r="E6" s="145" t="e">
        <f>+#REF!</f>
        <v>#REF!</v>
      </c>
      <c r="F6" s="145" t="e">
        <f>+#REF!</f>
        <v>#REF!</v>
      </c>
      <c r="G6" s="145" t="e">
        <f>+#REF!</f>
        <v>#REF!</v>
      </c>
      <c r="H6" s="145" t="e">
        <f>+#REF!</f>
        <v>#REF!</v>
      </c>
      <c r="I6" s="145" t="e">
        <f>+#REF!</f>
        <v>#REF!</v>
      </c>
      <c r="J6" s="145" t="e">
        <f>+#REF!</f>
        <v>#REF!</v>
      </c>
      <c r="K6" s="145" t="e">
        <f>+#REF!</f>
        <v>#REF!</v>
      </c>
      <c r="L6" s="145" t="e">
        <f>+#REF!</f>
        <v>#REF!</v>
      </c>
    </row>
    <row r="7" thickBot="1">
      <c r="A7" s="142"/>
      <c r="B7" t="str">
        <f>+'CE-mese'!A54</f>
        <v>Reddito Operativo</v>
      </c>
      <c r="C7" s="145" t="e">
        <f>+#REF!</f>
        <v>#REF!</v>
      </c>
      <c r="D7" s="145" t="e">
        <f>+#REF!</f>
        <v>#REF!</v>
      </c>
      <c r="E7" s="145" t="e">
        <f>+#REF!</f>
        <v>#REF!</v>
      </c>
      <c r="F7" s="145" t="e">
        <f>+#REF!</f>
        <v>#REF!</v>
      </c>
      <c r="G7" s="145" t="e">
        <f>+#REF!</f>
        <v>#REF!</v>
      </c>
      <c r="H7" s="145" t="e">
        <f>+#REF!</f>
        <v>#REF!</v>
      </c>
      <c r="I7" s="145" t="e">
        <f>+#REF!</f>
        <v>#REF!</v>
      </c>
      <c r="J7" s="145" t="e">
        <f>+#REF!</f>
        <v>#REF!</v>
      </c>
      <c r="K7" s="145" t="e">
        <f>+#REF!</f>
        <v>#REF!</v>
      </c>
      <c r="L7" s="145" t="e">
        <f>+#REF!</f>
        <v>#REF!</v>
      </c>
    </row>
    <row r="8" thickBot="1">
      <c r="A8" s="142"/>
      <c r="B8" s="146" t="str">
        <f>+'CE-mese'!A69</f>
        <v>Reddito Netto</v>
      </c>
      <c r="C8" s="147" t="e">
        <f>+#REF!</f>
        <v>#REF!</v>
      </c>
      <c r="D8" s="147" t="e">
        <f>+#REF!</f>
        <v>#REF!</v>
      </c>
      <c r="E8" s="147" t="e">
        <f>+#REF!</f>
        <v>#REF!</v>
      </c>
      <c r="F8" s="147" t="e">
        <f>+#REF!</f>
        <v>#REF!</v>
      </c>
      <c r="G8" s="147" t="e">
        <f>+#REF!</f>
        <v>#REF!</v>
      </c>
      <c r="H8" s="147" t="e">
        <f>+#REF!</f>
        <v>#REF!</v>
      </c>
      <c r="I8" s="147" t="e">
        <f>+#REF!</f>
        <v>#REF!</v>
      </c>
      <c r="J8" s="147" t="e">
        <f>+#REF!</f>
        <v>#REF!</v>
      </c>
      <c r="K8" s="147" t="e">
        <f>+#REF!</f>
        <v>#REF!</v>
      </c>
      <c r="L8" s="147" t="e">
        <f>+#REF!</f>
        <v>#REF!</v>
      </c>
    </row>
    <row r="9" ht="14.5">
      <c r="A9" s="142"/>
    </row>
    <row r="10" ht="14.5">
      <c r="A10" s="142"/>
      <c r="B10" s="143" t="s">
        <v>967</v>
      </c>
      <c r="C10" s="143" t="e">
        <f>+C3</f>
        <v>#REF!</v>
      </c>
      <c r="D10" s="143" t="e">
        <f t="shared" ref="D10:L10" si="0">+D3</f>
        <v>#REF!</v>
      </c>
      <c r="E10" s="143" t="e">
        <f t="shared" si="0"/>
        <v>#REF!</v>
      </c>
      <c r="F10" s="143" t="e">
        <f t="shared" si="0"/>
        <v>#REF!</v>
      </c>
      <c r="G10" s="143" t="e">
        <f t="shared" si="0"/>
        <v>#REF!</v>
      </c>
      <c r="H10" s="143" t="e">
        <f t="shared" si="0"/>
        <v>#REF!</v>
      </c>
      <c r="I10" s="143" t="e">
        <f t="shared" si="0"/>
        <v>#REF!</v>
      </c>
      <c r="J10" s="143" t="e">
        <f t="shared" si="0"/>
        <v>#REF!</v>
      </c>
      <c r="K10" s="143" t="e">
        <f t="shared" si="0"/>
        <v>#REF!</v>
      </c>
      <c r="L10" s="143" t="e">
        <f t="shared" si="0"/>
        <v>#REF!</v>
      </c>
    </row>
    <row r="11" ht="14.5">
      <c r="A11" s="142"/>
      <c r="B11" t="str">
        <f>+'Banca-mese'!A12</f>
        <v>Totale Entrate</v>
      </c>
      <c r="C11" s="144" t="e">
        <f>+#REF!</f>
        <v>#REF!</v>
      </c>
      <c r="D11" s="144" t="e">
        <f>+#REF!</f>
        <v>#REF!</v>
      </c>
      <c r="E11" s="144" t="e">
        <f>+#REF!</f>
        <v>#REF!</v>
      </c>
      <c r="F11" s="144" t="e">
        <f>+#REF!</f>
        <v>#REF!</v>
      </c>
      <c r="G11" s="144" t="e">
        <f>+#REF!</f>
        <v>#REF!</v>
      </c>
      <c r="H11" s="144" t="e">
        <f>+#REF!</f>
        <v>#REF!</v>
      </c>
      <c r="I11" s="144" t="e">
        <f>+#REF!</f>
        <v>#REF!</v>
      </c>
      <c r="J11" s="144" t="e">
        <f>+#REF!</f>
        <v>#REF!</v>
      </c>
      <c r="K11" s="144" t="e">
        <f>+#REF!</f>
        <v>#REF!</v>
      </c>
      <c r="L11" s="144" t="e">
        <f>+#REF!</f>
        <v>#REF!</v>
      </c>
    </row>
    <row r="12" thickBot="1">
      <c r="A12" s="142"/>
      <c r="B12" t="str">
        <f>+'Banca-mese'!A40</f>
        <v>Totale Uscite</v>
      </c>
      <c r="C12" s="144" t="e">
        <f>+#REF!</f>
        <v>#REF!</v>
      </c>
      <c r="D12" s="144" t="e">
        <f>+#REF!</f>
        <v>#REF!</v>
      </c>
      <c r="E12" s="144" t="e">
        <f>+#REF!</f>
        <v>#REF!</v>
      </c>
      <c r="F12" s="144" t="e">
        <f>+#REF!</f>
        <v>#REF!</v>
      </c>
      <c r="G12" s="144" t="e">
        <f>+#REF!</f>
        <v>#REF!</v>
      </c>
      <c r="H12" s="144" t="e">
        <f>+#REF!</f>
        <v>#REF!</v>
      </c>
      <c r="I12" s="144" t="e">
        <f>+#REF!</f>
        <v>#REF!</v>
      </c>
      <c r="J12" s="144" t="e">
        <f>+#REF!</f>
        <v>#REF!</v>
      </c>
      <c r="K12" s="144" t="e">
        <f>+#REF!</f>
        <v>#REF!</v>
      </c>
      <c r="L12" s="144" t="e">
        <f>+#REF!</f>
        <v>#REF!</v>
      </c>
    </row>
    <row r="13" thickBot="1">
      <c r="A13" s="142"/>
      <c r="B13" s="146" t="s">
        <v>970</v>
      </c>
      <c r="C13" s="147" t="e">
        <f>+C11-C12</f>
        <v>#REF!</v>
      </c>
      <c r="D13" s="147" t="e">
        <f t="shared" ref="D13:L13" si="1">+D11-D12</f>
        <v>#REF!</v>
      </c>
      <c r="E13" s="147" t="e">
        <f t="shared" si="1"/>
        <v>#REF!</v>
      </c>
      <c r="F13" s="147" t="e">
        <f t="shared" si="1"/>
        <v>#REF!</v>
      </c>
      <c r="G13" s="147" t="e">
        <f t="shared" si="1"/>
        <v>#REF!</v>
      </c>
      <c r="H13" s="147" t="e">
        <f t="shared" si="1"/>
        <v>#REF!</v>
      </c>
      <c r="I13" s="147" t="e">
        <f t="shared" si="1"/>
        <v>#REF!</v>
      </c>
      <c r="J13" s="147" t="e">
        <f t="shared" si="1"/>
        <v>#REF!</v>
      </c>
      <c r="K13" s="147" t="e">
        <f t="shared" si="1"/>
        <v>#REF!</v>
      </c>
      <c r="L13" s="147" t="e">
        <f t="shared" si="1"/>
        <v>#REF!</v>
      </c>
    </row>
    <row r="14" thickBot="1">
      <c r="A14" s="142"/>
      <c r="B14" s="146" t="str">
        <f>+'Banca-mese'!A44</f>
        <v>SALDO INIZIALE BANCA</v>
      </c>
      <c r="C14" s="147" t="e">
        <f>+#REF!</f>
        <v>#REF!</v>
      </c>
      <c r="D14" s="147" t="e">
        <f>+#REF!</f>
        <v>#REF!</v>
      </c>
      <c r="E14" s="147" t="e">
        <f>+#REF!</f>
        <v>#REF!</v>
      </c>
      <c r="F14" s="147" t="e">
        <f>+#REF!</f>
        <v>#REF!</v>
      </c>
      <c r="G14" s="147" t="e">
        <f>+#REF!</f>
        <v>#REF!</v>
      </c>
      <c r="H14" s="147" t="e">
        <f>+#REF!</f>
        <v>#REF!</v>
      </c>
      <c r="I14" s="147" t="e">
        <f>+#REF!</f>
        <v>#REF!</v>
      </c>
      <c r="J14" s="147" t="e">
        <f>+#REF!</f>
        <v>#REF!</v>
      </c>
      <c r="K14" s="147" t="e">
        <f>+#REF!</f>
        <v>#REF!</v>
      </c>
      <c r="L14" s="147" t="e">
        <f>+#REF!</f>
        <v>#REF!</v>
      </c>
    </row>
    <row r="15" thickBot="1">
      <c r="A15" s="142"/>
      <c r="B15" s="146" t="str">
        <f>+'Banca-mese'!A45</f>
        <v>SALDO FINALE BANCA</v>
      </c>
      <c r="C15" s="147" t="e">
        <f>+#REF!</f>
        <v>#REF!</v>
      </c>
      <c r="D15" s="147" t="e">
        <f>+#REF!</f>
        <v>#REF!</v>
      </c>
      <c r="E15" s="147" t="e">
        <f>+#REF!</f>
        <v>#REF!</v>
      </c>
      <c r="F15" s="147" t="e">
        <f>+#REF!</f>
        <v>#REF!</v>
      </c>
      <c r="G15" s="147" t="e">
        <f>+#REF!</f>
        <v>#REF!</v>
      </c>
      <c r="H15" s="147" t="e">
        <f>+#REF!</f>
        <v>#REF!</v>
      </c>
      <c r="I15" s="147" t="e">
        <f>+#REF!</f>
        <v>#REF!</v>
      </c>
      <c r="J15" s="147" t="e">
        <f>+#REF!</f>
        <v>#REF!</v>
      </c>
      <c r="K15" s="147" t="e">
        <f>+#REF!</f>
        <v>#REF!</v>
      </c>
      <c r="L15" s="147" t="e">
        <f>+#REF!</f>
        <v>#REF!</v>
      </c>
    </row>
    <row r="16" ht="14.5">
      <c r="A16" s="142"/>
    </row>
    <row r="17" ht="18.75" customHeight="1">
      <c r="A17" s="142"/>
    </row>
    <row r="18" ht="16.5" customHeight="1">
      <c r="A18" s="142"/>
      <c r="B18" s="143" t="s">
        <v>973</v>
      </c>
      <c r="C18" s="143" t="e">
        <f>+C3</f>
        <v>#REF!</v>
      </c>
      <c r="D18" s="143" t="e">
        <f t="shared" ref="D18:L18" si="2">+D3</f>
        <v>#REF!</v>
      </c>
      <c r="E18" s="143" t="e">
        <f t="shared" si="2"/>
        <v>#REF!</v>
      </c>
      <c r="F18" s="143" t="e">
        <f t="shared" si="2"/>
        <v>#REF!</v>
      </c>
      <c r="G18" s="143" t="e">
        <f t="shared" si="2"/>
        <v>#REF!</v>
      </c>
      <c r="H18" s="143" t="e">
        <f t="shared" si="2"/>
        <v>#REF!</v>
      </c>
      <c r="I18" s="143" t="e">
        <f t="shared" si="2"/>
        <v>#REF!</v>
      </c>
      <c r="J18" s="143" t="e">
        <f t="shared" si="2"/>
        <v>#REF!</v>
      </c>
      <c r="K18" s="143" t="e">
        <f t="shared" si="2"/>
        <v>#REF!</v>
      </c>
      <c r="L18" s="143" t="e">
        <f t="shared" si="2"/>
        <v>#REF!</v>
      </c>
    </row>
    <row r="19" ht="14.5">
      <c r="A19" s="142"/>
      <c r="B19" t="s">
        <v>974</v>
      </c>
      <c r="C19" s="148" t="e">
        <f>+#REF!</f>
        <v>#REF!</v>
      </c>
      <c r="D19" s="148" t="e">
        <f>+#REF!</f>
        <v>#REF!</v>
      </c>
      <c r="E19" s="148" t="e">
        <f>+#REF!</f>
        <v>#REF!</v>
      </c>
      <c r="F19" s="148" t="e">
        <f>+#REF!</f>
        <v>#REF!</v>
      </c>
      <c r="G19" s="148" t="e">
        <f>+#REF!</f>
        <v>#REF!</v>
      </c>
      <c r="H19" s="148" t="e">
        <f>+#REF!</f>
        <v>#REF!</v>
      </c>
      <c r="I19" s="148" t="e">
        <f>+#REF!</f>
        <v>#REF!</v>
      </c>
      <c r="J19" s="148" t="e">
        <f>+#REF!</f>
        <v>#REF!</v>
      </c>
      <c r="K19" s="148" t="e">
        <f>+#REF!</f>
        <v>#REF!</v>
      </c>
      <c r="L19" s="148" t="e">
        <f>+#REF!</f>
        <v>#REF!</v>
      </c>
    </row>
    <row r="20" thickBot="1">
      <c r="A20" s="142"/>
      <c r="B20" t="s">
        <v>975</v>
      </c>
      <c r="C20" s="144" t="e">
        <f>+#REF!</f>
        <v>#REF!</v>
      </c>
      <c r="D20" s="144" t="e">
        <f>+#REF!</f>
        <v>#REF!</v>
      </c>
      <c r="E20" s="144" t="e">
        <f>+#REF!</f>
        <v>#REF!</v>
      </c>
      <c r="F20" s="144" t="e">
        <f>+#REF!</f>
        <v>#REF!</v>
      </c>
      <c r="G20" s="144" t="e">
        <f>+#REF!</f>
        <v>#REF!</v>
      </c>
      <c r="H20" s="144" t="e">
        <f>+#REF!</f>
        <v>#REF!</v>
      </c>
      <c r="I20" s="144" t="e">
        <f>+#REF!</f>
        <v>#REF!</v>
      </c>
      <c r="J20" s="144" t="e">
        <f>+#REF!</f>
        <v>#REF!</v>
      </c>
      <c r="K20" s="144" t="e">
        <f>+#REF!</f>
        <v>#REF!</v>
      </c>
      <c r="L20" s="144" t="e">
        <f>+#REF!</f>
        <v>#REF!</v>
      </c>
    </row>
    <row r="21" thickBot="1">
      <c r="A21" s="142"/>
      <c r="B21" s="146" t="s">
        <v>973</v>
      </c>
      <c r="C21" s="87" t="str">
        <f>+IFERROR((C19/C20),"na")</f>
        <v>na</v>
      </c>
      <c r="D21" s="87" t="str">
        <f t="shared" ref="D21:L21" si="3">+IFERROR((D19/D20),"na")</f>
        <v>na</v>
      </c>
      <c r="E21" s="87" t="str">
        <f t="shared" si="3"/>
        <v>na</v>
      </c>
      <c r="F21" s="87" t="str">
        <f t="shared" si="3"/>
        <v>na</v>
      </c>
      <c r="G21" s="87" t="str">
        <f t="shared" si="3"/>
        <v>na</v>
      </c>
      <c r="H21" s="87" t="str">
        <f t="shared" si="3"/>
        <v>na</v>
      </c>
      <c r="I21" s="87" t="str">
        <f t="shared" si="3"/>
        <v>na</v>
      </c>
      <c r="J21" s="87" t="str">
        <f t="shared" si="3"/>
        <v>na</v>
      </c>
      <c r="K21" s="87" t="str">
        <f t="shared" si="3"/>
        <v>na</v>
      </c>
      <c r="L21" s="87" t="str">
        <f t="shared" si="3"/>
        <v>na</v>
      </c>
    </row>
    <row r="22" ht="14.5">
      <c r="A22" s="142"/>
    </row>
    <row r="23" ht="14.5">
      <c r="A23" s="142"/>
    </row>
    <row r="24" ht="14.5">
      <c r="A24" s="143" t="e">
        <f>C24-1</f>
        <v>#REF!</v>
      </c>
      <c r="B24" s="143" t="s">
        <v>976</v>
      </c>
      <c r="C24" s="143" t="e">
        <f>+C18</f>
        <v>#REF!</v>
      </c>
      <c r="D24" s="143" t="e">
        <f t="shared" ref="D24:L24" si="4">+D18</f>
        <v>#REF!</v>
      </c>
      <c r="E24" s="143" t="e">
        <f t="shared" si="4"/>
        <v>#REF!</v>
      </c>
      <c r="F24" s="143" t="e">
        <f t="shared" si="4"/>
        <v>#REF!</v>
      </c>
      <c r="G24" s="143" t="e">
        <f t="shared" si="4"/>
        <v>#REF!</v>
      </c>
      <c r="H24" s="143" t="e">
        <f t="shared" si="4"/>
        <v>#REF!</v>
      </c>
      <c r="I24" s="143" t="e">
        <f t="shared" si="4"/>
        <v>#REF!</v>
      </c>
      <c r="J24" s="143" t="e">
        <f t="shared" si="4"/>
        <v>#REF!</v>
      </c>
      <c r="K24" s="143" t="e">
        <f t="shared" si="4"/>
        <v>#REF!</v>
      </c>
      <c r="L24" s="143" t="e">
        <f t="shared" si="4"/>
        <v>#REF!</v>
      </c>
    </row>
    <row r="25" ht="14.5">
      <c r="A25" s="149"/>
      <c r="B25" t="str">
        <f>+'SP-mese'!A5</f>
        <v>Cassa e Banca</v>
      </c>
      <c r="C25" s="148" t="e">
        <f>+#REF!</f>
        <v>#REF!</v>
      </c>
      <c r="D25" s="148" t="e">
        <f>+#REF!</f>
        <v>#REF!</v>
      </c>
      <c r="E25" s="148" t="e">
        <f>+#REF!</f>
        <v>#REF!</v>
      </c>
      <c r="F25" s="148" t="e">
        <f>+#REF!</f>
        <v>#REF!</v>
      </c>
      <c r="G25" s="148" t="e">
        <f>+#REF!</f>
        <v>#REF!</v>
      </c>
      <c r="H25" s="148" t="e">
        <f>+#REF!</f>
        <v>#REF!</v>
      </c>
      <c r="I25" s="148" t="e">
        <f>+#REF!</f>
        <v>#REF!</v>
      </c>
      <c r="J25" s="148" t="e">
        <f>+#REF!</f>
        <v>#REF!</v>
      </c>
      <c r="K25" s="148" t="e">
        <f>+#REF!</f>
        <v>#REF!</v>
      </c>
      <c r="L25" s="148" t="e">
        <f>+#REF!</f>
        <v>#REF!</v>
      </c>
    </row>
    <row r="26" ht="14.5">
      <c r="A26" s="149"/>
      <c r="B26" t="str">
        <f>+'SP-mese'!A6</f>
        <v>Crediti esegibili nell'esercizio</v>
      </c>
      <c r="C26" s="148" t="e">
        <f>+#REF!</f>
        <v>#REF!</v>
      </c>
      <c r="D26" s="148" t="e">
        <f>+#REF!</f>
        <v>#REF!</v>
      </c>
      <c r="E26" s="148" t="e">
        <f>+#REF!</f>
        <v>#REF!</v>
      </c>
      <c r="F26" s="148" t="e">
        <f>+#REF!</f>
        <v>#REF!</v>
      </c>
      <c r="G26" s="148" t="e">
        <f>+#REF!</f>
        <v>#REF!</v>
      </c>
      <c r="H26" s="148" t="e">
        <f>+#REF!</f>
        <v>#REF!</v>
      </c>
      <c r="I26" s="148" t="e">
        <f>+#REF!</f>
        <v>#REF!</v>
      </c>
      <c r="J26" s="148" t="e">
        <f>+#REF!</f>
        <v>#REF!</v>
      </c>
      <c r="K26" s="148" t="e">
        <f>+#REF!</f>
        <v>#REF!</v>
      </c>
      <c r="L26" s="148" t="e">
        <f>+#REF!</f>
        <v>#REF!</v>
      </c>
    </row>
    <row r="27" ht="14.5">
      <c r="A27" s="149"/>
      <c r="B27" t="str">
        <f>+'SP-mese'!A16</f>
        <v>Totale Rimanenze</v>
      </c>
      <c r="C27" s="148" t="e">
        <f>+#REF!</f>
        <v>#REF!</v>
      </c>
      <c r="D27" s="148" t="e">
        <f>+#REF!</f>
        <v>#REF!</v>
      </c>
      <c r="E27" s="148" t="e">
        <f>+#REF!</f>
        <v>#REF!</v>
      </c>
      <c r="F27" s="148" t="e">
        <f>+#REF!</f>
        <v>#REF!</v>
      </c>
      <c r="G27" s="148" t="e">
        <f>+#REF!</f>
        <v>#REF!</v>
      </c>
      <c r="H27" s="148" t="e">
        <f>+#REF!</f>
        <v>#REF!</v>
      </c>
      <c r="I27" s="148" t="e">
        <f>+#REF!</f>
        <v>#REF!</v>
      </c>
      <c r="J27" s="148" t="e">
        <f>+#REF!</f>
        <v>#REF!</v>
      </c>
      <c r="K27" s="148" t="e">
        <f>+#REF!</f>
        <v>#REF!</v>
      </c>
      <c r="L27" s="148" t="e">
        <f>+#REF!</f>
        <v>#REF!</v>
      </c>
    </row>
    <row r="28" ht="14.5">
      <c r="A28" s="149"/>
      <c r="B28" t="str">
        <f>+'SP-mese'!A19</f>
        <v>Nuove Immobilizzazioni materiali</v>
      </c>
      <c r="C28" s="148" t="e">
        <f>+#REF!</f>
        <v>#REF!</v>
      </c>
      <c r="D28" s="148" t="e">
        <f>+#REF!</f>
        <v>#REF!</v>
      </c>
      <c r="E28" s="148" t="e">
        <f>+#REF!</f>
        <v>#REF!</v>
      </c>
      <c r="F28" s="148" t="e">
        <f>+#REF!</f>
        <v>#REF!</v>
      </c>
      <c r="G28" s="148" t="e">
        <f>+#REF!</f>
        <v>#REF!</v>
      </c>
      <c r="H28" s="148" t="e">
        <f>+#REF!</f>
        <v>#REF!</v>
      </c>
      <c r="I28" s="148" t="e">
        <f>+#REF!</f>
        <v>#REF!</v>
      </c>
      <c r="J28" s="148" t="e">
        <f>+#REF!</f>
        <v>#REF!</v>
      </c>
      <c r="K28" s="148" t="e">
        <f>+#REF!</f>
        <v>#REF!</v>
      </c>
      <c r="L28" s="148" t="e">
        <f>+#REF!</f>
        <v>#REF!</v>
      </c>
    </row>
    <row r="29" ht="14.5">
      <c r="A29" s="149"/>
      <c r="B29" t="str">
        <f>+'SP-mese'!A34</f>
        <v>Nuove Immobilizzazioni immateriali</v>
      </c>
      <c r="C29" s="148" t="e">
        <f>+#REF!</f>
        <v>#REF!</v>
      </c>
      <c r="D29" s="148" t="e">
        <f>+#REF!</f>
        <v>#REF!</v>
      </c>
      <c r="E29" s="148" t="e">
        <f>+#REF!</f>
        <v>#REF!</v>
      </c>
      <c r="F29" s="148" t="e">
        <f>+#REF!</f>
        <v>#REF!</v>
      </c>
      <c r="G29" s="148" t="e">
        <f>+#REF!</f>
        <v>#REF!</v>
      </c>
      <c r="H29" s="148" t="e">
        <f>+#REF!</f>
        <v>#REF!</v>
      </c>
      <c r="I29" s="148" t="e">
        <f>+#REF!</f>
        <v>#REF!</v>
      </c>
      <c r="J29" s="148" t="e">
        <f>+#REF!</f>
        <v>#REF!</v>
      </c>
      <c r="K29" s="148" t="e">
        <f>+#REF!</f>
        <v>#REF!</v>
      </c>
      <c r="L29" s="148" t="e">
        <f>+#REF!</f>
        <v>#REF!</v>
      </c>
    </row>
    <row r="30" thickBot="1">
      <c r="A30" s="149"/>
      <c r="B30" t="s">
        <v>982</v>
      </c>
      <c r="C30" s="148" t="e">
        <f>+#REF!</f>
        <v>#REF!</v>
      </c>
      <c r="D30" s="148" t="e">
        <f>+#REF!</f>
        <v>#REF!</v>
      </c>
      <c r="E30" s="148" t="e">
        <f>+#REF!</f>
        <v>#REF!</v>
      </c>
      <c r="F30" s="148" t="e">
        <f>+#REF!</f>
        <v>#REF!</v>
      </c>
      <c r="G30" s="148" t="e">
        <f>+#REF!</f>
        <v>#REF!</v>
      </c>
      <c r="H30" s="148" t="e">
        <f>+#REF!</f>
        <v>#REF!</v>
      </c>
      <c r="I30" s="148" t="e">
        <f>+#REF!</f>
        <v>#REF!</v>
      </c>
      <c r="J30" s="148" t="e">
        <f>+#REF!</f>
        <v>#REF!</v>
      </c>
      <c r="K30" s="148" t="e">
        <f>+#REF!</f>
        <v>#REF!</v>
      </c>
      <c r="L30" s="148" t="e">
        <f>+#REF!</f>
        <v>#REF!</v>
      </c>
    </row>
    <row r="31" thickBot="1">
      <c r="A31" s="149"/>
      <c r="B31" s="146" t="s">
        <v>983</v>
      </c>
      <c r="C31" s="147" t="e">
        <f>SUM(C25:C30)</f>
        <v>#REF!</v>
      </c>
      <c r="D31" s="147" t="e">
        <f t="shared" ref="D31:L31" si="5">SUM(D25:D30)</f>
        <v>#REF!</v>
      </c>
      <c r="E31" s="147" t="e">
        <f t="shared" si="5"/>
        <v>#REF!</v>
      </c>
      <c r="F31" s="147" t="e">
        <f t="shared" si="5"/>
        <v>#REF!</v>
      </c>
      <c r="G31" s="147" t="e">
        <f t="shared" si="5"/>
        <v>#REF!</v>
      </c>
      <c r="H31" s="147" t="e">
        <f t="shared" si="5"/>
        <v>#REF!</v>
      </c>
      <c r="I31" s="147" t="e">
        <f t="shared" si="5"/>
        <v>#REF!</v>
      </c>
      <c r="J31" s="147" t="e">
        <f t="shared" si="5"/>
        <v>#REF!</v>
      </c>
      <c r="K31" s="147" t="e">
        <f t="shared" si="5"/>
        <v>#REF!</v>
      </c>
      <c r="L31" s="147" t="e">
        <f t="shared" si="5"/>
        <v>#REF!</v>
      </c>
    </row>
    <row r="32" ht="14.5">
      <c r="A32" s="149"/>
      <c r="B32" t="e">
        <f>+'SP-mese'!#REF!</f>
        <v>#REF!</v>
      </c>
      <c r="C32" s="148" t="e">
        <f>+#REF!</f>
        <v>#REF!</v>
      </c>
      <c r="D32" s="148" t="e">
        <f>+#REF!</f>
        <v>#REF!</v>
      </c>
      <c r="E32" s="148" t="e">
        <f>+#REF!</f>
        <v>#REF!</v>
      </c>
      <c r="F32" s="148" t="e">
        <f>+#REF!</f>
        <v>#REF!</v>
      </c>
      <c r="G32" s="148" t="e">
        <f>+#REF!</f>
        <v>#REF!</v>
      </c>
      <c r="H32" s="148" t="e">
        <f>+#REF!</f>
        <v>#REF!</v>
      </c>
      <c r="I32" s="148" t="e">
        <f>+#REF!</f>
        <v>#REF!</v>
      </c>
      <c r="J32" s="148" t="e">
        <f>+#REF!</f>
        <v>#REF!</v>
      </c>
      <c r="K32" s="148" t="e">
        <f>+#REF!</f>
        <v>#REF!</v>
      </c>
      <c r="L32" s="148" t="e">
        <f>+#REF!</f>
        <v>#REF!</v>
      </c>
    </row>
    <row r="33" ht="14.5">
      <c r="A33" s="149"/>
      <c r="B33" t="str">
        <f>+'SP-mese'!A53</f>
        <v>Debiti Correnti in Continuità</v>
      </c>
      <c r="C33" s="148" t="e">
        <f>+#REF!</f>
        <v>#REF!</v>
      </c>
      <c r="D33" s="148" t="e">
        <f>+#REF!</f>
        <v>#REF!</v>
      </c>
      <c r="E33" s="148" t="e">
        <f>+#REF!</f>
        <v>#REF!</v>
      </c>
      <c r="F33" s="148" t="e">
        <f>+#REF!</f>
        <v>#REF!</v>
      </c>
      <c r="G33" s="148" t="e">
        <f>+#REF!</f>
        <v>#REF!</v>
      </c>
      <c r="H33" s="148" t="e">
        <f>+#REF!</f>
        <v>#REF!</v>
      </c>
      <c r="I33" s="148" t="e">
        <f>+#REF!</f>
        <v>#REF!</v>
      </c>
      <c r="J33" s="148" t="e">
        <f>+#REF!</f>
        <v>#REF!</v>
      </c>
      <c r="K33" s="148" t="e">
        <f>+#REF!</f>
        <v>#REF!</v>
      </c>
      <c r="L33" s="148" t="e">
        <f>+#REF!</f>
        <v>#REF!</v>
      </c>
    </row>
    <row r="34" ht="14.5">
      <c r="A34" s="149"/>
      <c r="B34" t="str">
        <f>+'SP-mese'!A67</f>
        <v>Debito a m/lungo termine in Continuità</v>
      </c>
      <c r="C34" s="148" t="e">
        <f>+#REF!</f>
        <v>#REF!</v>
      </c>
      <c r="D34" s="148" t="e">
        <f>+#REF!</f>
        <v>#REF!</v>
      </c>
      <c r="E34" s="148" t="e">
        <f>+#REF!</f>
        <v>#REF!</v>
      </c>
      <c r="F34" s="148" t="e">
        <f>+#REF!</f>
        <v>#REF!</v>
      </c>
      <c r="G34" s="148" t="e">
        <f>+#REF!</f>
        <v>#REF!</v>
      </c>
      <c r="H34" s="148" t="e">
        <f>+#REF!</f>
        <v>#REF!</v>
      </c>
      <c r="I34" s="148" t="e">
        <f>+#REF!</f>
        <v>#REF!</v>
      </c>
      <c r="J34" s="148" t="e">
        <f>+#REF!</f>
        <v>#REF!</v>
      </c>
      <c r="K34" s="148" t="e">
        <f>+#REF!</f>
        <v>#REF!</v>
      </c>
      <c r="L34" s="148" t="e">
        <f>+#REF!</f>
        <v>#REF!</v>
      </c>
    </row>
    <row r="35" thickBot="1">
      <c r="A35" s="149"/>
      <c r="B35" t="str">
        <f>+'SP-mese'!A76</f>
        <v>Capitale Netto</v>
      </c>
      <c r="C35" s="148" t="e">
        <f>+#REF!</f>
        <v>#REF!</v>
      </c>
      <c r="D35" s="148" t="e">
        <f>+#REF!</f>
        <v>#REF!</v>
      </c>
      <c r="E35" s="148" t="e">
        <f>+#REF!</f>
        <v>#REF!</v>
      </c>
      <c r="F35" s="148" t="e">
        <f>+#REF!</f>
        <v>#REF!</v>
      </c>
      <c r="G35" s="148" t="e">
        <f>+#REF!</f>
        <v>#REF!</v>
      </c>
      <c r="H35" s="148" t="e">
        <f>+#REF!</f>
        <v>#REF!</v>
      </c>
      <c r="I35" s="148" t="e">
        <f>+#REF!</f>
        <v>#REF!</v>
      </c>
      <c r="J35" s="148" t="e">
        <f>+#REF!</f>
        <v>#REF!</v>
      </c>
      <c r="K35" s="148" t="e">
        <f>+#REF!</f>
        <v>#REF!</v>
      </c>
      <c r="L35" s="148" t="e">
        <f>+#REF!</f>
        <v>#REF!</v>
      </c>
    </row>
    <row r="36" thickBot="1">
      <c r="A36" s="149"/>
      <c r="B36" s="146" t="s">
        <v>987</v>
      </c>
      <c r="C36" s="147" t="e">
        <f>SUM(C32:C35)</f>
        <v>#REF!</v>
      </c>
      <c r="D36" s="147" t="e">
        <f t="shared" ref="D36:L36" si="6">SUM(D32:D35)</f>
        <v>#REF!</v>
      </c>
      <c r="E36" s="147" t="e">
        <f t="shared" si="6"/>
        <v>#REF!</v>
      </c>
      <c r="F36" s="147" t="e">
        <f t="shared" si="6"/>
        <v>#REF!</v>
      </c>
      <c r="G36" s="147" t="e">
        <f t="shared" si="6"/>
        <v>#REF!</v>
      </c>
      <c r="H36" s="147" t="e">
        <f t="shared" si="6"/>
        <v>#REF!</v>
      </c>
      <c r="I36" s="147" t="e">
        <f t="shared" si="6"/>
        <v>#REF!</v>
      </c>
      <c r="J36" s="147" t="e">
        <f t="shared" si="6"/>
        <v>#REF!</v>
      </c>
      <c r="K36" s="147" t="e">
        <f t="shared" si="6"/>
        <v>#REF!</v>
      </c>
      <c r="L36" s="147" t="e">
        <f t="shared" si="6"/>
        <v>#REF!</v>
      </c>
    </row>
    <row r="37" ht="14.5">
      <c r="A37" s="142"/>
    </row>
  </sheetData>
  <conditionalFormatting sqref="C21:L21">
    <cfRule priority="7" dxfId="3" type="cellIs" operator="lessThan">
      <formula>1</formula>
    </cfRule>
  </conditionalFormatting>
  <hyperlinks>
    <hyperlink ref="B1" location="Input!A1" display="MENU"/>
  </hyperlinks>
  <pageSetup paperSize="9" orientation="portrait" horizontalDpi="300" verticalDpi="300"/>
</worksheet>
</file>

<file path=xl/worksheets/sheet26.xml><?xml version="1.0" encoding="utf-8"?>
<worksheet xmlns:r="http://schemas.openxmlformats.org/officeDocument/2006/relationships" xmlns="http://schemas.openxmlformats.org/spreadsheetml/2006/main">
  <sheetViews>
    <sheetView showGridLines="0" workbookViewId="0">
      <selection activeCell="F4" sqref="F4"/>
    </sheetView>
  </sheetViews>
  <sheetFormatPr defaultColWidth="8.855469" defaultRowHeight="15" outlineLevelCol="1"/>
  <cols>
    <col min="1" max="1" width="8.425781" bestFit="1" customWidth="1"/>
    <col min="3" max="3" width="15.42578" bestFit="1" customWidth="1"/>
    <col min="4" max="4" width="10.42578" bestFit="1" customWidth="1"/>
    <col min="6" max="6" width="10.42578" customWidth="1" outlineLevel="1"/>
    <col min="7" max="16" width="8.855469" customWidth="1" outlineLevel="1"/>
    <col min="17" max="17" width="8.855469" customWidth="1"/>
    <col min="18" max="28" hidden="1" customWidth="1" outlineLevel="1"/>
    <col min="29" max="29" width="8.855469" collapsed="1"/>
    <col min="30" max="40" hidden="1" customWidth="1" outlineLevel="1"/>
    <col min="41" max="41" width="8.855469" collapsed="1"/>
    <col min="42" max="52" hidden="1" customWidth="1" outlineLevel="1"/>
    <col min="53" max="53" width="8.855469" collapsed="1"/>
    <col min="54" max="64" hidden="1" customWidth="1" outlineLevel="1"/>
    <col min="65" max="65" width="8.855469" collapsed="1"/>
    <col min="66" max="76" hidden="1" customWidth="1" outlineLevel="1"/>
    <col min="77" max="77" width="8.855469" collapsed="1"/>
    <col min="78" max="88" hidden="1" customWidth="1" outlineLevel="1"/>
    <col min="89" max="89" width="8.855469" collapsed="1"/>
    <col min="90" max="100" hidden="1" customWidth="1" outlineLevel="1"/>
    <col min="101" max="101" width="8.855469" collapsed="1"/>
    <col min="102" max="112" hidden="1" customWidth="1" outlineLevel="1"/>
    <col min="113" max="113" width="8.855469" collapsed="1"/>
    <col min="114" max="124" hidden="1" customWidth="1" outlineLevel="1"/>
    <col min="125" max="125" width="8.855469" collapsed="1"/>
  </cols>
  <sheetData>
    <row r="1" ht="28.5">
      <c r="A1" s="150" t="s">
        <v>988</v>
      </c>
      <c r="B1" s="151"/>
      <c r="C1" s="79" t="s">
        <v>38</v>
      </c>
    </row>
    <row r="3" ht="14.5">
      <c r="F3" s="127" t="e">
        <f>+#REF!</f>
        <v>#REF!</v>
      </c>
      <c r="G3" s="127" t="e">
        <f>+#REF!</f>
        <v>#REF!</v>
      </c>
      <c r="H3" s="127" t="e">
        <f>+#REF!</f>
        <v>#REF!</v>
      </c>
      <c r="I3" s="127" t="e">
        <f>+#REF!</f>
        <v>#REF!</v>
      </c>
      <c r="J3" s="127" t="e">
        <f>+#REF!</f>
        <v>#REF!</v>
      </c>
      <c r="K3" s="127" t="e">
        <f>+#REF!</f>
        <v>#REF!</v>
      </c>
      <c r="L3" s="127" t="e">
        <f>+#REF!</f>
        <v>#REF!</v>
      </c>
      <c r="M3" s="127" t="e">
        <f>+#REF!</f>
        <v>#REF!</v>
      </c>
      <c r="N3" s="127" t="e">
        <f>+#REF!</f>
        <v>#REF!</v>
      </c>
      <c r="O3" s="127" t="e">
        <f>+#REF!</f>
        <v>#REF!</v>
      </c>
      <c r="P3" s="127" t="e">
        <f>+#REF!</f>
        <v>#REF!</v>
      </c>
      <c r="Q3" s="127" t="e">
        <f>+#REF!</f>
        <v>#REF!</v>
      </c>
      <c r="R3" s="127" t="e">
        <f>+#REF!</f>
        <v>#REF!</v>
      </c>
      <c r="S3" s="127" t="e">
        <f>+#REF!</f>
        <v>#REF!</v>
      </c>
      <c r="T3" s="127" t="e">
        <f>+#REF!</f>
        <v>#REF!</v>
      </c>
      <c r="U3" s="127" t="e">
        <f>+#REF!</f>
        <v>#REF!</v>
      </c>
      <c r="V3" s="127" t="e">
        <f>+#REF!</f>
        <v>#REF!</v>
      </c>
      <c r="W3" s="127" t="e">
        <f>+#REF!</f>
        <v>#REF!</v>
      </c>
      <c r="X3" s="127" t="e">
        <f>+#REF!</f>
        <v>#REF!</v>
      </c>
      <c r="Y3" s="127" t="e">
        <f>+#REF!</f>
        <v>#REF!</v>
      </c>
      <c r="Z3" s="127" t="e">
        <f>+#REF!</f>
        <v>#REF!</v>
      </c>
      <c r="AA3" s="127" t="e">
        <f>+#REF!</f>
        <v>#REF!</v>
      </c>
      <c r="AB3" s="127" t="e">
        <f>+#REF!</f>
        <v>#REF!</v>
      </c>
      <c r="AC3" s="127" t="e">
        <f>+#REF!</f>
        <v>#REF!</v>
      </c>
      <c r="AD3" s="127" t="e">
        <f>+#REF!</f>
        <v>#REF!</v>
      </c>
      <c r="AE3" s="127" t="e">
        <f>+#REF!</f>
        <v>#REF!</v>
      </c>
      <c r="AF3" s="127" t="e">
        <f>+#REF!</f>
        <v>#REF!</v>
      </c>
      <c r="AG3" s="127" t="e">
        <f>+#REF!</f>
        <v>#REF!</v>
      </c>
      <c r="AH3" s="127" t="e">
        <f>+#REF!</f>
        <v>#REF!</v>
      </c>
      <c r="AI3" s="127" t="e">
        <f>+#REF!</f>
        <v>#REF!</v>
      </c>
      <c r="AJ3" s="127" t="e">
        <f>+#REF!</f>
        <v>#REF!</v>
      </c>
      <c r="AK3" s="127" t="e">
        <f>+#REF!</f>
        <v>#REF!</v>
      </c>
      <c r="AL3" s="127" t="e">
        <f>+#REF!</f>
        <v>#REF!</v>
      </c>
      <c r="AM3" s="127" t="e">
        <f>+#REF!</f>
        <v>#REF!</v>
      </c>
      <c r="AN3" s="127" t="e">
        <f>+#REF!</f>
        <v>#REF!</v>
      </c>
      <c r="AO3" s="127" t="e">
        <f>+#REF!</f>
        <v>#REF!</v>
      </c>
      <c r="AP3" s="127" t="e">
        <f>+#REF!</f>
        <v>#REF!</v>
      </c>
      <c r="AQ3" s="127" t="e">
        <f>+#REF!</f>
        <v>#REF!</v>
      </c>
      <c r="AR3" s="127" t="e">
        <f>+#REF!</f>
        <v>#REF!</v>
      </c>
      <c r="AS3" s="127" t="e">
        <f>+#REF!</f>
        <v>#REF!</v>
      </c>
      <c r="AT3" s="127" t="e">
        <f>+#REF!</f>
        <v>#REF!</v>
      </c>
      <c r="AU3" s="127" t="e">
        <f>+#REF!</f>
        <v>#REF!</v>
      </c>
      <c r="AV3" s="127" t="e">
        <f>+#REF!</f>
        <v>#REF!</v>
      </c>
      <c r="AW3" s="127" t="e">
        <f>+#REF!</f>
        <v>#REF!</v>
      </c>
      <c r="AX3" s="127" t="e">
        <f>+#REF!</f>
        <v>#REF!</v>
      </c>
      <c r="AY3" s="127" t="e">
        <f>+#REF!</f>
        <v>#REF!</v>
      </c>
      <c r="AZ3" s="127" t="e">
        <f>+#REF!</f>
        <v>#REF!</v>
      </c>
      <c r="BA3" s="127" t="e">
        <f>+#REF!</f>
        <v>#REF!</v>
      </c>
      <c r="BB3" s="127" t="e">
        <f>+#REF!</f>
        <v>#REF!</v>
      </c>
      <c r="BC3" s="127" t="e">
        <f>+#REF!</f>
        <v>#REF!</v>
      </c>
      <c r="BD3" s="127" t="e">
        <f>+#REF!</f>
        <v>#REF!</v>
      </c>
      <c r="BE3" s="127" t="e">
        <f>+#REF!</f>
        <v>#REF!</v>
      </c>
      <c r="BF3" s="127" t="e">
        <f>+#REF!</f>
        <v>#REF!</v>
      </c>
      <c r="BG3" s="127" t="e">
        <f>+#REF!</f>
        <v>#REF!</v>
      </c>
      <c r="BH3" s="127" t="e">
        <f>+#REF!</f>
        <v>#REF!</v>
      </c>
      <c r="BI3" s="127" t="e">
        <f>+#REF!</f>
        <v>#REF!</v>
      </c>
      <c r="BJ3" s="127" t="e">
        <f>+#REF!</f>
        <v>#REF!</v>
      </c>
      <c r="BK3" s="127" t="e">
        <f>+#REF!</f>
        <v>#REF!</v>
      </c>
      <c r="BL3" s="127" t="e">
        <f>+#REF!</f>
        <v>#REF!</v>
      </c>
      <c r="BM3" s="127" t="e">
        <f>+#REF!</f>
        <v>#REF!</v>
      </c>
      <c r="BN3" s="127" t="e">
        <f>+#REF!</f>
        <v>#REF!</v>
      </c>
      <c r="BO3" s="127" t="e">
        <f>+#REF!</f>
        <v>#REF!</v>
      </c>
      <c r="BP3" s="127" t="e">
        <f>+#REF!</f>
        <v>#REF!</v>
      </c>
      <c r="BQ3" s="127" t="e">
        <f>+#REF!</f>
        <v>#REF!</v>
      </c>
      <c r="BR3" s="127" t="e">
        <f>+#REF!</f>
        <v>#REF!</v>
      </c>
      <c r="BS3" s="127" t="e">
        <f>+#REF!</f>
        <v>#REF!</v>
      </c>
      <c r="BT3" s="127" t="e">
        <f>+#REF!</f>
        <v>#REF!</v>
      </c>
      <c r="BU3" s="127" t="e">
        <f>+#REF!</f>
        <v>#REF!</v>
      </c>
      <c r="BV3" s="127" t="e">
        <f>+#REF!</f>
        <v>#REF!</v>
      </c>
      <c r="BW3" s="127" t="e">
        <f>+#REF!</f>
        <v>#REF!</v>
      </c>
      <c r="BX3" s="127" t="e">
        <f>+#REF!</f>
        <v>#REF!</v>
      </c>
      <c r="BY3" s="127" t="e">
        <f>+#REF!</f>
        <v>#REF!</v>
      </c>
      <c r="BZ3" s="127" t="e">
        <f>+#REF!</f>
        <v>#REF!</v>
      </c>
      <c r="CA3" s="127" t="e">
        <f>+#REF!</f>
        <v>#REF!</v>
      </c>
      <c r="CB3" s="127" t="e">
        <f>+#REF!</f>
        <v>#REF!</v>
      </c>
      <c r="CC3" s="127" t="e">
        <f>+#REF!</f>
        <v>#REF!</v>
      </c>
      <c r="CD3" s="127" t="e">
        <f>+#REF!</f>
        <v>#REF!</v>
      </c>
      <c r="CE3" s="127" t="e">
        <f>+#REF!</f>
        <v>#REF!</v>
      </c>
      <c r="CF3" s="127" t="e">
        <f>+#REF!</f>
        <v>#REF!</v>
      </c>
      <c r="CG3" s="127" t="e">
        <f>+#REF!</f>
        <v>#REF!</v>
      </c>
      <c r="CH3" s="127" t="e">
        <f>+#REF!</f>
        <v>#REF!</v>
      </c>
      <c r="CI3" s="127" t="e">
        <f>+#REF!</f>
        <v>#REF!</v>
      </c>
      <c r="CJ3" s="127" t="e">
        <f>+#REF!</f>
        <v>#REF!</v>
      </c>
      <c r="CK3" s="127" t="e">
        <f>+#REF!</f>
        <v>#REF!</v>
      </c>
      <c r="CL3" s="127" t="e">
        <f>+#REF!</f>
        <v>#REF!</v>
      </c>
      <c r="CM3" s="127" t="e">
        <f>+#REF!</f>
        <v>#REF!</v>
      </c>
      <c r="CN3" s="127" t="e">
        <f>+#REF!</f>
        <v>#REF!</v>
      </c>
      <c r="CO3" s="127" t="e">
        <f>+#REF!</f>
        <v>#REF!</v>
      </c>
      <c r="CP3" s="127" t="e">
        <f>+#REF!</f>
        <v>#REF!</v>
      </c>
      <c r="CQ3" s="127" t="e">
        <f>+#REF!</f>
        <v>#REF!</v>
      </c>
      <c r="CR3" s="127" t="e">
        <f>+#REF!</f>
        <v>#REF!</v>
      </c>
      <c r="CS3" s="127" t="e">
        <f>+#REF!</f>
        <v>#REF!</v>
      </c>
      <c r="CT3" s="127" t="e">
        <f>+#REF!</f>
        <v>#REF!</v>
      </c>
      <c r="CU3" s="127" t="e">
        <f>+#REF!</f>
        <v>#REF!</v>
      </c>
      <c r="CV3" s="127" t="e">
        <f>+#REF!</f>
        <v>#REF!</v>
      </c>
      <c r="CW3" s="127" t="e">
        <f>+#REF!</f>
        <v>#REF!</v>
      </c>
      <c r="CX3" s="127" t="e">
        <f>+#REF!</f>
        <v>#REF!</v>
      </c>
      <c r="CY3" s="127" t="e">
        <f>+#REF!</f>
        <v>#REF!</v>
      </c>
      <c r="CZ3" s="127" t="e">
        <f>+#REF!</f>
        <v>#REF!</v>
      </c>
      <c r="DA3" s="127" t="e">
        <f>+#REF!</f>
        <v>#REF!</v>
      </c>
      <c r="DB3" s="127" t="e">
        <f>+#REF!</f>
        <v>#REF!</v>
      </c>
      <c r="DC3" s="127" t="e">
        <f>+#REF!</f>
        <v>#REF!</v>
      </c>
      <c r="DD3" s="127" t="e">
        <f>+#REF!</f>
        <v>#REF!</v>
      </c>
      <c r="DE3" s="127" t="e">
        <f>+#REF!</f>
        <v>#REF!</v>
      </c>
      <c r="DF3" s="127" t="e">
        <f>+#REF!</f>
        <v>#REF!</v>
      </c>
      <c r="DG3" s="127" t="e">
        <f>+#REF!</f>
        <v>#REF!</v>
      </c>
      <c r="DH3" s="127" t="e">
        <f>+#REF!</f>
        <v>#REF!</v>
      </c>
      <c r="DI3" s="127" t="e">
        <f>+#REF!</f>
        <v>#REF!</v>
      </c>
      <c r="DJ3" s="127" t="e">
        <f>+#REF!</f>
        <v>#REF!</v>
      </c>
      <c r="DK3" s="127" t="e">
        <f>+#REF!</f>
        <v>#REF!</v>
      </c>
      <c r="DL3" s="127" t="e">
        <f>+#REF!</f>
        <v>#REF!</v>
      </c>
      <c r="DM3" s="127" t="e">
        <f>+#REF!</f>
        <v>#REF!</v>
      </c>
      <c r="DN3" s="127" t="e">
        <f>+#REF!</f>
        <v>#REF!</v>
      </c>
      <c r="DO3" s="127" t="e">
        <f>+#REF!</f>
        <v>#REF!</v>
      </c>
      <c r="DP3" s="127" t="e">
        <f>+#REF!</f>
        <v>#REF!</v>
      </c>
      <c r="DQ3" s="127" t="e">
        <f>+#REF!</f>
        <v>#REF!</v>
      </c>
      <c r="DR3" s="127" t="e">
        <f>+#REF!</f>
        <v>#REF!</v>
      </c>
      <c r="DS3" s="127" t="e">
        <f>+#REF!</f>
        <v>#REF!</v>
      </c>
      <c r="DT3" s="127" t="e">
        <f>+#REF!</f>
        <v>#REF!</v>
      </c>
      <c r="DU3" s="127" t="e">
        <f>+#REF!</f>
        <v>#REF!</v>
      </c>
    </row>
    <row r="4" thickBot="1">
      <c r="C4" s="3" t="s">
        <v>107</v>
      </c>
      <c r="F4" s="127" t="e">
        <f>+#REF!</f>
        <v>#REF!</v>
      </c>
      <c r="G4" s="127" t="e">
        <f>+#REF!</f>
        <v>#REF!</v>
      </c>
      <c r="H4" s="127" t="e">
        <f>+#REF!</f>
        <v>#REF!</v>
      </c>
      <c r="I4" s="127" t="e">
        <f>+#REF!</f>
        <v>#REF!</v>
      </c>
      <c r="J4" s="127" t="e">
        <f>+#REF!</f>
        <v>#REF!</v>
      </c>
      <c r="K4" s="127" t="e">
        <f>+#REF!</f>
        <v>#REF!</v>
      </c>
      <c r="L4" s="127" t="e">
        <f>+#REF!</f>
        <v>#REF!</v>
      </c>
      <c r="M4" s="127" t="e">
        <f>+#REF!</f>
        <v>#REF!</v>
      </c>
      <c r="N4" s="127" t="e">
        <f>+#REF!</f>
        <v>#REF!</v>
      </c>
      <c r="O4" s="127" t="e">
        <f>+#REF!</f>
        <v>#REF!</v>
      </c>
      <c r="P4" s="127" t="e">
        <f>+#REF!</f>
        <v>#REF!</v>
      </c>
      <c r="Q4" s="127" t="e">
        <f>+#REF!</f>
        <v>#REF!</v>
      </c>
      <c r="R4" s="127" t="e">
        <f>+#REF!</f>
        <v>#REF!</v>
      </c>
      <c r="S4" s="127" t="e">
        <f>+#REF!</f>
        <v>#REF!</v>
      </c>
      <c r="T4" s="127" t="e">
        <f>+#REF!</f>
        <v>#REF!</v>
      </c>
      <c r="U4" s="127" t="e">
        <f>+#REF!</f>
        <v>#REF!</v>
      </c>
      <c r="V4" s="127" t="e">
        <f>+#REF!</f>
        <v>#REF!</v>
      </c>
      <c r="W4" s="127" t="e">
        <f>+#REF!</f>
        <v>#REF!</v>
      </c>
      <c r="X4" s="127" t="e">
        <f>+#REF!</f>
        <v>#REF!</v>
      </c>
      <c r="Y4" s="127" t="e">
        <f>+#REF!</f>
        <v>#REF!</v>
      </c>
      <c r="Z4" s="127" t="e">
        <f>+#REF!</f>
        <v>#REF!</v>
      </c>
      <c r="AA4" s="127" t="e">
        <f>+#REF!</f>
        <v>#REF!</v>
      </c>
      <c r="AB4" s="127" t="e">
        <f>+#REF!</f>
        <v>#REF!</v>
      </c>
      <c r="AC4" s="127" t="e">
        <f>+#REF!</f>
        <v>#REF!</v>
      </c>
      <c r="AD4" s="127" t="e">
        <f>+#REF!</f>
        <v>#REF!</v>
      </c>
      <c r="AE4" s="127" t="e">
        <f>+#REF!</f>
        <v>#REF!</v>
      </c>
      <c r="AF4" s="127" t="e">
        <f>+#REF!</f>
        <v>#REF!</v>
      </c>
      <c r="AG4" s="127" t="e">
        <f>+#REF!</f>
        <v>#REF!</v>
      </c>
      <c r="AH4" s="127" t="e">
        <f>+#REF!</f>
        <v>#REF!</v>
      </c>
      <c r="AI4" s="127" t="e">
        <f>+#REF!</f>
        <v>#REF!</v>
      </c>
      <c r="AJ4" s="127" t="e">
        <f>+#REF!</f>
        <v>#REF!</v>
      </c>
      <c r="AK4" s="127" t="e">
        <f>+#REF!</f>
        <v>#REF!</v>
      </c>
      <c r="AL4" s="127" t="e">
        <f>+#REF!</f>
        <v>#REF!</v>
      </c>
      <c r="AM4" s="127" t="e">
        <f>+#REF!</f>
        <v>#REF!</v>
      </c>
      <c r="AN4" s="127" t="e">
        <f>+#REF!</f>
        <v>#REF!</v>
      </c>
      <c r="AO4" s="127" t="e">
        <f>+#REF!</f>
        <v>#REF!</v>
      </c>
      <c r="AP4" s="127" t="e">
        <f>+#REF!</f>
        <v>#REF!</v>
      </c>
      <c r="AQ4" s="127" t="e">
        <f>+#REF!</f>
        <v>#REF!</v>
      </c>
      <c r="AR4" s="127" t="e">
        <f>+#REF!</f>
        <v>#REF!</v>
      </c>
      <c r="AS4" s="127" t="e">
        <f>+#REF!</f>
        <v>#REF!</v>
      </c>
      <c r="AT4" s="127" t="e">
        <f>+#REF!</f>
        <v>#REF!</v>
      </c>
      <c r="AU4" s="127" t="e">
        <f>+#REF!</f>
        <v>#REF!</v>
      </c>
      <c r="AV4" s="127" t="e">
        <f>+#REF!</f>
        <v>#REF!</v>
      </c>
      <c r="AW4" s="127" t="e">
        <f>+#REF!</f>
        <v>#REF!</v>
      </c>
      <c r="AX4" s="127" t="e">
        <f>+#REF!</f>
        <v>#REF!</v>
      </c>
      <c r="AY4" s="127" t="e">
        <f>+#REF!</f>
        <v>#REF!</v>
      </c>
      <c r="AZ4" s="127" t="e">
        <f>+#REF!</f>
        <v>#REF!</v>
      </c>
      <c r="BA4" s="127" t="e">
        <f>+#REF!</f>
        <v>#REF!</v>
      </c>
      <c r="BB4" s="127" t="e">
        <f>+#REF!</f>
        <v>#REF!</v>
      </c>
      <c r="BC4" s="127" t="e">
        <f>+#REF!</f>
        <v>#REF!</v>
      </c>
      <c r="BD4" s="127" t="e">
        <f>+#REF!</f>
        <v>#REF!</v>
      </c>
      <c r="BE4" s="127" t="e">
        <f>+#REF!</f>
        <v>#REF!</v>
      </c>
      <c r="BF4" s="127" t="e">
        <f>+#REF!</f>
        <v>#REF!</v>
      </c>
      <c r="BG4" s="127" t="e">
        <f>+#REF!</f>
        <v>#REF!</v>
      </c>
      <c r="BH4" s="127" t="e">
        <f>+#REF!</f>
        <v>#REF!</v>
      </c>
      <c r="BI4" s="127" t="e">
        <f>+#REF!</f>
        <v>#REF!</v>
      </c>
      <c r="BJ4" s="127" t="e">
        <f>+#REF!</f>
        <v>#REF!</v>
      </c>
      <c r="BK4" s="127" t="e">
        <f>+#REF!</f>
        <v>#REF!</v>
      </c>
      <c r="BL4" s="127" t="e">
        <f>+#REF!</f>
        <v>#REF!</v>
      </c>
      <c r="BM4" s="127" t="e">
        <f>+#REF!</f>
        <v>#REF!</v>
      </c>
      <c r="BN4" s="127" t="e">
        <f>+#REF!</f>
        <v>#REF!</v>
      </c>
      <c r="BO4" s="127" t="e">
        <f>+#REF!</f>
        <v>#REF!</v>
      </c>
      <c r="BP4" s="127" t="e">
        <f>+#REF!</f>
        <v>#REF!</v>
      </c>
      <c r="BQ4" s="127" t="e">
        <f>+#REF!</f>
        <v>#REF!</v>
      </c>
      <c r="BR4" s="127" t="e">
        <f>+#REF!</f>
        <v>#REF!</v>
      </c>
      <c r="BS4" s="127" t="e">
        <f>+#REF!</f>
        <v>#REF!</v>
      </c>
      <c r="BT4" s="127" t="e">
        <f>+#REF!</f>
        <v>#REF!</v>
      </c>
      <c r="BU4" s="127" t="e">
        <f>+#REF!</f>
        <v>#REF!</v>
      </c>
      <c r="BV4" s="127" t="e">
        <f>+#REF!</f>
        <v>#REF!</v>
      </c>
      <c r="BW4" s="127" t="e">
        <f>+#REF!</f>
        <v>#REF!</v>
      </c>
      <c r="BX4" s="127" t="e">
        <f>+#REF!</f>
        <v>#REF!</v>
      </c>
      <c r="BY4" s="127" t="e">
        <f>+#REF!</f>
        <v>#REF!</v>
      </c>
      <c r="BZ4" s="127" t="e">
        <f>+#REF!</f>
        <v>#REF!</v>
      </c>
      <c r="CA4" s="127" t="e">
        <f>+#REF!</f>
        <v>#REF!</v>
      </c>
      <c r="CB4" s="127" t="e">
        <f>+#REF!</f>
        <v>#REF!</v>
      </c>
      <c r="CC4" s="127" t="e">
        <f>+#REF!</f>
        <v>#REF!</v>
      </c>
      <c r="CD4" s="127" t="e">
        <f>+#REF!</f>
        <v>#REF!</v>
      </c>
      <c r="CE4" s="127" t="e">
        <f>+#REF!</f>
        <v>#REF!</v>
      </c>
      <c r="CF4" s="127" t="e">
        <f>+#REF!</f>
        <v>#REF!</v>
      </c>
      <c r="CG4" s="127" t="e">
        <f>+#REF!</f>
        <v>#REF!</v>
      </c>
      <c r="CH4" s="127" t="e">
        <f>+#REF!</f>
        <v>#REF!</v>
      </c>
      <c r="CI4" s="127" t="e">
        <f>+#REF!</f>
        <v>#REF!</v>
      </c>
      <c r="CJ4" s="127" t="e">
        <f>+#REF!</f>
        <v>#REF!</v>
      </c>
      <c r="CK4" s="127" t="e">
        <f>+#REF!</f>
        <v>#REF!</v>
      </c>
      <c r="CL4" s="127" t="e">
        <f>+#REF!</f>
        <v>#REF!</v>
      </c>
      <c r="CM4" s="127" t="e">
        <f>+#REF!</f>
        <v>#REF!</v>
      </c>
      <c r="CN4" s="127" t="e">
        <f>+#REF!</f>
        <v>#REF!</v>
      </c>
      <c r="CO4" s="127" t="e">
        <f>+#REF!</f>
        <v>#REF!</v>
      </c>
      <c r="CP4" s="127" t="e">
        <f>+#REF!</f>
        <v>#REF!</v>
      </c>
      <c r="CQ4" s="127" t="e">
        <f>+#REF!</f>
        <v>#REF!</v>
      </c>
      <c r="CR4" s="127" t="e">
        <f>+#REF!</f>
        <v>#REF!</v>
      </c>
      <c r="CS4" s="127" t="e">
        <f>+#REF!</f>
        <v>#REF!</v>
      </c>
      <c r="CT4" s="127" t="e">
        <f>+#REF!</f>
        <v>#REF!</v>
      </c>
      <c r="CU4" s="127" t="e">
        <f>+#REF!</f>
        <v>#REF!</v>
      </c>
      <c r="CV4" s="127" t="e">
        <f>+#REF!</f>
        <v>#REF!</v>
      </c>
      <c r="CW4" s="127" t="e">
        <f>+#REF!</f>
        <v>#REF!</v>
      </c>
      <c r="CX4" s="127" t="e">
        <f>+#REF!</f>
        <v>#REF!</v>
      </c>
      <c r="CY4" s="127" t="e">
        <f>+#REF!</f>
        <v>#REF!</v>
      </c>
      <c r="CZ4" s="127" t="e">
        <f>+#REF!</f>
        <v>#REF!</v>
      </c>
      <c r="DA4" s="127" t="e">
        <f>+#REF!</f>
        <v>#REF!</v>
      </c>
      <c r="DB4" s="127" t="e">
        <f>+#REF!</f>
        <v>#REF!</v>
      </c>
      <c r="DC4" s="127" t="e">
        <f>+#REF!</f>
        <v>#REF!</v>
      </c>
      <c r="DD4" s="127" t="e">
        <f>+#REF!</f>
        <v>#REF!</v>
      </c>
      <c r="DE4" s="127" t="e">
        <f>+#REF!</f>
        <v>#REF!</v>
      </c>
      <c r="DF4" s="127" t="e">
        <f>+#REF!</f>
        <v>#REF!</v>
      </c>
      <c r="DG4" s="127" t="e">
        <f>+#REF!</f>
        <v>#REF!</v>
      </c>
      <c r="DH4" s="127" t="e">
        <f>+#REF!</f>
        <v>#REF!</v>
      </c>
      <c r="DI4" s="127" t="e">
        <f>+#REF!</f>
        <v>#REF!</v>
      </c>
      <c r="DJ4" s="127" t="e">
        <f>+#REF!</f>
        <v>#REF!</v>
      </c>
      <c r="DK4" s="127" t="e">
        <f>+#REF!</f>
        <v>#REF!</v>
      </c>
      <c r="DL4" s="127" t="e">
        <f>+#REF!</f>
        <v>#REF!</v>
      </c>
      <c r="DM4" s="127" t="e">
        <f>+#REF!</f>
        <v>#REF!</v>
      </c>
      <c r="DN4" s="127" t="e">
        <f>+#REF!</f>
        <v>#REF!</v>
      </c>
      <c r="DO4" s="127" t="e">
        <f>+#REF!</f>
        <v>#REF!</v>
      </c>
      <c r="DP4" s="127" t="e">
        <f>+#REF!</f>
        <v>#REF!</v>
      </c>
      <c r="DQ4" s="127" t="e">
        <f>+#REF!</f>
        <v>#REF!</v>
      </c>
      <c r="DR4" s="127" t="e">
        <f>+#REF!</f>
        <v>#REF!</v>
      </c>
      <c r="DS4" s="127" t="e">
        <f>+#REF!</f>
        <v>#REF!</v>
      </c>
      <c r="DT4" s="127" t="e">
        <f>+#REF!</f>
        <v>#REF!</v>
      </c>
      <c r="DU4" s="127" t="e">
        <f>+#REF!</f>
        <v>#REF!</v>
      </c>
    </row>
    <row r="5" thickTop="1" thickBot="1" ht="15.5">
      <c r="C5" s="152" t="s">
        <v>989</v>
      </c>
      <c r="D5" s="153">
        <f>+SUM(F5:DU5)</f>
        <v>0</v>
      </c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54"/>
      <c r="AE5" s="154"/>
      <c r="AF5" s="154"/>
      <c r="AG5" s="154"/>
      <c r="AH5" s="154"/>
      <c r="AI5" s="154"/>
      <c r="AJ5" s="154"/>
      <c r="AK5" s="154"/>
      <c r="AL5" s="154"/>
      <c r="AM5" s="154"/>
      <c r="AN5" s="154"/>
      <c r="AO5" s="154"/>
      <c r="AP5" s="154"/>
      <c r="AQ5" s="154"/>
      <c r="AR5" s="154"/>
      <c r="AS5" s="154"/>
      <c r="AT5" s="154"/>
      <c r="AU5" s="154"/>
      <c r="AV5" s="154"/>
      <c r="AW5" s="154"/>
      <c r="AX5" s="154"/>
      <c r="AY5" s="154"/>
      <c r="AZ5" s="154"/>
      <c r="BA5" s="154"/>
      <c r="BB5" s="154"/>
      <c r="BC5" s="154"/>
      <c r="BD5" s="154"/>
      <c r="BE5" s="154"/>
      <c r="BF5" s="154"/>
      <c r="BG5" s="154"/>
      <c r="BH5" s="154"/>
      <c r="BI5" s="154"/>
      <c r="BJ5" s="154"/>
      <c r="BK5" s="154"/>
      <c r="BL5" s="154"/>
      <c r="BM5" s="154"/>
      <c r="BN5" s="154"/>
      <c r="BO5" s="154"/>
      <c r="BP5" s="154"/>
      <c r="BQ5" s="154"/>
      <c r="BR5" s="154"/>
      <c r="BS5" s="154"/>
      <c r="BT5" s="154"/>
      <c r="BU5" s="154"/>
      <c r="BV5" s="154"/>
      <c r="BW5" s="154"/>
      <c r="BX5" s="154"/>
      <c r="BY5" s="154"/>
      <c r="BZ5" s="154"/>
      <c r="CA5" s="154"/>
      <c r="CB5" s="154"/>
      <c r="CC5" s="154"/>
      <c r="CD5" s="154"/>
      <c r="CE5" s="154"/>
      <c r="CF5" s="154"/>
      <c r="CG5" s="154"/>
      <c r="CH5" s="154"/>
      <c r="CI5" s="154"/>
      <c r="CJ5" s="154"/>
      <c r="CK5" s="154"/>
      <c r="CL5" s="154"/>
      <c r="CM5" s="154"/>
      <c r="CN5" s="154"/>
      <c r="CO5" s="154"/>
      <c r="CP5" s="154"/>
      <c r="CQ5" s="154"/>
      <c r="CR5" s="154"/>
      <c r="CS5" s="154"/>
      <c r="CT5" s="154"/>
      <c r="CU5" s="154"/>
      <c r="CV5" s="154"/>
      <c r="CW5" s="154"/>
      <c r="CX5" s="154"/>
      <c r="CY5" s="154"/>
      <c r="CZ5" s="154"/>
      <c r="DA5" s="154"/>
      <c r="DB5" s="154"/>
      <c r="DC5" s="154"/>
      <c r="DD5" s="154"/>
      <c r="DE5" s="154"/>
      <c r="DF5" s="154"/>
      <c r="DG5" s="154"/>
      <c r="DH5" s="154"/>
      <c r="DI5" s="154"/>
      <c r="DJ5" s="154"/>
      <c r="DK5" s="154"/>
      <c r="DL5" s="154"/>
      <c r="DM5" s="154"/>
      <c r="DN5" s="154"/>
      <c r="DO5" s="154"/>
      <c r="DP5" s="154"/>
      <c r="DQ5" s="154"/>
      <c r="DR5" s="154"/>
      <c r="DS5" s="154"/>
      <c r="DT5" s="154"/>
      <c r="DU5" s="154"/>
    </row>
    <row r="6" thickTop="1" thickBot="1" ht="15.5">
      <c r="C6" s="152" t="s">
        <v>990</v>
      </c>
      <c r="D6" s="153">
        <f t="shared" ref="D6:D20" si="0">+SUM(F6:DU6)</f>
        <v>0</v>
      </c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4"/>
      <c r="U6" s="154"/>
      <c r="V6" s="154"/>
      <c r="W6" s="154"/>
      <c r="X6" s="154"/>
      <c r="Y6" s="154"/>
      <c r="Z6" s="154"/>
      <c r="AA6" s="154"/>
      <c r="AB6" s="154"/>
      <c r="AC6" s="154"/>
      <c r="AD6" s="154"/>
      <c r="AE6" s="154"/>
      <c r="AF6" s="154"/>
      <c r="AG6" s="154"/>
      <c r="AH6" s="154"/>
      <c r="AI6" s="154"/>
      <c r="AJ6" s="154"/>
      <c r="AK6" s="154"/>
      <c r="AL6" s="154"/>
      <c r="AM6" s="154"/>
      <c r="AN6" s="154"/>
      <c r="AO6" s="154"/>
      <c r="AP6" s="154"/>
      <c r="AQ6" s="154"/>
      <c r="AR6" s="154"/>
      <c r="AS6" s="154"/>
      <c r="AT6" s="154"/>
      <c r="AU6" s="154"/>
      <c r="AV6" s="154"/>
      <c r="AW6" s="154"/>
      <c r="AX6" s="154"/>
      <c r="AY6" s="154"/>
      <c r="AZ6" s="154"/>
      <c r="BA6" s="154"/>
      <c r="BB6" s="154"/>
      <c r="BC6" s="154"/>
      <c r="BD6" s="154"/>
      <c r="BE6" s="154"/>
      <c r="BF6" s="154"/>
      <c r="BG6" s="154"/>
      <c r="BH6" s="154"/>
      <c r="BI6" s="154"/>
      <c r="BJ6" s="154"/>
      <c r="BK6" s="154"/>
      <c r="BL6" s="154"/>
      <c r="BM6" s="154"/>
      <c r="BN6" s="154"/>
      <c r="BO6" s="154"/>
      <c r="BP6" s="154"/>
      <c r="BQ6" s="154"/>
      <c r="BR6" s="154"/>
      <c r="BS6" s="154"/>
      <c r="BT6" s="154"/>
      <c r="BU6" s="154"/>
      <c r="BV6" s="154"/>
      <c r="BW6" s="154"/>
      <c r="BX6" s="154"/>
      <c r="BY6" s="154"/>
      <c r="BZ6" s="154"/>
      <c r="CA6" s="154"/>
      <c r="CB6" s="154"/>
      <c r="CC6" s="154"/>
      <c r="CD6" s="154"/>
      <c r="CE6" s="154"/>
      <c r="CF6" s="154"/>
      <c r="CG6" s="154"/>
      <c r="CH6" s="154"/>
      <c r="CI6" s="154"/>
      <c r="CJ6" s="154"/>
      <c r="CK6" s="154"/>
      <c r="CL6" s="154"/>
      <c r="CM6" s="154"/>
      <c r="CN6" s="154"/>
      <c r="CO6" s="154"/>
      <c r="CP6" s="154"/>
      <c r="CQ6" s="154"/>
      <c r="CR6" s="154"/>
      <c r="CS6" s="154"/>
      <c r="CT6" s="154"/>
      <c r="CU6" s="154"/>
      <c r="CV6" s="154"/>
      <c r="CW6" s="154"/>
      <c r="CX6" s="154"/>
      <c r="CY6" s="154"/>
      <c r="CZ6" s="154"/>
      <c r="DA6" s="154"/>
      <c r="DB6" s="154"/>
      <c r="DC6" s="154"/>
      <c r="DD6" s="154"/>
      <c r="DE6" s="154"/>
      <c r="DF6" s="154"/>
      <c r="DG6" s="154"/>
      <c r="DH6" s="154"/>
      <c r="DI6" s="154"/>
      <c r="DJ6" s="154"/>
      <c r="DK6" s="154"/>
      <c r="DL6" s="154"/>
      <c r="DM6" s="154"/>
      <c r="DN6" s="154"/>
      <c r="DO6" s="154"/>
      <c r="DP6" s="154"/>
      <c r="DQ6" s="154"/>
      <c r="DR6" s="154"/>
      <c r="DS6" s="154"/>
      <c r="DT6" s="154"/>
      <c r="DU6" s="154"/>
    </row>
    <row r="7" thickTop="1" thickBot="1" ht="15.5">
      <c r="C7" s="152" t="s">
        <v>991</v>
      </c>
      <c r="D7" s="153">
        <f t="shared" si="0"/>
        <v>0</v>
      </c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154"/>
      <c r="Z7" s="154"/>
      <c r="AA7" s="154"/>
      <c r="AB7" s="154"/>
      <c r="AC7" s="154"/>
      <c r="AD7" s="154"/>
      <c r="AE7" s="154"/>
      <c r="AF7" s="154"/>
      <c r="AG7" s="154"/>
      <c r="AH7" s="154"/>
      <c r="AI7" s="154"/>
      <c r="AJ7" s="154"/>
      <c r="AK7" s="154"/>
      <c r="AL7" s="154"/>
      <c r="AM7" s="154"/>
      <c r="AN7" s="154"/>
      <c r="AO7" s="154"/>
      <c r="AP7" s="154"/>
      <c r="AQ7" s="154"/>
      <c r="AR7" s="154"/>
      <c r="AS7" s="154"/>
      <c r="AT7" s="154"/>
      <c r="AU7" s="154"/>
      <c r="AV7" s="154"/>
      <c r="AW7" s="154"/>
      <c r="AX7" s="154"/>
      <c r="AY7" s="154"/>
      <c r="AZ7" s="154"/>
      <c r="BA7" s="154"/>
      <c r="BB7" s="154"/>
      <c r="BC7" s="154"/>
      <c r="BD7" s="154"/>
      <c r="BE7" s="154"/>
      <c r="BF7" s="154"/>
      <c r="BG7" s="154"/>
      <c r="BH7" s="154"/>
      <c r="BI7" s="154"/>
      <c r="BJ7" s="154"/>
      <c r="BK7" s="154"/>
      <c r="BL7" s="154"/>
      <c r="BM7" s="154"/>
      <c r="BN7" s="154"/>
      <c r="BO7" s="154"/>
      <c r="BP7" s="154"/>
      <c r="BQ7" s="154"/>
      <c r="BR7" s="154"/>
      <c r="BS7" s="154"/>
      <c r="BT7" s="154"/>
      <c r="BU7" s="154"/>
      <c r="BV7" s="154"/>
      <c r="BW7" s="154"/>
      <c r="BX7" s="154"/>
      <c r="BY7" s="154"/>
      <c r="BZ7" s="154"/>
      <c r="CA7" s="154"/>
      <c r="CB7" s="154"/>
      <c r="CC7" s="154"/>
      <c r="CD7" s="154"/>
      <c r="CE7" s="154"/>
      <c r="CF7" s="154"/>
      <c r="CG7" s="154"/>
      <c r="CH7" s="154"/>
      <c r="CI7" s="154"/>
      <c r="CJ7" s="154"/>
      <c r="CK7" s="154"/>
      <c r="CL7" s="154"/>
      <c r="CM7" s="154"/>
      <c r="CN7" s="154"/>
      <c r="CO7" s="154"/>
      <c r="CP7" s="154"/>
      <c r="CQ7" s="154"/>
      <c r="CR7" s="154"/>
      <c r="CS7" s="154"/>
      <c r="CT7" s="154"/>
      <c r="CU7" s="154"/>
      <c r="CV7" s="154"/>
      <c r="CW7" s="154"/>
      <c r="CX7" s="154"/>
      <c r="CY7" s="154"/>
      <c r="CZ7" s="154"/>
      <c r="DA7" s="154"/>
      <c r="DB7" s="154"/>
      <c r="DC7" s="154"/>
      <c r="DD7" s="154"/>
      <c r="DE7" s="154"/>
      <c r="DF7" s="154"/>
      <c r="DG7" s="154"/>
      <c r="DH7" s="154"/>
      <c r="DI7" s="154"/>
      <c r="DJ7" s="154"/>
      <c r="DK7" s="154"/>
      <c r="DL7" s="154"/>
      <c r="DM7" s="154"/>
      <c r="DN7" s="154"/>
      <c r="DO7" s="154"/>
      <c r="DP7" s="154"/>
      <c r="DQ7" s="154"/>
      <c r="DR7" s="154"/>
      <c r="DS7" s="154"/>
      <c r="DT7" s="154"/>
      <c r="DU7" s="154"/>
    </row>
    <row r="8" thickTop="1" thickBot="1" ht="15.5">
      <c r="C8" s="152" t="s">
        <v>992</v>
      </c>
      <c r="D8" s="153">
        <f t="shared" si="0"/>
        <v>0</v>
      </c>
      <c r="F8" s="154"/>
      <c r="G8" s="154"/>
      <c r="H8" s="154"/>
      <c r="I8" s="154"/>
      <c r="J8" s="154"/>
      <c r="K8" s="154"/>
      <c r="L8" s="154"/>
      <c r="M8" s="154"/>
      <c r="N8" s="154"/>
      <c r="O8" s="154"/>
      <c r="P8" s="154"/>
      <c r="Q8" s="154"/>
      <c r="R8" s="154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54"/>
      <c r="AD8" s="154"/>
      <c r="AE8" s="154"/>
      <c r="AF8" s="154"/>
      <c r="AG8" s="154"/>
      <c r="AH8" s="154"/>
      <c r="AI8" s="154"/>
      <c r="AJ8" s="154"/>
      <c r="AK8" s="154"/>
      <c r="AL8" s="154"/>
      <c r="AM8" s="154"/>
      <c r="AN8" s="154"/>
      <c r="AO8" s="154"/>
      <c r="AP8" s="154"/>
      <c r="AQ8" s="154"/>
      <c r="AR8" s="154"/>
      <c r="AS8" s="154"/>
      <c r="AT8" s="154"/>
      <c r="AU8" s="154"/>
      <c r="AV8" s="154"/>
      <c r="AW8" s="154"/>
      <c r="AX8" s="154"/>
      <c r="AY8" s="154"/>
      <c r="AZ8" s="154"/>
      <c r="BA8" s="154"/>
      <c r="BB8" s="154"/>
      <c r="BC8" s="154"/>
      <c r="BD8" s="154"/>
      <c r="BE8" s="154"/>
      <c r="BF8" s="154"/>
      <c r="BG8" s="154"/>
      <c r="BH8" s="154"/>
      <c r="BI8" s="154"/>
      <c r="BJ8" s="154"/>
      <c r="BK8" s="154"/>
      <c r="BL8" s="154"/>
      <c r="BM8" s="154"/>
      <c r="BN8" s="154"/>
      <c r="BO8" s="154"/>
      <c r="BP8" s="154"/>
      <c r="BQ8" s="154"/>
      <c r="BR8" s="154"/>
      <c r="BS8" s="154"/>
      <c r="BT8" s="154"/>
      <c r="BU8" s="154"/>
      <c r="BV8" s="154"/>
      <c r="BW8" s="154"/>
      <c r="BX8" s="154"/>
      <c r="BY8" s="154"/>
      <c r="BZ8" s="154"/>
      <c r="CA8" s="154"/>
      <c r="CB8" s="154"/>
      <c r="CC8" s="154"/>
      <c r="CD8" s="154"/>
      <c r="CE8" s="154"/>
      <c r="CF8" s="154"/>
      <c r="CG8" s="154"/>
      <c r="CH8" s="154"/>
      <c r="CI8" s="154"/>
      <c r="CJ8" s="154"/>
      <c r="CK8" s="154"/>
      <c r="CL8" s="154"/>
      <c r="CM8" s="154"/>
      <c r="CN8" s="154"/>
      <c r="CO8" s="154"/>
      <c r="CP8" s="154"/>
      <c r="CQ8" s="154"/>
      <c r="CR8" s="154"/>
      <c r="CS8" s="154"/>
      <c r="CT8" s="154"/>
      <c r="CU8" s="154"/>
      <c r="CV8" s="154"/>
      <c r="CW8" s="154"/>
      <c r="CX8" s="154"/>
      <c r="CY8" s="154"/>
      <c r="CZ8" s="154"/>
      <c r="DA8" s="154"/>
      <c r="DB8" s="154"/>
      <c r="DC8" s="154"/>
      <c r="DD8" s="154"/>
      <c r="DE8" s="154"/>
      <c r="DF8" s="154"/>
      <c r="DG8" s="154"/>
      <c r="DH8" s="154"/>
      <c r="DI8" s="154"/>
      <c r="DJ8" s="154"/>
      <c r="DK8" s="154"/>
      <c r="DL8" s="154"/>
      <c r="DM8" s="154"/>
      <c r="DN8" s="154"/>
      <c r="DO8" s="154"/>
      <c r="DP8" s="154"/>
      <c r="DQ8" s="154"/>
      <c r="DR8" s="154"/>
      <c r="DS8" s="154"/>
      <c r="DT8" s="154"/>
      <c r="DU8" s="154"/>
    </row>
    <row r="9" thickTop="1" thickBot="1" ht="15.5">
      <c r="C9" s="152" t="s">
        <v>993</v>
      </c>
      <c r="D9" s="153">
        <f t="shared" si="0"/>
        <v>0</v>
      </c>
      <c r="F9" s="154"/>
      <c r="G9" s="154"/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4"/>
      <c r="T9" s="154"/>
      <c r="U9" s="154"/>
      <c r="V9" s="154"/>
      <c r="W9" s="154"/>
      <c r="X9" s="154"/>
      <c r="Y9" s="154"/>
      <c r="Z9" s="154"/>
      <c r="AA9" s="154"/>
      <c r="AB9" s="154"/>
      <c r="AC9" s="154"/>
      <c r="AD9" s="154"/>
      <c r="AE9" s="154"/>
      <c r="AF9" s="154"/>
      <c r="AG9" s="154"/>
      <c r="AH9" s="154"/>
      <c r="AI9" s="154"/>
      <c r="AJ9" s="154"/>
      <c r="AK9" s="154"/>
      <c r="AL9" s="154"/>
      <c r="AM9" s="154"/>
      <c r="AN9" s="154"/>
      <c r="AO9" s="154"/>
      <c r="AP9" s="154"/>
      <c r="AQ9" s="154"/>
      <c r="AR9" s="154"/>
      <c r="AS9" s="154"/>
      <c r="AT9" s="154"/>
      <c r="AU9" s="154"/>
      <c r="AV9" s="154"/>
      <c r="AW9" s="154"/>
      <c r="AX9" s="154"/>
      <c r="AY9" s="154"/>
      <c r="AZ9" s="154"/>
      <c r="BA9" s="154"/>
      <c r="BB9" s="154"/>
      <c r="BC9" s="154"/>
      <c r="BD9" s="154"/>
      <c r="BE9" s="154"/>
      <c r="BF9" s="154"/>
      <c r="BG9" s="154"/>
      <c r="BH9" s="154"/>
      <c r="BI9" s="154"/>
      <c r="BJ9" s="154"/>
      <c r="BK9" s="154"/>
      <c r="BL9" s="154"/>
      <c r="BM9" s="154"/>
      <c r="BN9" s="154"/>
      <c r="BO9" s="154"/>
      <c r="BP9" s="154"/>
      <c r="BQ9" s="154"/>
      <c r="BR9" s="154"/>
      <c r="BS9" s="154"/>
      <c r="BT9" s="154"/>
      <c r="BU9" s="154"/>
      <c r="BV9" s="154"/>
      <c r="BW9" s="154"/>
      <c r="BX9" s="154"/>
      <c r="BY9" s="154"/>
      <c r="BZ9" s="154"/>
      <c r="CA9" s="154"/>
      <c r="CB9" s="154"/>
      <c r="CC9" s="154"/>
      <c r="CD9" s="154"/>
      <c r="CE9" s="154"/>
      <c r="CF9" s="154"/>
      <c r="CG9" s="154"/>
      <c r="CH9" s="154"/>
      <c r="CI9" s="154"/>
      <c r="CJ9" s="154"/>
      <c r="CK9" s="154"/>
      <c r="CL9" s="154"/>
      <c r="CM9" s="154"/>
      <c r="CN9" s="154"/>
      <c r="CO9" s="154"/>
      <c r="CP9" s="154"/>
      <c r="CQ9" s="154"/>
      <c r="CR9" s="154"/>
      <c r="CS9" s="154"/>
      <c r="CT9" s="154"/>
      <c r="CU9" s="154"/>
      <c r="CV9" s="154"/>
      <c r="CW9" s="154"/>
      <c r="CX9" s="154"/>
      <c r="CY9" s="154"/>
      <c r="CZ9" s="154"/>
      <c r="DA9" s="154"/>
      <c r="DB9" s="154"/>
      <c r="DC9" s="154"/>
      <c r="DD9" s="154"/>
      <c r="DE9" s="154"/>
      <c r="DF9" s="154"/>
      <c r="DG9" s="154"/>
      <c r="DH9" s="154"/>
      <c r="DI9" s="154"/>
      <c r="DJ9" s="154"/>
      <c r="DK9" s="154"/>
      <c r="DL9" s="154"/>
      <c r="DM9" s="154"/>
      <c r="DN9" s="154"/>
      <c r="DO9" s="154"/>
      <c r="DP9" s="154"/>
      <c r="DQ9" s="154"/>
      <c r="DR9" s="154"/>
      <c r="DS9" s="154"/>
      <c r="DT9" s="154"/>
      <c r="DU9" s="154"/>
    </row>
    <row r="10" thickTop="1" thickBot="1" ht="15.5">
      <c r="C10" s="152" t="s">
        <v>994</v>
      </c>
      <c r="D10" s="153">
        <f t="shared" si="0"/>
        <v>0</v>
      </c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4"/>
      <c r="R10" s="154"/>
      <c r="S10" s="154"/>
      <c r="T10" s="154"/>
      <c r="U10" s="154"/>
      <c r="V10" s="154"/>
      <c r="W10" s="154"/>
      <c r="X10" s="154"/>
      <c r="Y10" s="154"/>
      <c r="Z10" s="154"/>
      <c r="AA10" s="154"/>
      <c r="AB10" s="154"/>
      <c r="AC10" s="154"/>
      <c r="AD10" s="154"/>
      <c r="AE10" s="154"/>
      <c r="AF10" s="154"/>
      <c r="AG10" s="154"/>
      <c r="AH10" s="154"/>
      <c r="AI10" s="154"/>
      <c r="AJ10" s="154"/>
      <c r="AK10" s="154"/>
      <c r="AL10" s="154"/>
      <c r="AM10" s="154"/>
      <c r="AN10" s="154"/>
      <c r="AO10" s="154"/>
      <c r="AP10" s="154"/>
      <c r="AQ10" s="154"/>
      <c r="AR10" s="154"/>
      <c r="AS10" s="154"/>
      <c r="AT10" s="154"/>
      <c r="AU10" s="154"/>
      <c r="AV10" s="154"/>
      <c r="AW10" s="154"/>
      <c r="AX10" s="154"/>
      <c r="AY10" s="154"/>
      <c r="AZ10" s="154"/>
      <c r="BA10" s="154"/>
      <c r="BB10" s="154"/>
      <c r="BC10" s="154"/>
      <c r="BD10" s="154"/>
      <c r="BE10" s="154"/>
      <c r="BF10" s="154"/>
      <c r="BG10" s="154"/>
      <c r="BH10" s="154"/>
      <c r="BI10" s="154"/>
      <c r="BJ10" s="154"/>
      <c r="BK10" s="154"/>
      <c r="BL10" s="154"/>
      <c r="BM10" s="154"/>
      <c r="BN10" s="154"/>
      <c r="BO10" s="154"/>
      <c r="BP10" s="154"/>
      <c r="BQ10" s="154"/>
      <c r="BR10" s="154"/>
      <c r="BS10" s="154"/>
      <c r="BT10" s="154"/>
      <c r="BU10" s="154"/>
      <c r="BV10" s="154"/>
      <c r="BW10" s="154"/>
      <c r="BX10" s="154"/>
      <c r="BY10" s="154"/>
      <c r="BZ10" s="154"/>
      <c r="CA10" s="154"/>
      <c r="CB10" s="154"/>
      <c r="CC10" s="154"/>
      <c r="CD10" s="154"/>
      <c r="CE10" s="154"/>
      <c r="CF10" s="154"/>
      <c r="CG10" s="154"/>
      <c r="CH10" s="154"/>
      <c r="CI10" s="154"/>
      <c r="CJ10" s="154"/>
      <c r="CK10" s="154"/>
      <c r="CL10" s="154"/>
      <c r="CM10" s="154"/>
      <c r="CN10" s="154"/>
      <c r="CO10" s="154"/>
      <c r="CP10" s="154"/>
      <c r="CQ10" s="154"/>
      <c r="CR10" s="154"/>
      <c r="CS10" s="154"/>
      <c r="CT10" s="154"/>
      <c r="CU10" s="154"/>
      <c r="CV10" s="154"/>
      <c r="CW10" s="154"/>
      <c r="CX10" s="154"/>
      <c r="CY10" s="154"/>
      <c r="CZ10" s="154"/>
      <c r="DA10" s="154"/>
      <c r="DB10" s="154"/>
      <c r="DC10" s="154"/>
      <c r="DD10" s="154"/>
      <c r="DE10" s="154"/>
      <c r="DF10" s="154"/>
      <c r="DG10" s="154"/>
      <c r="DH10" s="154"/>
      <c r="DI10" s="154"/>
      <c r="DJ10" s="154"/>
      <c r="DK10" s="154"/>
      <c r="DL10" s="154"/>
      <c r="DM10" s="154"/>
      <c r="DN10" s="154"/>
      <c r="DO10" s="154"/>
      <c r="DP10" s="154"/>
      <c r="DQ10" s="154"/>
      <c r="DR10" s="154"/>
      <c r="DS10" s="154"/>
      <c r="DT10" s="154"/>
      <c r="DU10" s="154"/>
    </row>
    <row r="11" thickTop="1" thickBot="1" ht="15.5">
      <c r="C11" s="152" t="s">
        <v>995</v>
      </c>
      <c r="D11" s="153">
        <f t="shared" si="0"/>
        <v>0</v>
      </c>
      <c r="F11" s="154"/>
      <c r="G11" s="154"/>
      <c r="H11" s="154"/>
      <c r="I11" s="154"/>
      <c r="J11" s="154"/>
      <c r="K11" s="154"/>
      <c r="L11" s="154"/>
      <c r="M11" s="154"/>
      <c r="N11" s="154"/>
      <c r="O11" s="154"/>
      <c r="P11" s="154"/>
      <c r="Q11" s="154"/>
      <c r="R11" s="154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54"/>
      <c r="AE11" s="154"/>
      <c r="AF11" s="154"/>
      <c r="AG11" s="154"/>
      <c r="AH11" s="154"/>
      <c r="AI11" s="154"/>
      <c r="AJ11" s="154"/>
      <c r="AK11" s="154"/>
      <c r="AL11" s="154"/>
      <c r="AM11" s="154"/>
      <c r="AN11" s="154"/>
      <c r="AO11" s="154"/>
      <c r="AP11" s="154"/>
      <c r="AQ11" s="154"/>
      <c r="AR11" s="154"/>
      <c r="AS11" s="154"/>
      <c r="AT11" s="154"/>
      <c r="AU11" s="154"/>
      <c r="AV11" s="154"/>
      <c r="AW11" s="154"/>
      <c r="AX11" s="154"/>
      <c r="AY11" s="154"/>
      <c r="AZ11" s="154"/>
      <c r="BA11" s="154"/>
      <c r="BB11" s="154"/>
      <c r="BC11" s="154"/>
      <c r="BD11" s="154"/>
      <c r="BE11" s="154"/>
      <c r="BF11" s="154"/>
      <c r="BG11" s="154"/>
      <c r="BH11" s="154"/>
      <c r="BI11" s="154"/>
      <c r="BJ11" s="154"/>
      <c r="BK11" s="154"/>
      <c r="BL11" s="154"/>
      <c r="BM11" s="154"/>
      <c r="BN11" s="154"/>
      <c r="BO11" s="154"/>
      <c r="BP11" s="154"/>
      <c r="BQ11" s="154"/>
      <c r="BR11" s="154"/>
      <c r="BS11" s="154"/>
      <c r="BT11" s="154"/>
      <c r="BU11" s="154"/>
      <c r="BV11" s="154"/>
      <c r="BW11" s="154"/>
      <c r="BX11" s="154"/>
      <c r="BY11" s="154"/>
      <c r="BZ11" s="154"/>
      <c r="CA11" s="154"/>
      <c r="CB11" s="154"/>
      <c r="CC11" s="154"/>
      <c r="CD11" s="154"/>
      <c r="CE11" s="154"/>
      <c r="CF11" s="154"/>
      <c r="CG11" s="154"/>
      <c r="CH11" s="154"/>
      <c r="CI11" s="154"/>
      <c r="CJ11" s="154"/>
      <c r="CK11" s="154"/>
      <c r="CL11" s="154"/>
      <c r="CM11" s="154"/>
      <c r="CN11" s="154"/>
      <c r="CO11" s="154"/>
      <c r="CP11" s="154"/>
      <c r="CQ11" s="154"/>
      <c r="CR11" s="154"/>
      <c r="CS11" s="154"/>
      <c r="CT11" s="154"/>
      <c r="CU11" s="154"/>
      <c r="CV11" s="154"/>
      <c r="CW11" s="154"/>
      <c r="CX11" s="154"/>
      <c r="CY11" s="154"/>
      <c r="CZ11" s="154"/>
      <c r="DA11" s="154"/>
      <c r="DB11" s="154"/>
      <c r="DC11" s="154"/>
      <c r="DD11" s="154"/>
      <c r="DE11" s="154"/>
      <c r="DF11" s="154"/>
      <c r="DG11" s="154"/>
      <c r="DH11" s="154"/>
      <c r="DI11" s="154"/>
      <c r="DJ11" s="154"/>
      <c r="DK11" s="154"/>
      <c r="DL11" s="154"/>
      <c r="DM11" s="154"/>
      <c r="DN11" s="154"/>
      <c r="DO11" s="154"/>
      <c r="DP11" s="154"/>
      <c r="DQ11" s="154"/>
      <c r="DR11" s="154"/>
      <c r="DS11" s="154"/>
      <c r="DT11" s="154"/>
      <c r="DU11" s="154"/>
    </row>
    <row r="12" thickTop="1" thickBot="1" ht="15.5">
      <c r="C12" s="152" t="s">
        <v>996</v>
      </c>
      <c r="D12" s="153">
        <f t="shared" si="0"/>
        <v>0</v>
      </c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54"/>
      <c r="Z12" s="154"/>
      <c r="AA12" s="154"/>
      <c r="AB12" s="154"/>
      <c r="AC12" s="154"/>
      <c r="AD12" s="154"/>
      <c r="AE12" s="154"/>
      <c r="AF12" s="154"/>
      <c r="AG12" s="154"/>
      <c r="AH12" s="154"/>
      <c r="AI12" s="154"/>
      <c r="AJ12" s="154"/>
      <c r="AK12" s="154"/>
      <c r="AL12" s="154"/>
      <c r="AM12" s="154"/>
      <c r="AN12" s="154"/>
      <c r="AO12" s="154"/>
      <c r="AP12" s="154"/>
      <c r="AQ12" s="154"/>
      <c r="AR12" s="154"/>
      <c r="AS12" s="154"/>
      <c r="AT12" s="154"/>
      <c r="AU12" s="154"/>
      <c r="AV12" s="154"/>
      <c r="AW12" s="154"/>
      <c r="AX12" s="154"/>
      <c r="AY12" s="154"/>
      <c r="AZ12" s="154"/>
      <c r="BA12" s="154"/>
      <c r="BB12" s="154"/>
      <c r="BC12" s="154"/>
      <c r="BD12" s="154"/>
      <c r="BE12" s="154"/>
      <c r="BF12" s="154"/>
      <c r="BG12" s="154"/>
      <c r="BH12" s="154"/>
      <c r="BI12" s="154"/>
      <c r="BJ12" s="154"/>
      <c r="BK12" s="154"/>
      <c r="BL12" s="154"/>
      <c r="BM12" s="154"/>
      <c r="BN12" s="154"/>
      <c r="BO12" s="154"/>
      <c r="BP12" s="154"/>
      <c r="BQ12" s="154"/>
      <c r="BR12" s="154"/>
      <c r="BS12" s="154"/>
      <c r="BT12" s="154"/>
      <c r="BU12" s="154"/>
      <c r="BV12" s="154"/>
      <c r="BW12" s="154"/>
      <c r="BX12" s="154"/>
      <c r="BY12" s="154"/>
      <c r="BZ12" s="154"/>
      <c r="CA12" s="154"/>
      <c r="CB12" s="154"/>
      <c r="CC12" s="154"/>
      <c r="CD12" s="154"/>
      <c r="CE12" s="154"/>
      <c r="CF12" s="154"/>
      <c r="CG12" s="154"/>
      <c r="CH12" s="154"/>
      <c r="CI12" s="154"/>
      <c r="CJ12" s="154"/>
      <c r="CK12" s="154"/>
      <c r="CL12" s="154"/>
      <c r="CM12" s="154"/>
      <c r="CN12" s="154"/>
      <c r="CO12" s="154"/>
      <c r="CP12" s="154"/>
      <c r="CQ12" s="154"/>
      <c r="CR12" s="154"/>
      <c r="CS12" s="154"/>
      <c r="CT12" s="154"/>
      <c r="CU12" s="154"/>
      <c r="CV12" s="154"/>
      <c r="CW12" s="154"/>
      <c r="CX12" s="154"/>
      <c r="CY12" s="154"/>
      <c r="CZ12" s="154"/>
      <c r="DA12" s="154"/>
      <c r="DB12" s="154"/>
      <c r="DC12" s="154"/>
      <c r="DD12" s="154"/>
      <c r="DE12" s="154"/>
      <c r="DF12" s="154"/>
      <c r="DG12" s="154"/>
      <c r="DH12" s="154"/>
      <c r="DI12" s="154"/>
      <c r="DJ12" s="154"/>
      <c r="DK12" s="154"/>
      <c r="DL12" s="154"/>
      <c r="DM12" s="154"/>
      <c r="DN12" s="154"/>
      <c r="DO12" s="154"/>
      <c r="DP12" s="154"/>
      <c r="DQ12" s="154"/>
      <c r="DR12" s="154"/>
      <c r="DS12" s="154"/>
      <c r="DT12" s="154"/>
      <c r="DU12" s="154"/>
    </row>
    <row r="13" thickTop="1" thickBot="1" ht="15.5">
      <c r="C13" s="152" t="s">
        <v>997</v>
      </c>
      <c r="D13" s="153">
        <f t="shared" si="0"/>
        <v>0</v>
      </c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V13" s="154"/>
      <c r="W13" s="154"/>
      <c r="X13" s="154"/>
      <c r="Y13" s="154"/>
      <c r="Z13" s="154"/>
      <c r="AA13" s="154"/>
      <c r="AB13" s="154"/>
      <c r="AC13" s="154"/>
      <c r="AD13" s="154"/>
      <c r="AE13" s="154"/>
      <c r="AF13" s="154"/>
      <c r="AG13" s="154"/>
      <c r="AH13" s="154"/>
      <c r="AI13" s="154"/>
      <c r="AJ13" s="154"/>
      <c r="AK13" s="154"/>
      <c r="AL13" s="154"/>
      <c r="AM13" s="154"/>
      <c r="AN13" s="154"/>
      <c r="AO13" s="154"/>
      <c r="AP13" s="154"/>
      <c r="AQ13" s="154"/>
      <c r="AR13" s="154"/>
      <c r="AS13" s="154"/>
      <c r="AT13" s="154"/>
      <c r="AU13" s="154"/>
      <c r="AV13" s="154"/>
      <c r="AW13" s="154"/>
      <c r="AX13" s="154"/>
      <c r="AY13" s="154"/>
      <c r="AZ13" s="154"/>
      <c r="BA13" s="154"/>
      <c r="BB13" s="154"/>
      <c r="BC13" s="154"/>
      <c r="BD13" s="154"/>
      <c r="BE13" s="154"/>
      <c r="BF13" s="154"/>
      <c r="BG13" s="154"/>
      <c r="BH13" s="154"/>
      <c r="BI13" s="154"/>
      <c r="BJ13" s="154"/>
      <c r="BK13" s="154"/>
      <c r="BL13" s="154"/>
      <c r="BM13" s="154"/>
      <c r="BN13" s="154"/>
      <c r="BO13" s="154"/>
      <c r="BP13" s="154"/>
      <c r="BQ13" s="154"/>
      <c r="BR13" s="154"/>
      <c r="BS13" s="154"/>
      <c r="BT13" s="154"/>
      <c r="BU13" s="154"/>
      <c r="BV13" s="154"/>
      <c r="BW13" s="154"/>
      <c r="BX13" s="154"/>
      <c r="BY13" s="154"/>
      <c r="BZ13" s="154"/>
      <c r="CA13" s="154"/>
      <c r="CB13" s="154"/>
      <c r="CC13" s="154"/>
      <c r="CD13" s="154"/>
      <c r="CE13" s="154"/>
      <c r="CF13" s="154"/>
      <c r="CG13" s="154"/>
      <c r="CH13" s="154"/>
      <c r="CI13" s="154"/>
      <c r="CJ13" s="154"/>
      <c r="CK13" s="154"/>
      <c r="CL13" s="154"/>
      <c r="CM13" s="154"/>
      <c r="CN13" s="154"/>
      <c r="CO13" s="154"/>
      <c r="CP13" s="154"/>
      <c r="CQ13" s="154"/>
      <c r="CR13" s="154"/>
      <c r="CS13" s="154"/>
      <c r="CT13" s="154"/>
      <c r="CU13" s="154"/>
      <c r="CV13" s="154"/>
      <c r="CW13" s="154"/>
      <c r="CX13" s="154"/>
      <c r="CY13" s="154"/>
      <c r="CZ13" s="154"/>
      <c r="DA13" s="154"/>
      <c r="DB13" s="154"/>
      <c r="DC13" s="154"/>
      <c r="DD13" s="154"/>
      <c r="DE13" s="154"/>
      <c r="DF13" s="154"/>
      <c r="DG13" s="154"/>
      <c r="DH13" s="154"/>
      <c r="DI13" s="154"/>
      <c r="DJ13" s="154"/>
      <c r="DK13" s="154"/>
      <c r="DL13" s="154"/>
      <c r="DM13" s="154"/>
      <c r="DN13" s="154"/>
      <c r="DO13" s="154"/>
      <c r="DP13" s="154"/>
      <c r="DQ13" s="154"/>
      <c r="DR13" s="154"/>
      <c r="DS13" s="154"/>
      <c r="DT13" s="154"/>
      <c r="DU13" s="154"/>
    </row>
    <row r="14" thickTop="1" thickBot="1" ht="15.5">
      <c r="C14" s="152" t="s">
        <v>998</v>
      </c>
      <c r="D14" s="153">
        <f t="shared" si="0"/>
        <v>0</v>
      </c>
      <c r="F14" s="154"/>
      <c r="G14" s="154"/>
      <c r="H14" s="154"/>
      <c r="I14" s="154"/>
      <c r="J14" s="154"/>
      <c r="K14" s="154"/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V14" s="154"/>
      <c r="W14" s="154"/>
      <c r="X14" s="154"/>
      <c r="Y14" s="154"/>
      <c r="Z14" s="154"/>
      <c r="AA14" s="154"/>
      <c r="AB14" s="154"/>
      <c r="AC14" s="154"/>
      <c r="AD14" s="154"/>
      <c r="AE14" s="154"/>
      <c r="AF14" s="154"/>
      <c r="AG14" s="154"/>
      <c r="AH14" s="154"/>
      <c r="AI14" s="154"/>
      <c r="AJ14" s="154"/>
      <c r="AK14" s="154"/>
      <c r="AL14" s="154"/>
      <c r="AM14" s="154"/>
      <c r="AN14" s="154"/>
      <c r="AO14" s="154"/>
      <c r="AP14" s="154"/>
      <c r="AQ14" s="154"/>
      <c r="AR14" s="154"/>
      <c r="AS14" s="154"/>
      <c r="AT14" s="154"/>
      <c r="AU14" s="154"/>
      <c r="AV14" s="154"/>
      <c r="AW14" s="154"/>
      <c r="AX14" s="154"/>
      <c r="AY14" s="154"/>
      <c r="AZ14" s="154"/>
      <c r="BA14" s="154"/>
      <c r="BB14" s="154"/>
      <c r="BC14" s="154"/>
      <c r="BD14" s="154"/>
      <c r="BE14" s="154"/>
      <c r="BF14" s="154"/>
      <c r="BG14" s="154"/>
      <c r="BH14" s="154"/>
      <c r="BI14" s="154"/>
      <c r="BJ14" s="154"/>
      <c r="BK14" s="154"/>
      <c r="BL14" s="154"/>
      <c r="BM14" s="154"/>
      <c r="BN14" s="154"/>
      <c r="BO14" s="154"/>
      <c r="BP14" s="154"/>
      <c r="BQ14" s="154"/>
      <c r="BR14" s="154"/>
      <c r="BS14" s="154"/>
      <c r="BT14" s="154"/>
      <c r="BU14" s="154"/>
      <c r="BV14" s="154"/>
      <c r="BW14" s="154"/>
      <c r="BX14" s="154"/>
      <c r="BY14" s="154"/>
      <c r="BZ14" s="154"/>
      <c r="CA14" s="154"/>
      <c r="CB14" s="154"/>
      <c r="CC14" s="154"/>
      <c r="CD14" s="154"/>
      <c r="CE14" s="154"/>
      <c r="CF14" s="154"/>
      <c r="CG14" s="154"/>
      <c r="CH14" s="154"/>
      <c r="CI14" s="154"/>
      <c r="CJ14" s="154"/>
      <c r="CK14" s="154"/>
      <c r="CL14" s="154"/>
      <c r="CM14" s="154"/>
      <c r="CN14" s="154"/>
      <c r="CO14" s="154"/>
      <c r="CP14" s="154"/>
      <c r="CQ14" s="154"/>
      <c r="CR14" s="154"/>
      <c r="CS14" s="154"/>
      <c r="CT14" s="154"/>
      <c r="CU14" s="154"/>
      <c r="CV14" s="154"/>
      <c r="CW14" s="154"/>
      <c r="CX14" s="154"/>
      <c r="CY14" s="154"/>
      <c r="CZ14" s="154"/>
      <c r="DA14" s="154"/>
      <c r="DB14" s="154"/>
      <c r="DC14" s="154"/>
      <c r="DD14" s="154"/>
      <c r="DE14" s="154"/>
      <c r="DF14" s="154"/>
      <c r="DG14" s="154"/>
      <c r="DH14" s="154"/>
      <c r="DI14" s="154"/>
      <c r="DJ14" s="154"/>
      <c r="DK14" s="154"/>
      <c r="DL14" s="154"/>
      <c r="DM14" s="154"/>
      <c r="DN14" s="154"/>
      <c r="DO14" s="154"/>
      <c r="DP14" s="154"/>
      <c r="DQ14" s="154"/>
      <c r="DR14" s="154"/>
      <c r="DS14" s="154"/>
      <c r="DT14" s="154"/>
      <c r="DU14" s="154"/>
    </row>
    <row r="15" thickTop="1" thickBot="1" ht="15.5">
      <c r="C15" s="152" t="s">
        <v>999</v>
      </c>
      <c r="D15" s="153">
        <f t="shared" si="0"/>
        <v>0</v>
      </c>
      <c r="F15" s="154"/>
      <c r="G15" s="154"/>
      <c r="H15" s="154"/>
      <c r="I15" s="154"/>
      <c r="J15" s="154"/>
      <c r="K15" s="154"/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V15" s="154"/>
      <c r="W15" s="154"/>
      <c r="X15" s="154"/>
      <c r="Y15" s="154"/>
      <c r="Z15" s="154"/>
      <c r="AA15" s="154"/>
      <c r="AB15" s="154"/>
      <c r="AC15" s="154"/>
      <c r="AD15" s="154"/>
      <c r="AE15" s="154"/>
      <c r="AF15" s="154"/>
      <c r="AG15" s="154"/>
      <c r="AH15" s="154"/>
      <c r="AI15" s="154"/>
      <c r="AJ15" s="154"/>
      <c r="AK15" s="154"/>
      <c r="AL15" s="154"/>
      <c r="AM15" s="154"/>
      <c r="AN15" s="154"/>
      <c r="AO15" s="154"/>
      <c r="AP15" s="154"/>
      <c r="AQ15" s="154"/>
      <c r="AR15" s="154"/>
      <c r="AS15" s="154"/>
      <c r="AT15" s="154"/>
      <c r="AU15" s="154"/>
      <c r="AV15" s="154"/>
      <c r="AW15" s="154"/>
      <c r="AX15" s="154"/>
      <c r="AY15" s="154"/>
      <c r="AZ15" s="154"/>
      <c r="BA15" s="154"/>
      <c r="BB15" s="154"/>
      <c r="BC15" s="154"/>
      <c r="BD15" s="154"/>
      <c r="BE15" s="154"/>
      <c r="BF15" s="154"/>
      <c r="BG15" s="154"/>
      <c r="BH15" s="154"/>
      <c r="BI15" s="154"/>
      <c r="BJ15" s="154"/>
      <c r="BK15" s="154"/>
      <c r="BL15" s="154"/>
      <c r="BM15" s="154"/>
      <c r="BN15" s="154"/>
      <c r="BO15" s="154"/>
      <c r="BP15" s="154"/>
      <c r="BQ15" s="154"/>
      <c r="BR15" s="154"/>
      <c r="BS15" s="154"/>
      <c r="BT15" s="154"/>
      <c r="BU15" s="154"/>
      <c r="BV15" s="154"/>
      <c r="BW15" s="154"/>
      <c r="BX15" s="154"/>
      <c r="BY15" s="154"/>
      <c r="BZ15" s="154"/>
      <c r="CA15" s="154"/>
      <c r="CB15" s="154"/>
      <c r="CC15" s="154"/>
      <c r="CD15" s="154"/>
      <c r="CE15" s="154"/>
      <c r="CF15" s="154"/>
      <c r="CG15" s="154"/>
      <c r="CH15" s="154"/>
      <c r="CI15" s="154"/>
      <c r="CJ15" s="154"/>
      <c r="CK15" s="154"/>
      <c r="CL15" s="154"/>
      <c r="CM15" s="154"/>
      <c r="CN15" s="154"/>
      <c r="CO15" s="154"/>
      <c r="CP15" s="154"/>
      <c r="CQ15" s="154"/>
      <c r="CR15" s="154"/>
      <c r="CS15" s="154"/>
      <c r="CT15" s="154"/>
      <c r="CU15" s="154"/>
      <c r="CV15" s="154"/>
      <c r="CW15" s="154"/>
      <c r="CX15" s="154"/>
      <c r="CY15" s="154"/>
      <c r="CZ15" s="154"/>
      <c r="DA15" s="154"/>
      <c r="DB15" s="154"/>
      <c r="DC15" s="154"/>
      <c r="DD15" s="154"/>
      <c r="DE15" s="154"/>
      <c r="DF15" s="154"/>
      <c r="DG15" s="154"/>
      <c r="DH15" s="154"/>
      <c r="DI15" s="154"/>
      <c r="DJ15" s="154"/>
      <c r="DK15" s="154"/>
      <c r="DL15" s="154"/>
      <c r="DM15" s="154"/>
      <c r="DN15" s="154"/>
      <c r="DO15" s="154"/>
      <c r="DP15" s="154"/>
      <c r="DQ15" s="154"/>
      <c r="DR15" s="154"/>
      <c r="DS15" s="154"/>
      <c r="DT15" s="154"/>
      <c r="DU15" s="154"/>
    </row>
    <row r="16" thickTop="1" thickBot="1" ht="15.5">
      <c r="C16" s="152" t="s">
        <v>1000</v>
      </c>
      <c r="D16" s="153">
        <f t="shared" si="0"/>
        <v>0</v>
      </c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V16" s="154"/>
      <c r="W16" s="154"/>
      <c r="X16" s="154"/>
      <c r="Y16" s="154"/>
      <c r="Z16" s="154"/>
      <c r="AA16" s="154"/>
      <c r="AB16" s="154"/>
      <c r="AC16" s="154"/>
      <c r="AD16" s="154"/>
      <c r="AE16" s="154"/>
      <c r="AF16" s="154"/>
      <c r="AG16" s="154"/>
      <c r="AH16" s="154"/>
      <c r="AI16" s="154"/>
      <c r="AJ16" s="154"/>
      <c r="AK16" s="154"/>
      <c r="AL16" s="154"/>
      <c r="AM16" s="154"/>
      <c r="AN16" s="154"/>
      <c r="AO16" s="154"/>
      <c r="AP16" s="154"/>
      <c r="AQ16" s="154"/>
      <c r="AR16" s="154"/>
      <c r="AS16" s="154"/>
      <c r="AT16" s="154"/>
      <c r="AU16" s="154"/>
      <c r="AV16" s="154"/>
      <c r="AW16" s="154"/>
      <c r="AX16" s="154"/>
      <c r="AY16" s="154"/>
      <c r="AZ16" s="154"/>
      <c r="BA16" s="154"/>
      <c r="BB16" s="154"/>
      <c r="BC16" s="154"/>
      <c r="BD16" s="154"/>
      <c r="BE16" s="154"/>
      <c r="BF16" s="154"/>
      <c r="BG16" s="154"/>
      <c r="BH16" s="154"/>
      <c r="BI16" s="154"/>
      <c r="BJ16" s="154"/>
      <c r="BK16" s="154"/>
      <c r="BL16" s="154"/>
      <c r="BM16" s="154"/>
      <c r="BN16" s="154"/>
      <c r="BO16" s="154"/>
      <c r="BP16" s="154"/>
      <c r="BQ16" s="154"/>
      <c r="BR16" s="154"/>
      <c r="BS16" s="154"/>
      <c r="BT16" s="154"/>
      <c r="BU16" s="154"/>
      <c r="BV16" s="154"/>
      <c r="BW16" s="154"/>
      <c r="BX16" s="154"/>
      <c r="BY16" s="154"/>
      <c r="BZ16" s="154"/>
      <c r="CA16" s="154"/>
      <c r="CB16" s="154"/>
      <c r="CC16" s="154"/>
      <c r="CD16" s="154"/>
      <c r="CE16" s="154"/>
      <c r="CF16" s="154"/>
      <c r="CG16" s="154"/>
      <c r="CH16" s="154"/>
      <c r="CI16" s="154"/>
      <c r="CJ16" s="154"/>
      <c r="CK16" s="154"/>
      <c r="CL16" s="154"/>
      <c r="CM16" s="154"/>
      <c r="CN16" s="154"/>
      <c r="CO16" s="154"/>
      <c r="CP16" s="154"/>
      <c r="CQ16" s="154"/>
      <c r="CR16" s="154"/>
      <c r="CS16" s="154"/>
      <c r="CT16" s="154"/>
      <c r="CU16" s="154"/>
      <c r="CV16" s="154"/>
      <c r="CW16" s="154"/>
      <c r="CX16" s="154"/>
      <c r="CY16" s="154"/>
      <c r="CZ16" s="154"/>
      <c r="DA16" s="154"/>
      <c r="DB16" s="154"/>
      <c r="DC16" s="154"/>
      <c r="DD16" s="154"/>
      <c r="DE16" s="154"/>
      <c r="DF16" s="154"/>
      <c r="DG16" s="154"/>
      <c r="DH16" s="154"/>
      <c r="DI16" s="154"/>
      <c r="DJ16" s="154"/>
      <c r="DK16" s="154"/>
      <c r="DL16" s="154"/>
      <c r="DM16" s="154"/>
      <c r="DN16" s="154"/>
      <c r="DO16" s="154"/>
      <c r="DP16" s="154"/>
      <c r="DQ16" s="154"/>
      <c r="DR16" s="154"/>
      <c r="DS16" s="154"/>
      <c r="DT16" s="154"/>
      <c r="DU16" s="154"/>
    </row>
    <row r="17" thickTop="1" thickBot="1" ht="15.5">
      <c r="C17" s="152" t="s">
        <v>1001</v>
      </c>
      <c r="D17" s="153">
        <f t="shared" si="0"/>
        <v>0</v>
      </c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54"/>
      <c r="AD17" s="154"/>
      <c r="AE17" s="154"/>
      <c r="AF17" s="154"/>
      <c r="AG17" s="154"/>
      <c r="AH17" s="154"/>
      <c r="AI17" s="154"/>
      <c r="AJ17" s="154"/>
      <c r="AK17" s="154"/>
      <c r="AL17" s="154"/>
      <c r="AM17" s="154"/>
      <c r="AN17" s="154"/>
      <c r="AO17" s="154"/>
      <c r="AP17" s="154"/>
      <c r="AQ17" s="154"/>
      <c r="AR17" s="154"/>
      <c r="AS17" s="154"/>
      <c r="AT17" s="154"/>
      <c r="AU17" s="154"/>
      <c r="AV17" s="154"/>
      <c r="AW17" s="154"/>
      <c r="AX17" s="154"/>
      <c r="AY17" s="154"/>
      <c r="AZ17" s="154"/>
      <c r="BA17" s="154"/>
      <c r="BB17" s="154"/>
      <c r="BC17" s="154"/>
      <c r="BD17" s="154"/>
      <c r="BE17" s="154"/>
      <c r="BF17" s="154"/>
      <c r="BG17" s="154"/>
      <c r="BH17" s="154"/>
      <c r="BI17" s="154"/>
      <c r="BJ17" s="154"/>
      <c r="BK17" s="154"/>
      <c r="BL17" s="154"/>
      <c r="BM17" s="154"/>
      <c r="BN17" s="154"/>
      <c r="BO17" s="154"/>
      <c r="BP17" s="154"/>
      <c r="BQ17" s="154"/>
      <c r="BR17" s="154"/>
      <c r="BS17" s="154"/>
      <c r="BT17" s="154"/>
      <c r="BU17" s="154"/>
      <c r="BV17" s="154"/>
      <c r="BW17" s="154"/>
      <c r="BX17" s="154"/>
      <c r="BY17" s="154"/>
      <c r="BZ17" s="154"/>
      <c r="CA17" s="154"/>
      <c r="CB17" s="154"/>
      <c r="CC17" s="154"/>
      <c r="CD17" s="154"/>
      <c r="CE17" s="154"/>
      <c r="CF17" s="154"/>
      <c r="CG17" s="154"/>
      <c r="CH17" s="154"/>
      <c r="CI17" s="154"/>
      <c r="CJ17" s="154"/>
      <c r="CK17" s="154"/>
      <c r="CL17" s="154"/>
      <c r="CM17" s="154"/>
      <c r="CN17" s="154"/>
      <c r="CO17" s="154"/>
      <c r="CP17" s="154"/>
      <c r="CQ17" s="154"/>
      <c r="CR17" s="154"/>
      <c r="CS17" s="154"/>
      <c r="CT17" s="154"/>
      <c r="CU17" s="154"/>
      <c r="CV17" s="154"/>
      <c r="CW17" s="154"/>
      <c r="CX17" s="154"/>
      <c r="CY17" s="154"/>
      <c r="CZ17" s="154"/>
      <c r="DA17" s="154"/>
      <c r="DB17" s="154"/>
      <c r="DC17" s="154"/>
      <c r="DD17" s="154"/>
      <c r="DE17" s="154"/>
      <c r="DF17" s="154"/>
      <c r="DG17" s="154"/>
      <c r="DH17" s="154"/>
      <c r="DI17" s="154"/>
      <c r="DJ17" s="154"/>
      <c r="DK17" s="154"/>
      <c r="DL17" s="154"/>
      <c r="DM17" s="154"/>
      <c r="DN17" s="154"/>
      <c r="DO17" s="154"/>
      <c r="DP17" s="154"/>
      <c r="DQ17" s="154"/>
      <c r="DR17" s="154"/>
      <c r="DS17" s="154"/>
      <c r="DT17" s="154"/>
      <c r="DU17" s="154"/>
    </row>
    <row r="18" thickTop="1" thickBot="1" ht="15.5">
      <c r="C18" s="152" t="s">
        <v>1002</v>
      </c>
      <c r="D18" s="153">
        <f t="shared" si="0"/>
        <v>0</v>
      </c>
      <c r="F18" s="154"/>
      <c r="G18" s="154"/>
      <c r="H18" s="154"/>
      <c r="I18" s="154"/>
      <c r="J18" s="154"/>
      <c r="K18" s="154"/>
      <c r="L18" s="154"/>
      <c r="M18" s="154"/>
      <c r="N18" s="154"/>
      <c r="O18" s="154"/>
      <c r="P18" s="154"/>
      <c r="Q18" s="154"/>
      <c r="R18" s="154"/>
      <c r="S18" s="154"/>
      <c r="T18" s="154"/>
      <c r="U18" s="154"/>
      <c r="V18" s="154"/>
      <c r="W18" s="154"/>
      <c r="X18" s="154"/>
      <c r="Y18" s="154"/>
      <c r="Z18" s="154"/>
      <c r="AA18" s="154"/>
      <c r="AB18" s="154"/>
      <c r="AC18" s="154"/>
      <c r="AD18" s="154"/>
      <c r="AE18" s="154"/>
      <c r="AF18" s="154"/>
      <c r="AG18" s="154"/>
      <c r="AH18" s="154"/>
      <c r="AI18" s="154"/>
      <c r="AJ18" s="154"/>
      <c r="AK18" s="154"/>
      <c r="AL18" s="154"/>
      <c r="AM18" s="154"/>
      <c r="AN18" s="154"/>
      <c r="AO18" s="154"/>
      <c r="AP18" s="154"/>
      <c r="AQ18" s="154"/>
      <c r="AR18" s="154"/>
      <c r="AS18" s="154"/>
      <c r="AT18" s="154"/>
      <c r="AU18" s="154"/>
      <c r="AV18" s="154"/>
      <c r="AW18" s="154"/>
      <c r="AX18" s="154"/>
      <c r="AY18" s="154"/>
      <c r="AZ18" s="154"/>
      <c r="BA18" s="154"/>
      <c r="BB18" s="154"/>
      <c r="BC18" s="154"/>
      <c r="BD18" s="154"/>
      <c r="BE18" s="154"/>
      <c r="BF18" s="154"/>
      <c r="BG18" s="154"/>
      <c r="BH18" s="154"/>
      <c r="BI18" s="154"/>
      <c r="BJ18" s="154"/>
      <c r="BK18" s="154"/>
      <c r="BL18" s="154"/>
      <c r="BM18" s="154"/>
      <c r="BN18" s="154"/>
      <c r="BO18" s="154"/>
      <c r="BP18" s="154"/>
      <c r="BQ18" s="154"/>
      <c r="BR18" s="154"/>
      <c r="BS18" s="154"/>
      <c r="BT18" s="154"/>
      <c r="BU18" s="154"/>
      <c r="BV18" s="154"/>
      <c r="BW18" s="154"/>
      <c r="BX18" s="154"/>
      <c r="BY18" s="154"/>
      <c r="BZ18" s="154"/>
      <c r="CA18" s="154"/>
      <c r="CB18" s="154"/>
      <c r="CC18" s="154"/>
      <c r="CD18" s="154"/>
      <c r="CE18" s="154"/>
      <c r="CF18" s="154"/>
      <c r="CG18" s="154"/>
      <c r="CH18" s="154"/>
      <c r="CI18" s="154"/>
      <c r="CJ18" s="154"/>
      <c r="CK18" s="154"/>
      <c r="CL18" s="154"/>
      <c r="CM18" s="154"/>
      <c r="CN18" s="154"/>
      <c r="CO18" s="154"/>
      <c r="CP18" s="154"/>
      <c r="CQ18" s="154"/>
      <c r="CR18" s="154"/>
      <c r="CS18" s="154"/>
      <c r="CT18" s="154"/>
      <c r="CU18" s="154"/>
      <c r="CV18" s="154"/>
      <c r="CW18" s="154"/>
      <c r="CX18" s="154"/>
      <c r="CY18" s="154"/>
      <c r="CZ18" s="154"/>
      <c r="DA18" s="154"/>
      <c r="DB18" s="154"/>
      <c r="DC18" s="154"/>
      <c r="DD18" s="154"/>
      <c r="DE18" s="154"/>
      <c r="DF18" s="154"/>
      <c r="DG18" s="154"/>
      <c r="DH18" s="154"/>
      <c r="DI18" s="154"/>
      <c r="DJ18" s="154"/>
      <c r="DK18" s="154"/>
      <c r="DL18" s="154"/>
      <c r="DM18" s="154"/>
      <c r="DN18" s="154"/>
      <c r="DO18" s="154"/>
      <c r="DP18" s="154"/>
      <c r="DQ18" s="154"/>
      <c r="DR18" s="154"/>
      <c r="DS18" s="154"/>
      <c r="DT18" s="154"/>
      <c r="DU18" s="154"/>
    </row>
    <row r="19" thickTop="1" thickBot="1" ht="15.5">
      <c r="C19" s="152" t="s">
        <v>1003</v>
      </c>
      <c r="D19" s="153">
        <f t="shared" si="0"/>
        <v>0</v>
      </c>
      <c r="F19" s="154"/>
      <c r="G19" s="154"/>
      <c r="H19" s="154"/>
      <c r="I19" s="154"/>
      <c r="J19" s="154"/>
      <c r="K19" s="154"/>
      <c r="L19" s="154"/>
      <c r="M19" s="154"/>
      <c r="N19" s="154"/>
      <c r="O19" s="154"/>
      <c r="P19" s="154"/>
      <c r="Q19" s="154"/>
      <c r="R19" s="154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54"/>
      <c r="AD19" s="154"/>
      <c r="AE19" s="154"/>
      <c r="AF19" s="154"/>
      <c r="AG19" s="154"/>
      <c r="AH19" s="154"/>
      <c r="AI19" s="154"/>
      <c r="AJ19" s="154"/>
      <c r="AK19" s="154"/>
      <c r="AL19" s="154"/>
      <c r="AM19" s="154"/>
      <c r="AN19" s="154"/>
      <c r="AO19" s="154"/>
      <c r="AP19" s="154"/>
      <c r="AQ19" s="154"/>
      <c r="AR19" s="154"/>
      <c r="AS19" s="154"/>
      <c r="AT19" s="154"/>
      <c r="AU19" s="154"/>
      <c r="AV19" s="154"/>
      <c r="AW19" s="154"/>
      <c r="AX19" s="154"/>
      <c r="AY19" s="154"/>
      <c r="AZ19" s="154"/>
      <c r="BA19" s="154"/>
      <c r="BB19" s="154"/>
      <c r="BC19" s="154"/>
      <c r="BD19" s="154"/>
      <c r="BE19" s="154"/>
      <c r="BF19" s="154"/>
      <c r="BG19" s="154"/>
      <c r="BH19" s="154"/>
      <c r="BI19" s="154"/>
      <c r="BJ19" s="154"/>
      <c r="BK19" s="154"/>
      <c r="BL19" s="154"/>
      <c r="BM19" s="154"/>
      <c r="BN19" s="154"/>
      <c r="BO19" s="154"/>
      <c r="BP19" s="154"/>
      <c r="BQ19" s="154"/>
      <c r="BR19" s="154"/>
      <c r="BS19" s="154"/>
      <c r="BT19" s="154"/>
      <c r="BU19" s="154"/>
      <c r="BV19" s="154"/>
      <c r="BW19" s="154"/>
      <c r="BX19" s="154"/>
      <c r="BY19" s="154"/>
      <c r="BZ19" s="154"/>
      <c r="CA19" s="154"/>
      <c r="CB19" s="154"/>
      <c r="CC19" s="154"/>
      <c r="CD19" s="154"/>
      <c r="CE19" s="154"/>
      <c r="CF19" s="154"/>
      <c r="CG19" s="154"/>
      <c r="CH19" s="154"/>
      <c r="CI19" s="154"/>
      <c r="CJ19" s="154"/>
      <c r="CK19" s="154"/>
      <c r="CL19" s="154"/>
      <c r="CM19" s="154"/>
      <c r="CN19" s="154"/>
      <c r="CO19" s="154"/>
      <c r="CP19" s="154"/>
      <c r="CQ19" s="154"/>
      <c r="CR19" s="154"/>
      <c r="CS19" s="154"/>
      <c r="CT19" s="154"/>
      <c r="CU19" s="154"/>
      <c r="CV19" s="154"/>
      <c r="CW19" s="154"/>
      <c r="CX19" s="154"/>
      <c r="CY19" s="154"/>
      <c r="CZ19" s="154"/>
      <c r="DA19" s="154"/>
      <c r="DB19" s="154"/>
      <c r="DC19" s="154"/>
      <c r="DD19" s="154"/>
      <c r="DE19" s="154"/>
      <c r="DF19" s="154"/>
      <c r="DG19" s="154"/>
      <c r="DH19" s="154"/>
      <c r="DI19" s="154"/>
      <c r="DJ19" s="154"/>
      <c r="DK19" s="154"/>
      <c r="DL19" s="154"/>
      <c r="DM19" s="154"/>
      <c r="DN19" s="154"/>
      <c r="DO19" s="154"/>
      <c r="DP19" s="154"/>
      <c r="DQ19" s="154"/>
      <c r="DR19" s="154"/>
      <c r="DS19" s="154"/>
      <c r="DT19" s="154"/>
      <c r="DU19" s="154"/>
    </row>
    <row r="20" thickTop="1" thickBot="1" ht="15.5">
      <c r="C20" s="152" t="s">
        <v>1004</v>
      </c>
      <c r="D20" s="153">
        <f t="shared" si="0"/>
        <v>0</v>
      </c>
      <c r="F20" s="154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4"/>
      <c r="S20" s="154"/>
      <c r="T20" s="154"/>
      <c r="U20" s="154"/>
      <c r="V20" s="154"/>
      <c r="W20" s="154"/>
      <c r="X20" s="154"/>
      <c r="Y20" s="154"/>
      <c r="Z20" s="154"/>
      <c r="AA20" s="154"/>
      <c r="AB20" s="154"/>
      <c r="AC20" s="154"/>
      <c r="AD20" s="154"/>
      <c r="AE20" s="154"/>
      <c r="AF20" s="154"/>
      <c r="AG20" s="154"/>
      <c r="AH20" s="154"/>
      <c r="AI20" s="154"/>
      <c r="AJ20" s="154"/>
      <c r="AK20" s="154"/>
      <c r="AL20" s="154"/>
      <c r="AM20" s="154"/>
      <c r="AN20" s="154"/>
      <c r="AO20" s="154"/>
      <c r="AP20" s="154"/>
      <c r="AQ20" s="154"/>
      <c r="AR20" s="154"/>
      <c r="AS20" s="154"/>
      <c r="AT20" s="154"/>
      <c r="AU20" s="154"/>
      <c r="AV20" s="154"/>
      <c r="AW20" s="154"/>
      <c r="AX20" s="154"/>
      <c r="AY20" s="154"/>
      <c r="AZ20" s="154"/>
      <c r="BA20" s="154"/>
      <c r="BB20" s="154"/>
      <c r="BC20" s="154"/>
      <c r="BD20" s="154"/>
      <c r="BE20" s="154"/>
      <c r="BF20" s="154"/>
      <c r="BG20" s="154"/>
      <c r="BH20" s="154"/>
      <c r="BI20" s="154"/>
      <c r="BJ20" s="154"/>
      <c r="BK20" s="154"/>
      <c r="BL20" s="154"/>
      <c r="BM20" s="154"/>
      <c r="BN20" s="154"/>
      <c r="BO20" s="154"/>
      <c r="BP20" s="154"/>
      <c r="BQ20" s="154"/>
      <c r="BR20" s="154"/>
      <c r="BS20" s="154"/>
      <c r="BT20" s="154"/>
      <c r="BU20" s="154"/>
      <c r="BV20" s="154"/>
      <c r="BW20" s="154"/>
      <c r="BX20" s="154"/>
      <c r="BY20" s="154"/>
      <c r="BZ20" s="154"/>
      <c r="CA20" s="154"/>
      <c r="CB20" s="154"/>
      <c r="CC20" s="154"/>
      <c r="CD20" s="154"/>
      <c r="CE20" s="154"/>
      <c r="CF20" s="154"/>
      <c r="CG20" s="154"/>
      <c r="CH20" s="154"/>
      <c r="CI20" s="154"/>
      <c r="CJ20" s="154"/>
      <c r="CK20" s="154"/>
      <c r="CL20" s="154"/>
      <c r="CM20" s="154"/>
      <c r="CN20" s="154"/>
      <c r="CO20" s="154"/>
      <c r="CP20" s="154"/>
      <c r="CQ20" s="154"/>
      <c r="CR20" s="154"/>
      <c r="CS20" s="154"/>
      <c r="CT20" s="154"/>
      <c r="CU20" s="154"/>
      <c r="CV20" s="154"/>
      <c r="CW20" s="154"/>
      <c r="CX20" s="154"/>
      <c r="CY20" s="154"/>
      <c r="CZ20" s="154"/>
      <c r="DA20" s="154"/>
      <c r="DB20" s="154"/>
      <c r="DC20" s="154"/>
      <c r="DD20" s="154"/>
      <c r="DE20" s="154"/>
      <c r="DF20" s="154"/>
      <c r="DG20" s="154"/>
      <c r="DH20" s="154"/>
      <c r="DI20" s="154"/>
      <c r="DJ20" s="154"/>
      <c r="DK20" s="154"/>
      <c r="DL20" s="154"/>
      <c r="DM20" s="154"/>
      <c r="DN20" s="154"/>
      <c r="DO20" s="154"/>
      <c r="DP20" s="154"/>
      <c r="DQ20" s="154"/>
      <c r="DR20" s="154"/>
      <c r="DS20" s="154"/>
      <c r="DT20" s="154"/>
      <c r="DU20" s="154"/>
    </row>
    <row r="21" thickTop="1" thickBot="1" ht="15.5">
      <c r="C21" s="152" t="s">
        <v>1005</v>
      </c>
      <c r="D21" s="153">
        <f>+SUM(F21:DU21)</f>
        <v>0</v>
      </c>
      <c r="F21" s="154"/>
      <c r="G21" s="154"/>
      <c r="H21" s="154"/>
      <c r="I21" s="154"/>
      <c r="J21" s="154"/>
      <c r="K21" s="154"/>
      <c r="L21" s="154"/>
      <c r="M21" s="154"/>
      <c r="N21" s="154"/>
      <c r="O21" s="154"/>
      <c r="P21" s="154"/>
      <c r="Q21" s="154"/>
      <c r="R21" s="154"/>
      <c r="S21" s="154"/>
      <c r="T21" s="154"/>
      <c r="U21" s="154"/>
      <c r="V21" s="154"/>
      <c r="W21" s="154"/>
      <c r="X21" s="154"/>
      <c r="Y21" s="154"/>
      <c r="Z21" s="154"/>
      <c r="AA21" s="154"/>
      <c r="AB21" s="154"/>
      <c r="AC21" s="154"/>
      <c r="AD21" s="154"/>
      <c r="AE21" s="154"/>
      <c r="AF21" s="154"/>
      <c r="AG21" s="154"/>
      <c r="AH21" s="154"/>
      <c r="AI21" s="154"/>
      <c r="AJ21" s="154"/>
      <c r="AK21" s="154"/>
      <c r="AL21" s="154"/>
      <c r="AM21" s="154"/>
      <c r="AN21" s="154"/>
      <c r="AO21" s="154"/>
      <c r="AP21" s="154"/>
      <c r="AQ21" s="154"/>
      <c r="AR21" s="154"/>
      <c r="AS21" s="154"/>
      <c r="AT21" s="154"/>
      <c r="AU21" s="154"/>
      <c r="AV21" s="154"/>
      <c r="AW21" s="154"/>
      <c r="AX21" s="154"/>
      <c r="AY21" s="154"/>
      <c r="AZ21" s="154"/>
      <c r="BA21" s="154"/>
      <c r="BB21" s="154"/>
      <c r="BC21" s="154"/>
      <c r="BD21" s="154"/>
      <c r="BE21" s="154"/>
      <c r="BF21" s="154"/>
      <c r="BG21" s="154"/>
      <c r="BH21" s="154"/>
      <c r="BI21" s="154"/>
      <c r="BJ21" s="154"/>
      <c r="BK21" s="154"/>
      <c r="BL21" s="154"/>
      <c r="BM21" s="154"/>
      <c r="BN21" s="154"/>
      <c r="BO21" s="154"/>
      <c r="BP21" s="154"/>
      <c r="BQ21" s="154"/>
      <c r="BR21" s="154"/>
      <c r="BS21" s="154"/>
      <c r="BT21" s="154"/>
      <c r="BU21" s="154"/>
      <c r="BV21" s="154"/>
      <c r="BW21" s="154"/>
      <c r="BX21" s="154"/>
      <c r="BY21" s="154"/>
      <c r="BZ21" s="154"/>
      <c r="CA21" s="154"/>
      <c r="CB21" s="154"/>
      <c r="CC21" s="154"/>
      <c r="CD21" s="154"/>
      <c r="CE21" s="154"/>
      <c r="CF21" s="154"/>
      <c r="CG21" s="154"/>
      <c r="CH21" s="154"/>
      <c r="CI21" s="154"/>
      <c r="CJ21" s="154"/>
      <c r="CK21" s="154"/>
      <c r="CL21" s="154"/>
      <c r="CM21" s="154"/>
      <c r="CN21" s="154"/>
      <c r="CO21" s="154"/>
      <c r="CP21" s="154"/>
      <c r="CQ21" s="154"/>
      <c r="CR21" s="154"/>
      <c r="CS21" s="154"/>
      <c r="CT21" s="154"/>
      <c r="CU21" s="154"/>
      <c r="CV21" s="154"/>
      <c r="CW21" s="154"/>
      <c r="CX21" s="154"/>
      <c r="CY21" s="154"/>
      <c r="CZ21" s="154"/>
      <c r="DA21" s="154"/>
      <c r="DB21" s="154"/>
      <c r="DC21" s="154"/>
      <c r="DD21" s="154"/>
      <c r="DE21" s="154"/>
      <c r="DF21" s="154"/>
      <c r="DG21" s="154"/>
      <c r="DH21" s="154"/>
      <c r="DI21" s="154"/>
      <c r="DJ21" s="154"/>
      <c r="DK21" s="154"/>
      <c r="DL21" s="154"/>
      <c r="DM21" s="154"/>
      <c r="DN21" s="154"/>
      <c r="DO21" s="154"/>
      <c r="DP21" s="154"/>
      <c r="DQ21" s="154"/>
      <c r="DR21" s="154"/>
      <c r="DS21" s="154"/>
      <c r="DT21" s="154"/>
      <c r="DU21" s="154"/>
    </row>
    <row r="22" thickTop="1" thickBot="1" ht="15.5">
      <c r="C22" s="152" t="s">
        <v>1006</v>
      </c>
      <c r="D22" s="153">
        <f t="shared" ref="D22:D24" si="1">+SUM(F22:DU22)</f>
        <v>0</v>
      </c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4"/>
      <c r="R22" s="154"/>
      <c r="S22" s="154"/>
      <c r="T22" s="154"/>
      <c r="U22" s="154"/>
      <c r="V22" s="154"/>
      <c r="W22" s="154"/>
      <c r="X22" s="154"/>
      <c r="Y22" s="154"/>
      <c r="Z22" s="154"/>
      <c r="AA22" s="154"/>
      <c r="AB22" s="154"/>
      <c r="AC22" s="154"/>
      <c r="AD22" s="154"/>
      <c r="AE22" s="154"/>
      <c r="AF22" s="154"/>
      <c r="AG22" s="154"/>
      <c r="AH22" s="154"/>
      <c r="AI22" s="154"/>
      <c r="AJ22" s="154"/>
      <c r="AK22" s="154"/>
      <c r="AL22" s="154"/>
      <c r="AM22" s="154"/>
      <c r="AN22" s="154"/>
      <c r="AO22" s="154"/>
      <c r="AP22" s="154"/>
      <c r="AQ22" s="154"/>
      <c r="AR22" s="154"/>
      <c r="AS22" s="154"/>
      <c r="AT22" s="154"/>
      <c r="AU22" s="154"/>
      <c r="AV22" s="154"/>
      <c r="AW22" s="154"/>
      <c r="AX22" s="154"/>
      <c r="AY22" s="154"/>
      <c r="AZ22" s="154"/>
      <c r="BA22" s="154"/>
      <c r="BB22" s="154"/>
      <c r="BC22" s="154"/>
      <c r="BD22" s="154"/>
      <c r="BE22" s="154"/>
      <c r="BF22" s="154"/>
      <c r="BG22" s="154"/>
      <c r="BH22" s="154"/>
      <c r="BI22" s="154"/>
      <c r="BJ22" s="154"/>
      <c r="BK22" s="154"/>
      <c r="BL22" s="154"/>
      <c r="BM22" s="154"/>
      <c r="BN22" s="154"/>
      <c r="BO22" s="154"/>
      <c r="BP22" s="154"/>
      <c r="BQ22" s="154"/>
      <c r="BR22" s="154"/>
      <c r="BS22" s="154"/>
      <c r="BT22" s="154"/>
      <c r="BU22" s="154"/>
      <c r="BV22" s="154"/>
      <c r="BW22" s="154"/>
      <c r="BX22" s="154"/>
      <c r="BY22" s="154"/>
      <c r="BZ22" s="154"/>
      <c r="CA22" s="154"/>
      <c r="CB22" s="154"/>
      <c r="CC22" s="154"/>
      <c r="CD22" s="154"/>
      <c r="CE22" s="154"/>
      <c r="CF22" s="154"/>
      <c r="CG22" s="154"/>
      <c r="CH22" s="154"/>
      <c r="CI22" s="154"/>
      <c r="CJ22" s="154"/>
      <c r="CK22" s="154"/>
      <c r="CL22" s="154"/>
      <c r="CM22" s="154"/>
      <c r="CN22" s="154"/>
      <c r="CO22" s="154"/>
      <c r="CP22" s="154"/>
      <c r="CQ22" s="154"/>
      <c r="CR22" s="154"/>
      <c r="CS22" s="154"/>
      <c r="CT22" s="154"/>
      <c r="CU22" s="154"/>
      <c r="CV22" s="154"/>
      <c r="CW22" s="154"/>
      <c r="CX22" s="154"/>
      <c r="CY22" s="154"/>
      <c r="CZ22" s="154"/>
      <c r="DA22" s="154"/>
      <c r="DB22" s="154"/>
      <c r="DC22" s="154"/>
      <c r="DD22" s="154"/>
      <c r="DE22" s="154"/>
      <c r="DF22" s="154"/>
      <c r="DG22" s="154"/>
      <c r="DH22" s="154"/>
      <c r="DI22" s="154"/>
      <c r="DJ22" s="154"/>
      <c r="DK22" s="154"/>
      <c r="DL22" s="154"/>
      <c r="DM22" s="154"/>
      <c r="DN22" s="154"/>
      <c r="DO22" s="154"/>
      <c r="DP22" s="154"/>
      <c r="DQ22" s="154"/>
      <c r="DR22" s="154"/>
      <c r="DS22" s="154"/>
      <c r="DT22" s="154"/>
      <c r="DU22" s="154"/>
    </row>
    <row r="23" thickTop="1" thickBot="1" ht="15.5">
      <c r="C23" s="152" t="s">
        <v>1007</v>
      </c>
      <c r="D23" s="153">
        <f t="shared" si="1"/>
        <v>0</v>
      </c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  <c r="AA23" s="154"/>
      <c r="AB23" s="154"/>
      <c r="AC23" s="154"/>
      <c r="AD23" s="154"/>
      <c r="AE23" s="154"/>
      <c r="AF23" s="154"/>
      <c r="AG23" s="154"/>
      <c r="AH23" s="154"/>
      <c r="AI23" s="154"/>
      <c r="AJ23" s="154"/>
      <c r="AK23" s="154"/>
      <c r="AL23" s="154"/>
      <c r="AM23" s="154"/>
      <c r="AN23" s="154"/>
      <c r="AO23" s="154"/>
      <c r="AP23" s="154"/>
      <c r="AQ23" s="154"/>
      <c r="AR23" s="154"/>
      <c r="AS23" s="154"/>
      <c r="AT23" s="154"/>
      <c r="AU23" s="154"/>
      <c r="AV23" s="154"/>
      <c r="AW23" s="154"/>
      <c r="AX23" s="154"/>
      <c r="AY23" s="154"/>
      <c r="AZ23" s="154"/>
      <c r="BA23" s="154"/>
      <c r="BB23" s="154"/>
      <c r="BC23" s="154"/>
      <c r="BD23" s="154"/>
      <c r="BE23" s="154"/>
      <c r="BF23" s="154"/>
      <c r="BG23" s="154"/>
      <c r="BH23" s="154"/>
      <c r="BI23" s="154"/>
      <c r="BJ23" s="154"/>
      <c r="BK23" s="154"/>
      <c r="BL23" s="154"/>
      <c r="BM23" s="154"/>
      <c r="BN23" s="154"/>
      <c r="BO23" s="154"/>
      <c r="BP23" s="154"/>
      <c r="BQ23" s="154"/>
      <c r="BR23" s="154"/>
      <c r="BS23" s="154"/>
      <c r="BT23" s="154"/>
      <c r="BU23" s="154"/>
      <c r="BV23" s="154"/>
      <c r="BW23" s="154"/>
      <c r="BX23" s="154"/>
      <c r="BY23" s="154"/>
      <c r="BZ23" s="154"/>
      <c r="CA23" s="154"/>
      <c r="CB23" s="154"/>
      <c r="CC23" s="154"/>
      <c r="CD23" s="154"/>
      <c r="CE23" s="154"/>
      <c r="CF23" s="154"/>
      <c r="CG23" s="154"/>
      <c r="CH23" s="154"/>
      <c r="CI23" s="154"/>
      <c r="CJ23" s="154"/>
      <c r="CK23" s="154"/>
      <c r="CL23" s="154"/>
      <c r="CM23" s="154"/>
      <c r="CN23" s="154"/>
      <c r="CO23" s="154"/>
      <c r="CP23" s="154"/>
      <c r="CQ23" s="154"/>
      <c r="CR23" s="154"/>
      <c r="CS23" s="154"/>
      <c r="CT23" s="154"/>
      <c r="CU23" s="154"/>
      <c r="CV23" s="154"/>
      <c r="CW23" s="154"/>
      <c r="CX23" s="154"/>
      <c r="CY23" s="154"/>
      <c r="CZ23" s="154"/>
      <c r="DA23" s="154"/>
      <c r="DB23" s="154"/>
      <c r="DC23" s="154"/>
      <c r="DD23" s="154"/>
      <c r="DE23" s="154"/>
      <c r="DF23" s="154"/>
      <c r="DG23" s="154"/>
      <c r="DH23" s="154"/>
      <c r="DI23" s="154"/>
      <c r="DJ23" s="154"/>
      <c r="DK23" s="154"/>
      <c r="DL23" s="154"/>
      <c r="DM23" s="154"/>
      <c r="DN23" s="154"/>
      <c r="DO23" s="154"/>
      <c r="DP23" s="154"/>
      <c r="DQ23" s="154"/>
      <c r="DR23" s="154"/>
      <c r="DS23" s="154"/>
      <c r="DT23" s="154"/>
      <c r="DU23" s="154"/>
    </row>
    <row r="24" thickTop="1" thickBot="1" ht="15.5">
      <c r="C24" s="152" t="s">
        <v>1008</v>
      </c>
      <c r="D24" s="153">
        <f t="shared" si="1"/>
        <v>0</v>
      </c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  <c r="AC24" s="154"/>
      <c r="AD24" s="154"/>
      <c r="AE24" s="154"/>
      <c r="AF24" s="154"/>
      <c r="AG24" s="154"/>
      <c r="AH24" s="154"/>
      <c r="AI24" s="154"/>
      <c r="AJ24" s="154"/>
      <c r="AK24" s="154"/>
      <c r="AL24" s="154"/>
      <c r="AM24" s="154"/>
      <c r="AN24" s="154"/>
      <c r="AO24" s="154"/>
      <c r="AP24" s="154"/>
      <c r="AQ24" s="154"/>
      <c r="AR24" s="154"/>
      <c r="AS24" s="154"/>
      <c r="AT24" s="154"/>
      <c r="AU24" s="154"/>
      <c r="AV24" s="154"/>
      <c r="AW24" s="154"/>
      <c r="AX24" s="154"/>
      <c r="AY24" s="154"/>
      <c r="AZ24" s="154"/>
      <c r="BA24" s="154"/>
      <c r="BB24" s="154"/>
      <c r="BC24" s="154"/>
      <c r="BD24" s="154"/>
      <c r="BE24" s="154"/>
      <c r="BF24" s="154"/>
      <c r="BG24" s="154"/>
      <c r="BH24" s="154"/>
      <c r="BI24" s="154"/>
      <c r="BJ24" s="154"/>
      <c r="BK24" s="154"/>
      <c r="BL24" s="154"/>
      <c r="BM24" s="154"/>
      <c r="BN24" s="154"/>
      <c r="BO24" s="154"/>
      <c r="BP24" s="154"/>
      <c r="BQ24" s="154"/>
      <c r="BR24" s="154"/>
      <c r="BS24" s="154"/>
      <c r="BT24" s="154"/>
      <c r="BU24" s="154"/>
      <c r="BV24" s="154"/>
      <c r="BW24" s="154"/>
      <c r="BX24" s="154"/>
      <c r="BY24" s="154"/>
      <c r="BZ24" s="154"/>
      <c r="CA24" s="154"/>
      <c r="CB24" s="154"/>
      <c r="CC24" s="154"/>
      <c r="CD24" s="154"/>
      <c r="CE24" s="154"/>
      <c r="CF24" s="154"/>
      <c r="CG24" s="154"/>
      <c r="CH24" s="154"/>
      <c r="CI24" s="154"/>
      <c r="CJ24" s="154"/>
      <c r="CK24" s="154"/>
      <c r="CL24" s="154"/>
      <c r="CM24" s="154"/>
      <c r="CN24" s="154"/>
      <c r="CO24" s="154"/>
      <c r="CP24" s="154"/>
      <c r="CQ24" s="154"/>
      <c r="CR24" s="154"/>
      <c r="CS24" s="154"/>
      <c r="CT24" s="154"/>
      <c r="CU24" s="154"/>
      <c r="CV24" s="154"/>
      <c r="CW24" s="154"/>
      <c r="CX24" s="154"/>
      <c r="CY24" s="154"/>
      <c r="CZ24" s="154"/>
      <c r="DA24" s="154"/>
      <c r="DB24" s="154"/>
      <c r="DC24" s="154"/>
      <c r="DD24" s="154"/>
      <c r="DE24" s="154"/>
      <c r="DF24" s="154"/>
      <c r="DG24" s="154"/>
      <c r="DH24" s="154"/>
      <c r="DI24" s="154"/>
      <c r="DJ24" s="154"/>
      <c r="DK24" s="154"/>
      <c r="DL24" s="154"/>
      <c r="DM24" s="154"/>
      <c r="DN24" s="154"/>
      <c r="DO24" s="154"/>
      <c r="DP24" s="154"/>
      <c r="DQ24" s="154"/>
      <c r="DR24" s="154"/>
      <c r="DS24" s="154"/>
      <c r="DT24" s="154"/>
      <c r="DU24" s="154"/>
    </row>
    <row r="25" thickTop="1">
      <c r="F25" s="153">
        <f>SUM(F5:F24)</f>
        <v>0</v>
      </c>
      <c r="G25" s="153">
        <f t="shared" ref="G25:BR25" si="2">SUM(G5:G24)</f>
        <v>0</v>
      </c>
      <c r="H25" s="153">
        <f t="shared" si="2"/>
        <v>0</v>
      </c>
      <c r="I25" s="153">
        <f t="shared" si="2"/>
        <v>0</v>
      </c>
      <c r="J25" s="153">
        <f t="shared" si="2"/>
        <v>0</v>
      </c>
      <c r="K25" s="153">
        <f t="shared" si="2"/>
        <v>0</v>
      </c>
      <c r="L25" s="153">
        <f t="shared" si="2"/>
        <v>0</v>
      </c>
      <c r="M25" s="153">
        <f t="shared" si="2"/>
        <v>0</v>
      </c>
      <c r="N25" s="153">
        <f t="shared" si="2"/>
        <v>0</v>
      </c>
      <c r="O25" s="153">
        <f t="shared" si="2"/>
        <v>0</v>
      </c>
      <c r="P25" s="153">
        <f t="shared" si="2"/>
        <v>0</v>
      </c>
      <c r="Q25" s="153">
        <f t="shared" si="2"/>
        <v>0</v>
      </c>
      <c r="R25" s="153">
        <f t="shared" si="2"/>
        <v>0</v>
      </c>
      <c r="S25" s="153">
        <f t="shared" si="2"/>
        <v>0</v>
      </c>
      <c r="T25" s="153">
        <f t="shared" si="2"/>
        <v>0</v>
      </c>
      <c r="U25" s="153">
        <f t="shared" si="2"/>
        <v>0</v>
      </c>
      <c r="V25" s="153">
        <f t="shared" si="2"/>
        <v>0</v>
      </c>
      <c r="W25" s="153">
        <f t="shared" si="2"/>
        <v>0</v>
      </c>
      <c r="X25" s="153">
        <f t="shared" si="2"/>
        <v>0</v>
      </c>
      <c r="Y25" s="153">
        <f t="shared" si="2"/>
        <v>0</v>
      </c>
      <c r="Z25" s="153">
        <f t="shared" si="2"/>
        <v>0</v>
      </c>
      <c r="AA25" s="153">
        <f t="shared" si="2"/>
        <v>0</v>
      </c>
      <c r="AB25" s="153">
        <f t="shared" si="2"/>
        <v>0</v>
      </c>
      <c r="AC25" s="153">
        <f t="shared" si="2"/>
        <v>0</v>
      </c>
      <c r="AD25" s="153">
        <f t="shared" si="2"/>
        <v>0</v>
      </c>
      <c r="AE25" s="153">
        <f t="shared" si="2"/>
        <v>0</v>
      </c>
      <c r="AF25" s="153">
        <f t="shared" si="2"/>
        <v>0</v>
      </c>
      <c r="AG25" s="153">
        <f t="shared" si="2"/>
        <v>0</v>
      </c>
      <c r="AH25" s="153">
        <f t="shared" si="2"/>
        <v>0</v>
      </c>
      <c r="AI25" s="153">
        <f t="shared" si="2"/>
        <v>0</v>
      </c>
      <c r="AJ25" s="153">
        <f t="shared" si="2"/>
        <v>0</v>
      </c>
      <c r="AK25" s="153">
        <f t="shared" si="2"/>
        <v>0</v>
      </c>
      <c r="AL25" s="153">
        <f t="shared" si="2"/>
        <v>0</v>
      </c>
      <c r="AM25" s="153">
        <f t="shared" si="2"/>
        <v>0</v>
      </c>
      <c r="AN25" s="153">
        <f t="shared" si="2"/>
        <v>0</v>
      </c>
      <c r="AO25" s="153">
        <f t="shared" si="2"/>
        <v>0</v>
      </c>
      <c r="AP25" s="153">
        <f t="shared" si="2"/>
        <v>0</v>
      </c>
      <c r="AQ25" s="153">
        <f t="shared" si="2"/>
        <v>0</v>
      </c>
      <c r="AR25" s="153">
        <f t="shared" si="2"/>
        <v>0</v>
      </c>
      <c r="AS25" s="153">
        <f t="shared" si="2"/>
        <v>0</v>
      </c>
      <c r="AT25" s="153">
        <f t="shared" si="2"/>
        <v>0</v>
      </c>
      <c r="AU25" s="153">
        <f t="shared" si="2"/>
        <v>0</v>
      </c>
      <c r="AV25" s="153">
        <f t="shared" si="2"/>
        <v>0</v>
      </c>
      <c r="AW25" s="153">
        <f t="shared" si="2"/>
        <v>0</v>
      </c>
      <c r="AX25" s="153">
        <f t="shared" si="2"/>
        <v>0</v>
      </c>
      <c r="AY25" s="153">
        <f t="shared" si="2"/>
        <v>0</v>
      </c>
      <c r="AZ25" s="153">
        <f t="shared" si="2"/>
        <v>0</v>
      </c>
      <c r="BA25" s="153">
        <f t="shared" si="2"/>
        <v>0</v>
      </c>
      <c r="BB25" s="153">
        <f t="shared" si="2"/>
        <v>0</v>
      </c>
      <c r="BC25" s="153">
        <f t="shared" si="2"/>
        <v>0</v>
      </c>
      <c r="BD25" s="153">
        <f t="shared" si="2"/>
        <v>0</v>
      </c>
      <c r="BE25" s="153">
        <f t="shared" si="2"/>
        <v>0</v>
      </c>
      <c r="BF25" s="153">
        <f t="shared" si="2"/>
        <v>0</v>
      </c>
      <c r="BG25" s="153">
        <f t="shared" si="2"/>
        <v>0</v>
      </c>
      <c r="BH25" s="153">
        <f t="shared" si="2"/>
        <v>0</v>
      </c>
      <c r="BI25" s="153">
        <f t="shared" si="2"/>
        <v>0</v>
      </c>
      <c r="BJ25" s="153">
        <f t="shared" si="2"/>
        <v>0</v>
      </c>
      <c r="BK25" s="153">
        <f t="shared" si="2"/>
        <v>0</v>
      </c>
      <c r="BL25" s="153">
        <f t="shared" si="2"/>
        <v>0</v>
      </c>
      <c r="BM25" s="153">
        <f t="shared" si="2"/>
        <v>0</v>
      </c>
      <c r="BN25" s="153">
        <f t="shared" si="2"/>
        <v>0</v>
      </c>
      <c r="BO25" s="153">
        <f t="shared" si="2"/>
        <v>0</v>
      </c>
      <c r="BP25" s="153">
        <f t="shared" si="2"/>
        <v>0</v>
      </c>
      <c r="BQ25" s="153">
        <f t="shared" si="2"/>
        <v>0</v>
      </c>
      <c r="BR25" s="153">
        <f t="shared" si="2"/>
        <v>0</v>
      </c>
      <c r="BS25" s="153">
        <f t="shared" ref="BS25:DU25" si="3">SUM(BS5:BS24)</f>
        <v>0</v>
      </c>
      <c r="BT25" s="153">
        <f t="shared" si="3"/>
        <v>0</v>
      </c>
      <c r="BU25" s="153">
        <f t="shared" si="3"/>
        <v>0</v>
      </c>
      <c r="BV25" s="153">
        <f t="shared" si="3"/>
        <v>0</v>
      </c>
      <c r="BW25" s="153">
        <f t="shared" si="3"/>
        <v>0</v>
      </c>
      <c r="BX25" s="153">
        <f t="shared" si="3"/>
        <v>0</v>
      </c>
      <c r="BY25" s="153">
        <f t="shared" si="3"/>
        <v>0</v>
      </c>
      <c r="BZ25" s="153">
        <f t="shared" si="3"/>
        <v>0</v>
      </c>
      <c r="CA25" s="153">
        <f t="shared" si="3"/>
        <v>0</v>
      </c>
      <c r="CB25" s="153">
        <f t="shared" si="3"/>
        <v>0</v>
      </c>
      <c r="CC25" s="153">
        <f t="shared" si="3"/>
        <v>0</v>
      </c>
      <c r="CD25" s="153">
        <f t="shared" si="3"/>
        <v>0</v>
      </c>
      <c r="CE25" s="153">
        <f t="shared" si="3"/>
        <v>0</v>
      </c>
      <c r="CF25" s="153">
        <f t="shared" si="3"/>
        <v>0</v>
      </c>
      <c r="CG25" s="153">
        <f t="shared" si="3"/>
        <v>0</v>
      </c>
      <c r="CH25" s="153">
        <f t="shared" si="3"/>
        <v>0</v>
      </c>
      <c r="CI25" s="153">
        <f t="shared" si="3"/>
        <v>0</v>
      </c>
      <c r="CJ25" s="153">
        <f t="shared" si="3"/>
        <v>0</v>
      </c>
      <c r="CK25" s="153">
        <f t="shared" si="3"/>
        <v>0</v>
      </c>
      <c r="CL25" s="153">
        <f t="shared" si="3"/>
        <v>0</v>
      </c>
      <c r="CM25" s="153">
        <f t="shared" si="3"/>
        <v>0</v>
      </c>
      <c r="CN25" s="153">
        <f t="shared" si="3"/>
        <v>0</v>
      </c>
      <c r="CO25" s="153">
        <f t="shared" si="3"/>
        <v>0</v>
      </c>
      <c r="CP25" s="153">
        <f t="shared" si="3"/>
        <v>0</v>
      </c>
      <c r="CQ25" s="153">
        <f t="shared" si="3"/>
        <v>0</v>
      </c>
      <c r="CR25" s="153">
        <f t="shared" si="3"/>
        <v>0</v>
      </c>
      <c r="CS25" s="153">
        <f t="shared" si="3"/>
        <v>0</v>
      </c>
      <c r="CT25" s="153">
        <f t="shared" si="3"/>
        <v>0</v>
      </c>
      <c r="CU25" s="153">
        <f t="shared" si="3"/>
        <v>0</v>
      </c>
      <c r="CV25" s="153">
        <f t="shared" si="3"/>
        <v>0</v>
      </c>
      <c r="CW25" s="153">
        <f t="shared" si="3"/>
        <v>0</v>
      </c>
      <c r="CX25" s="153">
        <f t="shared" si="3"/>
        <v>0</v>
      </c>
      <c r="CY25" s="153">
        <f t="shared" si="3"/>
        <v>0</v>
      </c>
      <c r="CZ25" s="153">
        <f t="shared" si="3"/>
        <v>0</v>
      </c>
      <c r="DA25" s="153">
        <f t="shared" si="3"/>
        <v>0</v>
      </c>
      <c r="DB25" s="153">
        <f t="shared" si="3"/>
        <v>0</v>
      </c>
      <c r="DC25" s="153">
        <f t="shared" si="3"/>
        <v>0</v>
      </c>
      <c r="DD25" s="153">
        <f t="shared" si="3"/>
        <v>0</v>
      </c>
      <c r="DE25" s="153">
        <f t="shared" si="3"/>
        <v>0</v>
      </c>
      <c r="DF25" s="153">
        <f t="shared" si="3"/>
        <v>0</v>
      </c>
      <c r="DG25" s="153">
        <f t="shared" si="3"/>
        <v>0</v>
      </c>
      <c r="DH25" s="153">
        <f t="shared" si="3"/>
        <v>0</v>
      </c>
      <c r="DI25" s="153">
        <f t="shared" si="3"/>
        <v>0</v>
      </c>
      <c r="DJ25" s="153">
        <f t="shared" si="3"/>
        <v>0</v>
      </c>
      <c r="DK25" s="153">
        <f t="shared" si="3"/>
        <v>0</v>
      </c>
      <c r="DL25" s="153">
        <f t="shared" si="3"/>
        <v>0</v>
      </c>
      <c r="DM25" s="153">
        <f t="shared" si="3"/>
        <v>0</v>
      </c>
      <c r="DN25" s="153">
        <f t="shared" si="3"/>
        <v>0</v>
      </c>
      <c r="DO25" s="153">
        <f t="shared" si="3"/>
        <v>0</v>
      </c>
      <c r="DP25" s="153">
        <f t="shared" si="3"/>
        <v>0</v>
      </c>
      <c r="DQ25" s="153">
        <f t="shared" si="3"/>
        <v>0</v>
      </c>
      <c r="DR25" s="153">
        <f t="shared" si="3"/>
        <v>0</v>
      </c>
      <c r="DS25" s="153">
        <f t="shared" si="3"/>
        <v>0</v>
      </c>
      <c r="DT25" s="153">
        <f t="shared" si="3"/>
        <v>0</v>
      </c>
      <c r="DU25" s="153">
        <f t="shared" si="3"/>
        <v>0</v>
      </c>
    </row>
  </sheetData>
  <hyperlinks>
    <hyperlink ref="C1" location="Input!A1" display="MENU"/>
  </hyperlinks>
</worksheet>
</file>

<file path=xl/worksheets/sheet27.xml><?xml version="1.0" encoding="utf-8"?>
<worksheet xmlns:r="http://schemas.openxmlformats.org/officeDocument/2006/relationships" xmlns="http://schemas.openxmlformats.org/spreadsheetml/2006/main">
  <sheetViews>
    <sheetView showGridLines="0" zoomScaleNormal="100" workbookViewId="0">
      <pane activePane="bottomLeft" state="frozen" topLeftCell="A83" ySplit="5"/>
      <selection pane="bottomLeft" activeCell="B114" sqref="B114"/>
    </sheetView>
  </sheetViews>
  <sheetFormatPr defaultColWidth="8.855469" defaultRowHeight="15" outlineLevelCol="2" outlineLevelRow="1"/>
  <cols>
    <col min="1" max="1" width="58.14063" bestFit="1" customWidth="1"/>
    <col min="2" max="2" width="16.57031" bestFit="1" customWidth="1"/>
    <col min="3" max="3" width="6.570313" customWidth="1" outlineLevel="1"/>
    <col min="4" max="4" width="7.570313" customWidth="1" outlineLevel="2"/>
    <col min="5" max="5" width="11" customWidth="1" outlineLevel="1"/>
    <col min="6" max="6" width="11.42578" customWidth="1" outlineLevel="2"/>
    <col min="7" max="7" width="19.42578" customWidth="1" outlineLevel="1"/>
    <col min="8" max="8" width="23.57031" customWidth="1" outlineLevel="1"/>
    <col min="9" max="9" width="15.42578" customWidth="1" outlineLevel="1"/>
    <col min="10" max="10" width="14.42578" bestFit="1" customWidth="1"/>
    <col min="11" max="11" width="18.42578" bestFit="1" customWidth="1"/>
    <col min="12" max="12" width="17.42578" bestFit="1" customWidth="1"/>
    <col min="13" max="13" width="58" hidden="1" customWidth="1" outlineLevel="1"/>
    <col min="14" max="14" width="8.570313" bestFit="1" collapsed="1" customWidth="1"/>
    <col min="15" max="15" width="3.570313" customWidth="1"/>
    <col min="16" max="16" width="11.14063" bestFit="1" customWidth="1"/>
    <col min="17" max="17" width="8.855469" bestFit="1" customWidth="1"/>
    <col min="18" max="18" width="7.570313" bestFit="1" customWidth="1"/>
    <col min="19" max="21" width="10.57031" bestFit="1" customWidth="1"/>
    <col min="22" max="22" width="5.140625" bestFit="1" customWidth="1"/>
    <col min="23" max="23" width="6.570313" bestFit="1" customWidth="1"/>
    <col min="24" max="24" width="8.570313" bestFit="1" customWidth="1"/>
    <col min="25" max="25" width="8.425781" bestFit="1" customWidth="1"/>
    <col min="26" max="26" width="10.14063" bestFit="1" customWidth="1"/>
    <col min="27" max="28" width="8.425781" bestFit="1" customWidth="1"/>
    <col min="29" max="31" width="4.855469" bestFit="1" customWidth="1"/>
    <col min="32" max="32" width="10.14063" bestFit="1" customWidth="1"/>
    <col min="33" max="33" width="4.855469" bestFit="1" customWidth="1"/>
    <col min="34" max="34" width="10.14063" bestFit="1" customWidth="1"/>
    <col min="35" max="77" width="4.855469" bestFit="1" customWidth="1"/>
  </cols>
  <sheetData>
    <row r="1" thickBot="1" ht="26.5" customHeight="1">
      <c r="A1" s="155" t="s">
        <v>38</v>
      </c>
      <c r="B1" s="46" t="s">
        <v>1009</v>
      </c>
      <c r="C1" s="156" t="s">
        <v>1010</v>
      </c>
      <c r="D1" s="12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  <c r="AC1" s="157"/>
      <c r="AD1" s="157"/>
      <c r="AE1" s="157"/>
      <c r="AF1" s="157"/>
      <c r="AG1" s="157"/>
      <c r="AH1" s="157"/>
      <c r="AI1" s="157"/>
      <c r="AJ1" s="157"/>
      <c r="AK1" s="157"/>
      <c r="AL1" s="157"/>
      <c r="AM1" s="157"/>
      <c r="AN1" s="157"/>
      <c r="AO1" s="157"/>
      <c r="AP1" s="157"/>
      <c r="AQ1" s="157"/>
      <c r="AR1" s="157"/>
      <c r="AS1" s="157"/>
      <c r="AT1" s="157"/>
      <c r="AU1" s="157"/>
      <c r="AV1" s="157"/>
      <c r="AW1" s="157"/>
      <c r="AX1" s="157"/>
      <c r="AY1" s="157"/>
      <c r="AZ1" s="157"/>
      <c r="BA1" s="157"/>
      <c r="BB1" s="157"/>
      <c r="BC1" s="157"/>
      <c r="BD1" s="157"/>
      <c r="BE1" s="157"/>
      <c r="BF1" s="157"/>
      <c r="BG1" s="157"/>
      <c r="BH1" s="157"/>
      <c r="BI1" s="157"/>
      <c r="BJ1" s="157"/>
      <c r="BK1" s="157"/>
      <c r="BL1" s="157"/>
      <c r="BM1" s="157"/>
      <c r="BN1" s="157"/>
      <c r="BO1" s="157"/>
      <c r="BP1" s="157"/>
      <c r="BQ1" s="157"/>
      <c r="BR1" s="157"/>
      <c r="BS1" s="157"/>
      <c r="BT1" s="157"/>
      <c r="BU1" s="157"/>
      <c r="BV1" s="157"/>
      <c r="BW1" s="157"/>
      <c r="BX1" s="157"/>
      <c r="BY1" s="157"/>
    </row>
    <row r="2" thickTop="1" ht="29.5">
      <c r="A2" s="158" t="s">
        <v>1011</v>
      </c>
      <c r="B2" s="159" t="s">
        <v>1012</v>
      </c>
      <c r="C2" s="12"/>
      <c r="D2" s="12"/>
      <c r="E2" s="12"/>
      <c r="F2" s="12"/>
      <c r="G2" s="12"/>
      <c r="H2" s="12"/>
      <c r="I2" s="12"/>
      <c r="J2" s="159" t="s">
        <v>1013</v>
      </c>
      <c r="K2" s="159" t="s">
        <v>843</v>
      </c>
      <c r="L2" s="159"/>
      <c r="M2" s="159" t="s">
        <v>1014</v>
      </c>
      <c r="R2" s="160">
        <f>+'Gestione e Proposta concordatar'!J3</f>
        <v>2025</v>
      </c>
      <c r="S2" s="160">
        <f>+'Gestione e Proposta concordatar'!K3</f>
        <v>2025</v>
      </c>
      <c r="T2" s="160">
        <f>+'Gestione e Proposta concordatar'!L3</f>
        <v>2025</v>
      </c>
      <c r="U2" s="160">
        <f>+'Gestione e Proposta concordatar'!M3</f>
        <v>2026</v>
      </c>
      <c r="V2" s="160">
        <f>+'Gestione e Proposta concordatar'!N3</f>
        <v>2026</v>
      </c>
      <c r="W2" s="160">
        <f>+'Gestione e Proposta concordatar'!O3</f>
        <v>2026</v>
      </c>
      <c r="X2" s="160">
        <f>+'Gestione e Proposta concordatar'!P3</f>
        <v>2026</v>
      </c>
      <c r="Y2" s="160">
        <f>+'Gestione e Proposta concordatar'!Q3</f>
        <v>2026</v>
      </c>
      <c r="Z2" s="160">
        <f>+'Gestione e Proposta concordatar'!R3</f>
        <v>2026</v>
      </c>
      <c r="AA2" s="160">
        <f>+'Gestione e Proposta concordatar'!S3</f>
        <v>2026</v>
      </c>
      <c r="AB2" s="160">
        <f>+'Gestione e Proposta concordatar'!T3</f>
        <v>2026</v>
      </c>
      <c r="AC2" s="160">
        <f>+'Gestione e Proposta concordatar'!U3</f>
        <v>2026</v>
      </c>
      <c r="AD2" s="160">
        <f>+'Gestione e Proposta concordatar'!V3</f>
        <v>2026</v>
      </c>
      <c r="AE2" s="160">
        <f>+'Gestione e Proposta concordatar'!W3</f>
        <v>2026</v>
      </c>
      <c r="AF2" s="160">
        <f>+'Gestione e Proposta concordatar'!X3</f>
        <v>2026</v>
      </c>
      <c r="AG2" s="160">
        <f>+'Gestione e Proposta concordatar'!Y3</f>
        <v>2027</v>
      </c>
      <c r="AH2" s="160">
        <f>+'Gestione e Proposta concordatar'!Z3</f>
        <v>2027</v>
      </c>
      <c r="AI2" s="160">
        <f>+'Gestione e Proposta concordatar'!AA3</f>
        <v>2027</v>
      </c>
      <c r="AJ2" s="160">
        <f>+'Gestione e Proposta concordatar'!AB3</f>
        <v>2027</v>
      </c>
      <c r="AK2" s="160">
        <f>+'Gestione e Proposta concordatar'!AC3</f>
        <v>2027</v>
      </c>
      <c r="AL2" s="160">
        <f>+'Gestione e Proposta concordatar'!AD3</f>
        <v>2027</v>
      </c>
      <c r="AM2" s="160">
        <f>+'Gestione e Proposta concordatar'!AE3</f>
        <v>2027</v>
      </c>
      <c r="AN2" s="160">
        <f>+'Gestione e Proposta concordatar'!AF3</f>
        <v>2027</v>
      </c>
      <c r="AO2" s="160">
        <f>+'Gestione e Proposta concordatar'!AG3</f>
        <v>2027</v>
      </c>
      <c r="AP2" s="160">
        <f>+'Gestione e Proposta concordatar'!AH3</f>
        <v>2027</v>
      </c>
      <c r="AQ2" s="160">
        <f>+'Gestione e Proposta concordatar'!AI3</f>
        <v>2027</v>
      </c>
      <c r="AR2" s="160">
        <f>+'Gestione e Proposta concordatar'!AJ3</f>
        <v>2027</v>
      </c>
      <c r="AS2" s="160">
        <f>+'Gestione e Proposta concordatar'!AK3</f>
        <v>2028</v>
      </c>
      <c r="AT2" s="160">
        <f>+'Gestione e Proposta concordatar'!AL3</f>
        <v>2028</v>
      </c>
      <c r="AU2" s="160">
        <f>+'Gestione e Proposta concordatar'!AM3</f>
        <v>2028</v>
      </c>
      <c r="AV2" s="160">
        <f>+'Gestione e Proposta concordatar'!AN3</f>
        <v>2028</v>
      </c>
      <c r="AW2" s="160">
        <f>+'Gestione e Proposta concordatar'!AO3</f>
        <v>2028</v>
      </c>
      <c r="AX2" s="160">
        <f>+'Gestione e Proposta concordatar'!AP3</f>
        <v>2028</v>
      </c>
      <c r="AY2" s="160">
        <f>+'Gestione e Proposta concordatar'!AQ3</f>
        <v>2028</v>
      </c>
      <c r="AZ2" s="160">
        <f>+'Gestione e Proposta concordatar'!AR3</f>
        <v>2028</v>
      </c>
      <c r="BA2" s="160">
        <f>+'Gestione e Proposta concordatar'!AS3</f>
        <v>2028</v>
      </c>
      <c r="BB2" s="160">
        <f>+'Gestione e Proposta concordatar'!AT3</f>
        <v>2028</v>
      </c>
      <c r="BC2" s="160">
        <f>+'Gestione e Proposta concordatar'!AU3</f>
        <v>2028</v>
      </c>
      <c r="BD2" s="160">
        <f>+'Gestione e Proposta concordatar'!AV3</f>
        <v>2028</v>
      </c>
      <c r="BE2" s="160">
        <f>+'Gestione e Proposta concordatar'!AW3</f>
        <v>2029</v>
      </c>
      <c r="BF2" s="160">
        <f>+'Gestione e Proposta concordatar'!AX3</f>
        <v>2029</v>
      </c>
      <c r="BG2" s="160">
        <f>+'Gestione e Proposta concordatar'!AY3</f>
        <v>2029</v>
      </c>
      <c r="BH2" s="160">
        <f>+'Gestione e Proposta concordatar'!AZ3</f>
        <v>2029</v>
      </c>
      <c r="BI2" s="160">
        <f>+'Gestione e Proposta concordatar'!BA3</f>
        <v>2029</v>
      </c>
      <c r="BJ2" s="160">
        <f>+'Gestione e Proposta concordatar'!BB3</f>
        <v>2029</v>
      </c>
      <c r="BK2" s="160">
        <f>+'Gestione e Proposta concordatar'!BC3</f>
        <v>2029</v>
      </c>
      <c r="BL2" s="160">
        <f>+'Gestione e Proposta concordatar'!BD3</f>
        <v>2029</v>
      </c>
      <c r="BM2" s="160">
        <f>+'Gestione e Proposta concordatar'!BE3</f>
        <v>2029</v>
      </c>
      <c r="BN2" s="160">
        <f>+'Gestione e Proposta concordatar'!BF3</f>
        <v>2029</v>
      </c>
      <c r="BO2" s="160">
        <f>+'Gestione e Proposta concordatar'!BG3</f>
        <v>2029</v>
      </c>
      <c r="BP2" s="160">
        <f>+'Gestione e Proposta concordatar'!BH3</f>
        <v>2029</v>
      </c>
      <c r="BQ2" s="160">
        <f>+'Gestione e Proposta concordatar'!BI3</f>
        <v>2030</v>
      </c>
      <c r="BR2" s="160">
        <f>+'Gestione e Proposta concordatar'!BJ3</f>
        <v>2030</v>
      </c>
      <c r="BS2" s="160">
        <f>+'Gestione e Proposta concordatar'!BK3</f>
        <v>2030</v>
      </c>
      <c r="BT2" s="160">
        <f>+'Gestione e Proposta concordatar'!BL3</f>
        <v>2030</v>
      </c>
      <c r="BU2" s="160">
        <f>+'Gestione e Proposta concordatar'!BM3</f>
        <v>2030</v>
      </c>
      <c r="BV2" s="160">
        <f>+'Gestione e Proposta concordatar'!BN3</f>
        <v>2030</v>
      </c>
      <c r="BW2" s="160">
        <f>+'Gestione e Proposta concordatar'!BO3</f>
        <v>2030</v>
      </c>
      <c r="BX2" s="160">
        <f>+'Gestione e Proposta concordatar'!BP3</f>
        <v>2030</v>
      </c>
      <c r="BY2" s="160">
        <f>+'Gestione e Proposta concordatar'!BQ3</f>
        <v>2030</v>
      </c>
    </row>
    <row r="3" ht="30.75">
      <c r="A3" s="161"/>
      <c r="B3" s="159" t="str">
        <f>+Input!D10&amp;" "&amp;Input!D9</f>
        <v>9 2025</v>
      </c>
      <c r="C3" s="12"/>
      <c r="D3" s="12"/>
      <c r="E3" s="12"/>
      <c r="F3" s="12"/>
      <c r="G3" s="12"/>
      <c r="H3" s="12"/>
      <c r="I3" s="12"/>
      <c r="J3" s="159"/>
      <c r="K3" s="159"/>
      <c r="L3" s="159"/>
      <c r="M3" s="159"/>
      <c r="P3" s="159" t="s">
        <v>1015</v>
      </c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0"/>
      <c r="AO3" s="160"/>
      <c r="AP3" s="160"/>
      <c r="AQ3" s="160"/>
      <c r="AR3" s="160"/>
      <c r="AS3" s="160"/>
      <c r="AT3" s="160"/>
      <c r="AU3" s="160"/>
      <c r="AV3" s="160"/>
      <c r="AW3" s="160"/>
      <c r="AX3" s="160"/>
      <c r="AY3" s="160"/>
      <c r="AZ3" s="160"/>
      <c r="BA3" s="160"/>
      <c r="BB3" s="160"/>
      <c r="BC3" s="160"/>
      <c r="BD3" s="160"/>
      <c r="BE3" s="160"/>
      <c r="BF3" s="160"/>
      <c r="BG3" s="160"/>
      <c r="BH3" s="160"/>
      <c r="BI3" s="160"/>
      <c r="BJ3" s="160"/>
      <c r="BK3" s="160"/>
      <c r="BL3" s="160"/>
      <c r="BM3" s="160"/>
      <c r="BN3" s="160"/>
      <c r="BO3" s="160"/>
      <c r="BP3" s="160"/>
      <c r="BQ3" s="160"/>
      <c r="BR3" s="160"/>
      <c r="BS3" s="160"/>
      <c r="BT3" s="160"/>
      <c r="BU3" s="160"/>
      <c r="BV3" s="160"/>
      <c r="BW3" s="160"/>
      <c r="BX3" s="160"/>
      <c r="BY3" s="160"/>
    </row>
    <row r="4" thickTop="1" ht="29.5">
      <c r="A4" s="162" t="s">
        <v>1016</v>
      </c>
      <c r="B4" s="163"/>
      <c r="C4" s="82" t="s">
        <v>837</v>
      </c>
      <c r="D4" s="83"/>
      <c r="E4" s="82" t="s">
        <v>838</v>
      </c>
      <c r="F4" s="83"/>
      <c r="G4" s="159" t="s">
        <v>839</v>
      </c>
      <c r="H4" s="159" t="s">
        <v>840</v>
      </c>
      <c r="I4" s="159" t="s">
        <v>841</v>
      </c>
      <c r="J4" s="164"/>
      <c r="K4" s="163"/>
      <c r="L4" s="165"/>
      <c r="M4" s="165"/>
      <c r="R4" s="12" t="str">
        <f>+'Gestione e Proposta concordatar'!J2</f>
        <v>OTT</v>
      </c>
      <c r="S4" s="12" t="str">
        <f>+'Gestione e Proposta concordatar'!K2</f>
        <v>NOV</v>
      </c>
      <c r="T4" s="12" t="str">
        <f>+'Gestione e Proposta concordatar'!L2</f>
        <v>DIC</v>
      </c>
      <c r="U4" s="12" t="str">
        <f>+'Gestione e Proposta concordatar'!M2</f>
        <v>GEN</v>
      </c>
      <c r="V4" s="12" t="str">
        <f>+'Gestione e Proposta concordatar'!N2</f>
        <v>FEB</v>
      </c>
      <c r="W4" s="12" t="str">
        <f>+'Gestione e Proposta concordatar'!O2</f>
        <v>MAR</v>
      </c>
      <c r="X4" s="12" t="str">
        <f>+'Gestione e Proposta concordatar'!P2</f>
        <v>APR</v>
      </c>
      <c r="Y4" s="12" t="str">
        <f>+'Gestione e Proposta concordatar'!Q2</f>
        <v>MAG</v>
      </c>
      <c r="Z4" s="12" t="str">
        <f>+'Gestione e Proposta concordatar'!R2</f>
        <v>GIU</v>
      </c>
      <c r="AA4" s="12" t="str">
        <f>+'Gestione e Proposta concordatar'!S2</f>
        <v>LUG</v>
      </c>
      <c r="AB4" s="12" t="str">
        <f>+'Gestione e Proposta concordatar'!T2</f>
        <v>AGO</v>
      </c>
      <c r="AC4" s="12" t="str">
        <f>+'Gestione e Proposta concordatar'!U2</f>
        <v>SET</v>
      </c>
      <c r="AD4" s="12" t="str">
        <f>+'Gestione e Proposta concordatar'!V2</f>
        <v>OTT</v>
      </c>
      <c r="AE4" s="12" t="str">
        <f>+'Gestione e Proposta concordatar'!W2</f>
        <v>NOV</v>
      </c>
      <c r="AF4" s="12" t="str">
        <f>+'Gestione e Proposta concordatar'!X2</f>
        <v>DIC</v>
      </c>
      <c r="AG4" s="12" t="str">
        <f>+'Gestione e Proposta concordatar'!Y2</f>
        <v>GEN</v>
      </c>
      <c r="AH4" s="12" t="str">
        <f>+'Gestione e Proposta concordatar'!Z2</f>
        <v>FEB</v>
      </c>
      <c r="AI4" s="12" t="str">
        <f>+'Gestione e Proposta concordatar'!AA2</f>
        <v>MAR</v>
      </c>
      <c r="AJ4" s="12" t="str">
        <f>+'Gestione e Proposta concordatar'!AB2</f>
        <v>APR</v>
      </c>
      <c r="AK4" s="12" t="str">
        <f>+'Gestione e Proposta concordatar'!AC2</f>
        <v>MAG</v>
      </c>
      <c r="AL4" s="12" t="str">
        <f>+'Gestione e Proposta concordatar'!AD2</f>
        <v>GIU</v>
      </c>
      <c r="AM4" s="12" t="str">
        <f>+'Gestione e Proposta concordatar'!AE2</f>
        <v>LUG</v>
      </c>
      <c r="AN4" s="12" t="str">
        <f>+'Gestione e Proposta concordatar'!AF2</f>
        <v>AGO</v>
      </c>
      <c r="AO4" s="12" t="str">
        <f>+'Gestione e Proposta concordatar'!AG2</f>
        <v>SET</v>
      </c>
      <c r="AP4" s="12" t="str">
        <f>+'Gestione e Proposta concordatar'!AH2</f>
        <v>OTT</v>
      </c>
      <c r="AQ4" s="12" t="str">
        <f>+'Gestione e Proposta concordatar'!AI2</f>
        <v>NOV</v>
      </c>
      <c r="AR4" s="12" t="str">
        <f>+'Gestione e Proposta concordatar'!AJ2</f>
        <v>DIC</v>
      </c>
      <c r="AS4" s="12" t="str">
        <f>+'Gestione e Proposta concordatar'!AK2</f>
        <v>GEN</v>
      </c>
      <c r="AT4" s="12" t="str">
        <f>+'Gestione e Proposta concordatar'!AL2</f>
        <v>FEB</v>
      </c>
      <c r="AU4" s="12" t="str">
        <f>+'Gestione e Proposta concordatar'!AM2</f>
        <v>MAR</v>
      </c>
      <c r="AV4" s="12" t="str">
        <f>+'Gestione e Proposta concordatar'!AN2</f>
        <v>APR</v>
      </c>
      <c r="AW4" s="12" t="str">
        <f>+'Gestione e Proposta concordatar'!AO2</f>
        <v>MAG</v>
      </c>
      <c r="AX4" s="12" t="str">
        <f>+'Gestione e Proposta concordatar'!AP2</f>
        <v>GIU</v>
      </c>
      <c r="AY4" s="12" t="str">
        <f>+'Gestione e Proposta concordatar'!AQ2</f>
        <v>LUG</v>
      </c>
      <c r="AZ4" s="12" t="str">
        <f>+'Gestione e Proposta concordatar'!AR2</f>
        <v>AGO</v>
      </c>
      <c r="BA4" s="12" t="str">
        <f>+'Gestione e Proposta concordatar'!AS2</f>
        <v>SET</v>
      </c>
      <c r="BB4" s="12" t="str">
        <f>+'Gestione e Proposta concordatar'!AT2</f>
        <v>OTT</v>
      </c>
      <c r="BC4" s="12" t="str">
        <f>+'Gestione e Proposta concordatar'!AU2</f>
        <v>NOV</v>
      </c>
      <c r="BD4" s="12" t="str">
        <f>+'Gestione e Proposta concordatar'!AV2</f>
        <v>DIC</v>
      </c>
      <c r="BE4" s="12" t="str">
        <f>+'Gestione e Proposta concordatar'!AW2</f>
        <v>GEN</v>
      </c>
      <c r="BF4" s="12" t="str">
        <f>+'Gestione e Proposta concordatar'!AX2</f>
        <v>FEB</v>
      </c>
      <c r="BG4" s="12" t="str">
        <f>+'Gestione e Proposta concordatar'!AY2</f>
        <v>MAR</v>
      </c>
      <c r="BH4" s="12" t="str">
        <f>+'Gestione e Proposta concordatar'!AZ2</f>
        <v>APR</v>
      </c>
      <c r="BI4" s="12" t="str">
        <f>+'Gestione e Proposta concordatar'!BA2</f>
        <v>MAG</v>
      </c>
      <c r="BJ4" s="12" t="str">
        <f>+'Gestione e Proposta concordatar'!BB2</f>
        <v>GIU</v>
      </c>
      <c r="BK4" s="12" t="str">
        <f>+'Gestione e Proposta concordatar'!BC2</f>
        <v>LUG</v>
      </c>
      <c r="BL4" s="12" t="str">
        <f>+'Gestione e Proposta concordatar'!BD2</f>
        <v>AGO</v>
      </c>
      <c r="BM4" s="12" t="str">
        <f>+'Gestione e Proposta concordatar'!BE2</f>
        <v>SET</v>
      </c>
      <c r="BN4" s="12" t="str">
        <f>+'Gestione e Proposta concordatar'!BF2</f>
        <v>OTT</v>
      </c>
      <c r="BO4" s="12" t="str">
        <f>+'Gestione e Proposta concordatar'!BG2</f>
        <v>NOV</v>
      </c>
      <c r="BP4" s="12" t="str">
        <f>+'Gestione e Proposta concordatar'!BH2</f>
        <v>DIC</v>
      </c>
      <c r="BQ4" s="12" t="str">
        <f>+'Gestione e Proposta concordatar'!BI2</f>
        <v>GEN</v>
      </c>
      <c r="BR4" s="12" t="str">
        <f>+'Gestione e Proposta concordatar'!BJ2</f>
        <v>FEB</v>
      </c>
      <c r="BS4" s="12" t="str">
        <f>+'Gestione e Proposta concordatar'!BK2</f>
        <v>MAR</v>
      </c>
      <c r="BT4" s="12" t="str">
        <f>+'Gestione e Proposta concordatar'!BL2</f>
        <v>APR</v>
      </c>
      <c r="BU4" s="12" t="str">
        <f>+'Gestione e Proposta concordatar'!BM2</f>
        <v>MAG</v>
      </c>
      <c r="BV4" s="12" t="str">
        <f>+'Gestione e Proposta concordatar'!BN2</f>
        <v>GIU</v>
      </c>
      <c r="BW4" s="12" t="str">
        <f>+'Gestione e Proposta concordatar'!BO2</f>
        <v>LUG</v>
      </c>
      <c r="BX4" s="12" t="str">
        <f>+'Gestione e Proposta concordatar'!BP2</f>
        <v>AGO</v>
      </c>
      <c r="BY4" s="12" t="str">
        <f>+'Gestione e Proposta concordatar'!BQ2</f>
        <v>SET</v>
      </c>
    </row>
    <row r="5" ht="14.5">
      <c r="A5" s="166" t="s">
        <v>844</v>
      </c>
      <c r="B5" s="167">
        <f>B6+B7</f>
        <v>0</v>
      </c>
      <c r="K5" s="167">
        <f>+B5</f>
        <v>0</v>
      </c>
    </row>
    <row r="6" outlineLevel="1" ht="14.5">
      <c r="A6" s="168" t="s">
        <v>744</v>
      </c>
      <c r="B6" s="169">
        <f>SUMIF(Raccordo!F:F,$A6,Raccordo!J:J)</f>
        <v>0</v>
      </c>
      <c r="K6" s="170">
        <f>+B6</f>
        <v>0</v>
      </c>
      <c r="R6" s="171"/>
      <c r="S6" s="171"/>
      <c r="T6" s="171"/>
      <c r="U6" s="171"/>
      <c r="V6" s="171"/>
      <c r="W6" s="171"/>
      <c r="X6" s="171"/>
      <c r="Y6" s="171"/>
      <c r="Z6" s="171"/>
      <c r="AA6" s="171"/>
      <c r="AB6" s="171"/>
      <c r="AC6" s="171"/>
      <c r="AD6" s="171"/>
      <c r="AE6" s="171"/>
      <c r="AF6" s="171"/>
      <c r="AG6" s="171"/>
      <c r="AH6" s="171"/>
      <c r="AI6" s="171"/>
      <c r="AJ6" s="171"/>
      <c r="AK6" s="171"/>
      <c r="AL6" s="171"/>
      <c r="AM6" s="171"/>
      <c r="AN6" s="171"/>
      <c r="AO6" s="171"/>
      <c r="AP6" s="171"/>
      <c r="AQ6" s="171"/>
      <c r="AR6" s="171"/>
      <c r="AS6" s="171"/>
      <c r="AT6" s="171"/>
      <c r="AU6" s="171"/>
      <c r="AV6" s="171"/>
      <c r="AW6" s="171"/>
      <c r="AX6" s="171"/>
      <c r="AY6" s="171"/>
      <c r="AZ6" s="171"/>
      <c r="BA6" s="171"/>
      <c r="BB6" s="171"/>
      <c r="BC6" s="171"/>
      <c r="BD6" s="171"/>
      <c r="BE6" s="171"/>
      <c r="BF6" s="171"/>
      <c r="BG6" s="171"/>
      <c r="BH6" s="171"/>
      <c r="BI6" s="171"/>
      <c r="BJ6" s="171"/>
      <c r="BK6" s="171"/>
      <c r="BL6" s="171"/>
      <c r="BM6" s="171"/>
      <c r="BN6" s="171"/>
      <c r="BO6" s="171"/>
      <c r="BP6" s="171"/>
      <c r="BQ6" s="171"/>
      <c r="BR6" s="171"/>
      <c r="BS6" s="171"/>
      <c r="BT6" s="171"/>
      <c r="BU6" s="171"/>
      <c r="BV6" s="171"/>
      <c r="BW6" s="171"/>
      <c r="BX6" s="171"/>
      <c r="BY6" s="171"/>
    </row>
    <row r="7" outlineLevel="1" ht="14.5">
      <c r="A7" s="168" t="s">
        <v>743</v>
      </c>
      <c r="B7" s="169">
        <f>SUMIF(Raccordo!F:F,$A7,Raccordo!J:J)</f>
        <v>0</v>
      </c>
      <c r="K7" s="170">
        <f>+B7</f>
        <v>0</v>
      </c>
      <c r="R7" s="171"/>
      <c r="S7" s="171"/>
      <c r="T7" s="171"/>
      <c r="U7" s="171"/>
      <c r="V7" s="171"/>
      <c r="W7" s="171"/>
      <c r="X7" s="171"/>
      <c r="Y7" s="171"/>
      <c r="Z7" s="171"/>
      <c r="AA7" s="171"/>
      <c r="AB7" s="171"/>
      <c r="AC7" s="171"/>
      <c r="AD7" s="171"/>
      <c r="AE7" s="171"/>
      <c r="AF7" s="171"/>
      <c r="AG7" s="171"/>
      <c r="AH7" s="171"/>
      <c r="AI7" s="171"/>
      <c r="AJ7" s="171"/>
      <c r="AK7" s="171"/>
      <c r="AL7" s="171"/>
      <c r="AM7" s="171"/>
      <c r="AN7" s="171"/>
      <c r="AO7" s="171"/>
      <c r="AP7" s="171"/>
      <c r="AQ7" s="171"/>
      <c r="AR7" s="171"/>
      <c r="AS7" s="171"/>
      <c r="AT7" s="171"/>
      <c r="AU7" s="171"/>
      <c r="AV7" s="171"/>
      <c r="AW7" s="171"/>
      <c r="AX7" s="171"/>
      <c r="AY7" s="171"/>
      <c r="AZ7" s="171"/>
      <c r="BA7" s="171"/>
      <c r="BB7" s="171"/>
      <c r="BC7" s="171"/>
      <c r="BD7" s="171"/>
      <c r="BE7" s="171"/>
      <c r="BF7" s="171"/>
      <c r="BG7" s="171"/>
      <c r="BH7" s="171"/>
      <c r="BI7" s="171"/>
      <c r="BJ7" s="171"/>
      <c r="BK7" s="171"/>
      <c r="BL7" s="171"/>
      <c r="BM7" s="171"/>
      <c r="BN7" s="171"/>
      <c r="BO7" s="171"/>
      <c r="BP7" s="171"/>
      <c r="BQ7" s="171"/>
      <c r="BR7" s="171"/>
      <c r="BS7" s="171"/>
      <c r="BT7" s="171"/>
      <c r="BU7" s="171"/>
      <c r="BV7" s="171"/>
      <c r="BW7" s="171"/>
      <c r="BX7" s="171"/>
      <c r="BY7" s="171"/>
    </row>
    <row r="8" ht="14.5">
      <c r="A8" s="166" t="s">
        <v>735</v>
      </c>
      <c r="B8" s="167">
        <f>SUMIF(Raccordo!F:F,$A8,Raccordo!J:J)</f>
        <v>0</v>
      </c>
      <c r="C8" s="172">
        <f>+SUM(C9:C17)</f>
        <v>0</v>
      </c>
      <c r="D8" s="173" t="s">
        <v>1017</v>
      </c>
      <c r="E8" s="172">
        <f>+SUM(E9:E17)</f>
        <v>0</v>
      </c>
      <c r="F8" s="173" t="s">
        <v>1018</v>
      </c>
      <c r="G8" s="172">
        <f>+SUM(G9:G17)</f>
        <v>0</v>
      </c>
      <c r="H8" s="172">
        <f>+SUM(H9:H17)</f>
        <v>0</v>
      </c>
      <c r="I8" s="172">
        <f>+SUM(I9:I17)</f>
        <v>0</v>
      </c>
      <c r="J8" s="172">
        <f>+SUM(J9:J17)</f>
        <v>0</v>
      </c>
      <c r="K8" s="167">
        <f>+SUM(K9:K17)</f>
        <v>0</v>
      </c>
      <c r="L8" s="167"/>
      <c r="M8" s="167"/>
      <c r="P8" s="167">
        <f>+K8-SUM(R8:BY8)</f>
        <v>0</v>
      </c>
      <c r="R8" s="167">
        <f>+SUM(R9:R17)</f>
        <v>0</v>
      </c>
      <c r="S8" s="167">
        <f t="shared" ref="S8:BY8" si="0">+SUM(S9:S17)</f>
        <v>0</v>
      </c>
      <c r="T8" s="167">
        <f t="shared" si="0"/>
        <v>0</v>
      </c>
      <c r="U8" s="167">
        <f t="shared" si="0"/>
        <v>0</v>
      </c>
      <c r="V8" s="167">
        <f t="shared" si="0"/>
        <v>0</v>
      </c>
      <c r="W8" s="167">
        <f t="shared" si="0"/>
        <v>0</v>
      </c>
      <c r="X8" s="167">
        <f t="shared" si="0"/>
        <v>0</v>
      </c>
      <c r="Y8" s="167">
        <f t="shared" si="0"/>
        <v>0</v>
      </c>
      <c r="Z8" s="167">
        <f t="shared" si="0"/>
        <v>0</v>
      </c>
      <c r="AA8" s="167">
        <f t="shared" si="0"/>
        <v>0</v>
      </c>
      <c r="AB8" s="167">
        <f t="shared" si="0"/>
        <v>0</v>
      </c>
      <c r="AC8" s="167">
        <f t="shared" si="0"/>
        <v>0</v>
      </c>
      <c r="AD8" s="167">
        <f t="shared" si="0"/>
        <v>0</v>
      </c>
      <c r="AE8" s="167">
        <f t="shared" si="0"/>
        <v>0</v>
      </c>
      <c r="AF8" s="167">
        <f t="shared" si="0"/>
        <v>0</v>
      </c>
      <c r="AG8" s="167">
        <f t="shared" si="0"/>
        <v>0</v>
      </c>
      <c r="AH8" s="167">
        <f t="shared" si="0"/>
        <v>0</v>
      </c>
      <c r="AI8" s="167">
        <f t="shared" si="0"/>
        <v>0</v>
      </c>
      <c r="AJ8" s="167">
        <f t="shared" si="0"/>
        <v>0</v>
      </c>
      <c r="AK8" s="167">
        <f t="shared" si="0"/>
        <v>0</v>
      </c>
      <c r="AL8" s="167">
        <f t="shared" si="0"/>
        <v>0</v>
      </c>
      <c r="AM8" s="167">
        <f t="shared" si="0"/>
        <v>0</v>
      </c>
      <c r="AN8" s="167">
        <f t="shared" si="0"/>
        <v>0</v>
      </c>
      <c r="AO8" s="167">
        <f t="shared" si="0"/>
        <v>0</v>
      </c>
      <c r="AP8" s="167">
        <f t="shared" si="0"/>
        <v>0</v>
      </c>
      <c r="AQ8" s="167">
        <f t="shared" si="0"/>
        <v>0</v>
      </c>
      <c r="AR8" s="167">
        <f t="shared" si="0"/>
        <v>0</v>
      </c>
      <c r="AS8" s="167">
        <f t="shared" si="0"/>
        <v>0</v>
      </c>
      <c r="AT8" s="167">
        <f t="shared" si="0"/>
        <v>0</v>
      </c>
      <c r="AU8" s="167">
        <f t="shared" si="0"/>
        <v>0</v>
      </c>
      <c r="AV8" s="167">
        <f t="shared" si="0"/>
        <v>0</v>
      </c>
      <c r="AW8" s="167">
        <f t="shared" si="0"/>
        <v>0</v>
      </c>
      <c r="AX8" s="167">
        <f t="shared" si="0"/>
        <v>0</v>
      </c>
      <c r="AY8" s="167">
        <f t="shared" si="0"/>
        <v>0</v>
      </c>
      <c r="AZ8" s="167">
        <f t="shared" si="0"/>
        <v>0</v>
      </c>
      <c r="BA8" s="167">
        <f t="shared" si="0"/>
        <v>0</v>
      </c>
      <c r="BB8" s="167">
        <f t="shared" si="0"/>
        <v>0</v>
      </c>
      <c r="BC8" s="167">
        <f t="shared" si="0"/>
        <v>0</v>
      </c>
      <c r="BD8" s="167">
        <f t="shared" si="0"/>
        <v>0</v>
      </c>
      <c r="BE8" s="167">
        <f t="shared" si="0"/>
        <v>0</v>
      </c>
      <c r="BF8" s="167">
        <f t="shared" si="0"/>
        <v>0</v>
      </c>
      <c r="BG8" s="167">
        <f t="shared" si="0"/>
        <v>0</v>
      </c>
      <c r="BH8" s="167">
        <f t="shared" si="0"/>
        <v>0</v>
      </c>
      <c r="BI8" s="167">
        <f t="shared" si="0"/>
        <v>0</v>
      </c>
      <c r="BJ8" s="167">
        <f t="shared" si="0"/>
        <v>0</v>
      </c>
      <c r="BK8" s="167">
        <f t="shared" si="0"/>
        <v>0</v>
      </c>
      <c r="BL8" s="167">
        <f t="shared" si="0"/>
        <v>0</v>
      </c>
      <c r="BM8" s="167">
        <f t="shared" si="0"/>
        <v>0</v>
      </c>
      <c r="BN8" s="167">
        <f t="shared" si="0"/>
        <v>0</v>
      </c>
      <c r="BO8" s="167">
        <f t="shared" si="0"/>
        <v>0</v>
      </c>
      <c r="BP8" s="167">
        <f t="shared" si="0"/>
        <v>0</v>
      </c>
      <c r="BQ8" s="167">
        <f t="shared" si="0"/>
        <v>0</v>
      </c>
      <c r="BR8" s="167">
        <f t="shared" si="0"/>
        <v>0</v>
      </c>
      <c r="BS8" s="167">
        <f t="shared" si="0"/>
        <v>0</v>
      </c>
      <c r="BT8" s="167">
        <f t="shared" si="0"/>
        <v>0</v>
      </c>
      <c r="BU8" s="167">
        <f t="shared" si="0"/>
        <v>0</v>
      </c>
      <c r="BV8" s="167">
        <f t="shared" si="0"/>
        <v>0</v>
      </c>
      <c r="BW8" s="167">
        <f t="shared" si="0"/>
        <v>0</v>
      </c>
      <c r="BX8" s="167">
        <f t="shared" si="0"/>
        <v>0</v>
      </c>
      <c r="BY8" s="167">
        <f t="shared" si="0"/>
        <v>0</v>
      </c>
    </row>
    <row r="9" outlineLevel="1" ht="14.5">
      <c r="A9" s="174" t="s">
        <v>1019</v>
      </c>
      <c r="B9" s="175"/>
      <c r="C9" s="176"/>
      <c r="D9" s="177"/>
      <c r="E9" s="176"/>
      <c r="F9" s="177"/>
      <c r="G9" s="176"/>
      <c r="H9" s="176"/>
      <c r="I9" s="178">
        <f>-B9*15%</f>
        <v>0</v>
      </c>
      <c r="J9" s="179">
        <f>+C9+E9+H9+I9+G9</f>
        <v>0</v>
      </c>
      <c r="K9" s="170">
        <f>+B9+J9</f>
        <v>0</v>
      </c>
      <c r="M9" s="170"/>
      <c r="P9" s="141">
        <f>K9-SUM(R9:BY9)</f>
        <v>0</v>
      </c>
      <c r="R9" s="134"/>
      <c r="S9" s="134"/>
      <c r="T9" s="134"/>
      <c r="U9" s="134"/>
      <c r="V9" s="134"/>
      <c r="W9" s="134"/>
      <c r="X9" s="134"/>
      <c r="Y9" s="134"/>
      <c r="Z9" s="134"/>
      <c r="AA9" s="134"/>
      <c r="AB9" s="134"/>
      <c r="AC9" s="134"/>
      <c r="AD9" s="134"/>
      <c r="AE9" s="134"/>
      <c r="AF9" s="134"/>
      <c r="AG9" s="134"/>
      <c r="AH9" s="134"/>
      <c r="AI9" s="134"/>
      <c r="AJ9" s="134"/>
      <c r="AK9" s="134"/>
      <c r="AL9" s="134"/>
      <c r="AM9" s="134"/>
      <c r="AN9" s="134"/>
      <c r="AO9" s="134"/>
      <c r="AP9" s="134"/>
      <c r="AQ9" s="134"/>
      <c r="AR9" s="134"/>
      <c r="AS9" s="134"/>
      <c r="AT9" s="134"/>
      <c r="AU9" s="134"/>
      <c r="AV9" s="134"/>
      <c r="AW9" s="134"/>
      <c r="AX9" s="134"/>
      <c r="AY9" s="134"/>
      <c r="AZ9" s="134"/>
      <c r="BA9" s="134"/>
      <c r="BB9" s="134"/>
      <c r="BC9" s="134"/>
      <c r="BD9" s="134"/>
      <c r="BE9" s="134"/>
      <c r="BF9" s="134"/>
      <c r="BG9" s="134"/>
      <c r="BH9" s="134"/>
      <c r="BI9" s="134"/>
      <c r="BJ9" s="134"/>
      <c r="BK9" s="134"/>
      <c r="BL9" s="134"/>
      <c r="BM9" s="134"/>
      <c r="BN9" s="134"/>
      <c r="BO9" s="134"/>
      <c r="BP9" s="134"/>
      <c r="BQ9" s="134"/>
      <c r="BR9" s="134"/>
      <c r="BS9" s="134"/>
      <c r="BT9" s="134"/>
      <c r="BU9" s="134"/>
      <c r="BV9" s="134"/>
      <c r="BW9" s="134"/>
      <c r="BX9" s="134"/>
      <c r="BY9" s="134"/>
    </row>
    <row r="10" outlineLevel="1" ht="14.5">
      <c r="A10" s="174" t="s">
        <v>1020</v>
      </c>
      <c r="B10" s="175"/>
      <c r="C10" s="176"/>
      <c r="D10" s="177"/>
      <c r="E10" s="176"/>
      <c r="F10" s="177"/>
      <c r="G10" s="176"/>
      <c r="H10" s="176"/>
      <c r="I10" s="178">
        <f t="shared" ref="I10:I14" si="1">-B10*15%</f>
        <v>0</v>
      </c>
      <c r="J10" s="179">
        <f>+C10+E10+H10+I10+G10</f>
        <v>0</v>
      </c>
      <c r="K10" s="170">
        <f t="shared" ref="K10:K17" si="2">+B10+J10</f>
        <v>0</v>
      </c>
      <c r="M10" s="170"/>
      <c r="P10" s="141">
        <f t="shared" ref="P10:P16" si="3">K10-SUM(R10:BY10)</f>
        <v>0</v>
      </c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4"/>
      <c r="AG10" s="134"/>
      <c r="AH10" s="134"/>
      <c r="AI10" s="134"/>
      <c r="AJ10" s="134"/>
      <c r="AK10" s="134"/>
      <c r="AL10" s="134"/>
      <c r="AM10" s="134"/>
      <c r="AN10" s="134"/>
      <c r="AO10" s="134"/>
      <c r="AP10" s="134"/>
      <c r="AQ10" s="134"/>
      <c r="AR10" s="134"/>
      <c r="AS10" s="134"/>
      <c r="AT10" s="134"/>
      <c r="AU10" s="134"/>
      <c r="AV10" s="134"/>
      <c r="AW10" s="134"/>
      <c r="AX10" s="134"/>
      <c r="AY10" s="134"/>
      <c r="AZ10" s="134"/>
      <c r="BA10" s="134"/>
      <c r="BB10" s="134"/>
      <c r="BC10" s="134"/>
      <c r="BD10" s="134"/>
      <c r="BE10" s="134"/>
      <c r="BF10" s="134"/>
      <c r="BG10" s="134"/>
      <c r="BH10" s="134"/>
      <c r="BI10" s="134"/>
      <c r="BJ10" s="134"/>
      <c r="BK10" s="134"/>
      <c r="BL10" s="134"/>
      <c r="BM10" s="134"/>
      <c r="BN10" s="134"/>
      <c r="BO10" s="134"/>
      <c r="BP10" s="134"/>
      <c r="BQ10" s="134"/>
      <c r="BR10" s="134"/>
      <c r="BS10" s="134"/>
      <c r="BT10" s="134"/>
      <c r="BU10" s="134"/>
      <c r="BV10" s="134"/>
      <c r="BW10" s="134"/>
      <c r="BX10" s="134"/>
      <c r="BY10" s="134"/>
    </row>
    <row r="11" outlineLevel="1" ht="14.5">
      <c r="A11" s="174" t="s">
        <v>1021</v>
      </c>
      <c r="B11" s="175"/>
      <c r="C11" s="176"/>
      <c r="D11" s="177"/>
      <c r="E11" s="176"/>
      <c r="F11" s="177"/>
      <c r="G11" s="176"/>
      <c r="H11" s="176"/>
      <c r="I11" s="178">
        <f t="shared" si="1"/>
        <v>0</v>
      </c>
      <c r="J11" s="179">
        <f t="shared" ref="J11:J17" si="4">+C11+E11+H11+I11+G11</f>
        <v>0</v>
      </c>
      <c r="K11" s="170">
        <f t="shared" si="2"/>
        <v>0</v>
      </c>
      <c r="M11" s="170"/>
      <c r="P11" s="141">
        <f t="shared" si="3"/>
        <v>0</v>
      </c>
      <c r="R11" s="134"/>
      <c r="S11" s="134"/>
      <c r="T11" s="134"/>
      <c r="U11" s="134"/>
      <c r="V11" s="134"/>
      <c r="W11" s="134"/>
      <c r="X11" s="134"/>
      <c r="Y11" s="134"/>
      <c r="Z11" s="134"/>
      <c r="AA11" s="134"/>
      <c r="AB11" s="134"/>
      <c r="AC11" s="134"/>
      <c r="AD11" s="134"/>
      <c r="AE11" s="134"/>
      <c r="AF11" s="134"/>
      <c r="AG11" s="134"/>
      <c r="AH11" s="134"/>
      <c r="AI11" s="134"/>
      <c r="AJ11" s="134"/>
      <c r="AK11" s="134"/>
      <c r="AL11" s="134"/>
      <c r="AM11" s="134"/>
      <c r="AN11" s="134"/>
      <c r="AO11" s="134"/>
      <c r="AP11" s="134"/>
      <c r="AQ11" s="134"/>
      <c r="AR11" s="134"/>
      <c r="AS11" s="134"/>
      <c r="AT11" s="134"/>
      <c r="AU11" s="134"/>
      <c r="AV11" s="134"/>
      <c r="AW11" s="134"/>
      <c r="AX11" s="134"/>
      <c r="AY11" s="134"/>
      <c r="AZ11" s="134"/>
      <c r="BA11" s="134"/>
      <c r="BB11" s="134"/>
      <c r="BC11" s="134"/>
      <c r="BD11" s="134"/>
      <c r="BE11" s="134"/>
      <c r="BF11" s="134"/>
      <c r="BG11" s="134"/>
      <c r="BH11" s="134"/>
      <c r="BI11" s="134"/>
      <c r="BJ11" s="134"/>
      <c r="BK11" s="134"/>
      <c r="BL11" s="134"/>
      <c r="BM11" s="134"/>
      <c r="BN11" s="134"/>
      <c r="BO11" s="134"/>
      <c r="BP11" s="134"/>
      <c r="BQ11" s="134"/>
      <c r="BR11" s="134"/>
      <c r="BS11" s="134"/>
      <c r="BT11" s="134"/>
      <c r="BU11" s="134"/>
      <c r="BV11" s="134"/>
      <c r="BW11" s="134"/>
      <c r="BX11" s="134"/>
      <c r="BY11" s="134"/>
    </row>
    <row r="12" outlineLevel="1" ht="14.5">
      <c r="A12" s="174" t="s">
        <v>1022</v>
      </c>
      <c r="B12" s="175"/>
      <c r="C12" s="176"/>
      <c r="D12" s="177"/>
      <c r="E12" s="176"/>
      <c r="F12" s="177"/>
      <c r="G12" s="176"/>
      <c r="H12" s="176"/>
      <c r="I12" s="178">
        <f t="shared" si="1"/>
        <v>0</v>
      </c>
      <c r="J12" s="179">
        <f t="shared" si="4"/>
        <v>0</v>
      </c>
      <c r="K12" s="170">
        <f t="shared" si="2"/>
        <v>0</v>
      </c>
      <c r="M12" s="170"/>
      <c r="P12" s="141">
        <f t="shared" si="3"/>
        <v>0</v>
      </c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  <c r="AF12" s="134"/>
      <c r="AG12" s="134"/>
      <c r="AH12" s="134"/>
      <c r="AI12" s="134"/>
      <c r="AJ12" s="134"/>
      <c r="AK12" s="134"/>
      <c r="AL12" s="134"/>
      <c r="AM12" s="134"/>
      <c r="AN12" s="134"/>
      <c r="AO12" s="134"/>
      <c r="AP12" s="134"/>
      <c r="AQ12" s="134"/>
      <c r="AR12" s="134"/>
      <c r="AS12" s="134"/>
      <c r="AT12" s="134"/>
      <c r="AU12" s="134"/>
      <c r="AV12" s="134"/>
      <c r="AW12" s="134"/>
      <c r="AX12" s="134"/>
      <c r="AY12" s="134"/>
      <c r="AZ12" s="134"/>
      <c r="BA12" s="134"/>
      <c r="BB12" s="134"/>
      <c r="BC12" s="134"/>
      <c r="BD12" s="134"/>
      <c r="BE12" s="134"/>
      <c r="BF12" s="134"/>
      <c r="BG12" s="134"/>
      <c r="BH12" s="134"/>
      <c r="BI12" s="134"/>
      <c r="BJ12" s="134"/>
      <c r="BK12" s="134"/>
      <c r="BL12" s="134"/>
      <c r="BM12" s="134"/>
      <c r="BN12" s="134"/>
      <c r="BO12" s="134"/>
      <c r="BP12" s="134"/>
      <c r="BQ12" s="134"/>
      <c r="BR12" s="134"/>
      <c r="BS12" s="134"/>
      <c r="BT12" s="134"/>
      <c r="BU12" s="134"/>
      <c r="BV12" s="134"/>
      <c r="BW12" s="134"/>
      <c r="BX12" s="134"/>
      <c r="BY12" s="134"/>
    </row>
    <row r="13" outlineLevel="1" ht="14.5">
      <c r="A13" s="174" t="s">
        <v>1023</v>
      </c>
      <c r="B13" s="175"/>
      <c r="C13" s="176"/>
      <c r="D13" s="177"/>
      <c r="E13" s="176"/>
      <c r="F13" s="177"/>
      <c r="G13" s="176"/>
      <c r="H13" s="176"/>
      <c r="I13" s="178">
        <f t="shared" si="1"/>
        <v>0</v>
      </c>
      <c r="J13" s="179">
        <f t="shared" si="4"/>
        <v>0</v>
      </c>
      <c r="K13" s="170">
        <f t="shared" si="2"/>
        <v>0</v>
      </c>
      <c r="M13" s="170"/>
      <c r="P13" s="141">
        <f t="shared" si="3"/>
        <v>0</v>
      </c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4"/>
      <c r="AD13" s="134"/>
      <c r="AE13" s="134"/>
      <c r="AF13" s="134"/>
      <c r="AG13" s="134"/>
      <c r="AH13" s="134"/>
      <c r="AI13" s="134"/>
      <c r="AJ13" s="134"/>
      <c r="AK13" s="134"/>
      <c r="AL13" s="134"/>
      <c r="AM13" s="134"/>
      <c r="AN13" s="134"/>
      <c r="AO13" s="134"/>
      <c r="AP13" s="134"/>
      <c r="AQ13" s="134"/>
      <c r="AR13" s="134"/>
      <c r="AS13" s="134"/>
      <c r="AT13" s="134"/>
      <c r="AU13" s="134"/>
      <c r="AV13" s="134"/>
      <c r="AW13" s="134"/>
      <c r="AX13" s="134"/>
      <c r="AY13" s="134"/>
      <c r="AZ13" s="134"/>
      <c r="BA13" s="134"/>
      <c r="BB13" s="134"/>
      <c r="BC13" s="134"/>
      <c r="BD13" s="134"/>
      <c r="BE13" s="134"/>
      <c r="BF13" s="134"/>
      <c r="BG13" s="134"/>
      <c r="BH13" s="134"/>
      <c r="BI13" s="134"/>
      <c r="BJ13" s="134"/>
      <c r="BK13" s="134"/>
      <c r="BL13" s="134"/>
      <c r="BM13" s="134"/>
      <c r="BN13" s="134"/>
      <c r="BO13" s="134"/>
      <c r="BP13" s="134"/>
      <c r="BQ13" s="134"/>
      <c r="BR13" s="134"/>
      <c r="BS13" s="134"/>
      <c r="BT13" s="134"/>
      <c r="BU13" s="134"/>
      <c r="BV13" s="134"/>
      <c r="BW13" s="134"/>
      <c r="BX13" s="134"/>
      <c r="BY13" s="134"/>
    </row>
    <row r="14" outlineLevel="1" ht="14.5">
      <c r="A14" s="174" t="s">
        <v>1024</v>
      </c>
      <c r="B14" s="175"/>
      <c r="C14" s="176"/>
      <c r="D14" s="177"/>
      <c r="E14" s="176"/>
      <c r="F14" s="177"/>
      <c r="G14" s="176"/>
      <c r="H14" s="176"/>
      <c r="I14" s="178">
        <f t="shared" si="1"/>
        <v>0</v>
      </c>
      <c r="J14" s="179">
        <f t="shared" si="4"/>
        <v>0</v>
      </c>
      <c r="K14" s="170">
        <f t="shared" si="2"/>
        <v>0</v>
      </c>
      <c r="M14" s="170"/>
      <c r="P14" s="141">
        <f t="shared" si="3"/>
        <v>0</v>
      </c>
      <c r="R14" s="134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4"/>
      <c r="AF14" s="134"/>
      <c r="AG14" s="134"/>
      <c r="AH14" s="134"/>
      <c r="AI14" s="134"/>
      <c r="AJ14" s="134"/>
      <c r="AK14" s="134"/>
      <c r="AL14" s="134"/>
      <c r="AM14" s="134"/>
      <c r="AN14" s="134"/>
      <c r="AO14" s="134"/>
      <c r="AP14" s="134"/>
      <c r="AQ14" s="134"/>
      <c r="AR14" s="134"/>
      <c r="AS14" s="134"/>
      <c r="AT14" s="134"/>
      <c r="AU14" s="134"/>
      <c r="AV14" s="134"/>
      <c r="AW14" s="134"/>
      <c r="AX14" s="134"/>
      <c r="AY14" s="134"/>
      <c r="AZ14" s="134"/>
      <c r="BA14" s="134"/>
      <c r="BB14" s="134"/>
      <c r="BC14" s="134"/>
      <c r="BD14" s="134"/>
      <c r="BE14" s="134"/>
      <c r="BF14" s="134"/>
      <c r="BG14" s="134"/>
      <c r="BH14" s="134"/>
      <c r="BI14" s="134"/>
      <c r="BJ14" s="134"/>
      <c r="BK14" s="134"/>
      <c r="BL14" s="134"/>
      <c r="BM14" s="134"/>
      <c r="BN14" s="134"/>
      <c r="BO14" s="134"/>
      <c r="BP14" s="134"/>
      <c r="BQ14" s="134"/>
      <c r="BR14" s="134"/>
      <c r="BS14" s="134"/>
      <c r="BT14" s="134"/>
      <c r="BU14" s="134"/>
      <c r="BV14" s="134"/>
      <c r="BW14" s="134"/>
      <c r="BX14" s="134"/>
      <c r="BY14" s="134"/>
    </row>
    <row r="15" outlineLevel="1" ht="14.5">
      <c r="A15" s="174" t="s">
        <v>1025</v>
      </c>
      <c r="B15" s="175"/>
      <c r="C15" s="176"/>
      <c r="D15" s="177"/>
      <c r="E15" s="176"/>
      <c r="F15" s="177"/>
      <c r="G15" s="176"/>
      <c r="H15" s="176"/>
      <c r="I15" s="178">
        <f>-B15*80%</f>
        <v>0</v>
      </c>
      <c r="J15" s="179">
        <f t="shared" si="4"/>
        <v>0</v>
      </c>
      <c r="K15" s="170">
        <f t="shared" si="2"/>
        <v>0</v>
      </c>
      <c r="M15" s="170"/>
      <c r="P15" s="141">
        <f t="shared" si="3"/>
        <v>0</v>
      </c>
      <c r="R15" s="134"/>
      <c r="S15" s="134"/>
      <c r="T15" s="134"/>
      <c r="U15" s="134"/>
      <c r="V15" s="134"/>
      <c r="W15" s="134"/>
      <c r="X15" s="134"/>
      <c r="Y15" s="134"/>
      <c r="Z15" s="134"/>
      <c r="AA15" s="134"/>
      <c r="AB15" s="134"/>
      <c r="AC15" s="134"/>
      <c r="AD15" s="134"/>
      <c r="AE15" s="134"/>
      <c r="AF15" s="134"/>
      <c r="AG15" s="134"/>
      <c r="AH15" s="134"/>
      <c r="AI15" s="134"/>
      <c r="AJ15" s="134"/>
      <c r="AK15" s="134"/>
      <c r="AL15" s="134"/>
      <c r="AM15" s="134"/>
      <c r="AN15" s="134"/>
      <c r="AO15" s="134"/>
      <c r="AP15" s="134"/>
      <c r="AQ15" s="134"/>
      <c r="AR15" s="134"/>
      <c r="AS15" s="134"/>
      <c r="AT15" s="134"/>
      <c r="AU15" s="134"/>
      <c r="AV15" s="134"/>
      <c r="AW15" s="134"/>
      <c r="AX15" s="134"/>
      <c r="AY15" s="134"/>
      <c r="AZ15" s="134"/>
      <c r="BA15" s="134"/>
      <c r="BB15" s="134"/>
      <c r="BC15" s="134"/>
      <c r="BD15" s="134"/>
      <c r="BE15" s="134"/>
      <c r="BF15" s="134"/>
      <c r="BG15" s="134"/>
      <c r="BH15" s="134"/>
      <c r="BI15" s="134"/>
      <c r="BJ15" s="134"/>
      <c r="BK15" s="134"/>
      <c r="BL15" s="134"/>
      <c r="BM15" s="134"/>
      <c r="BN15" s="134"/>
      <c r="BO15" s="134"/>
      <c r="BP15" s="134"/>
      <c r="BQ15" s="134"/>
      <c r="BR15" s="134"/>
      <c r="BS15" s="134"/>
      <c r="BT15" s="134"/>
      <c r="BU15" s="134"/>
      <c r="BV15" s="134"/>
      <c r="BW15" s="134"/>
      <c r="BX15" s="134"/>
      <c r="BY15" s="134"/>
    </row>
    <row r="16" outlineLevel="1" ht="14.25" customHeight="1">
      <c r="A16" s="174" t="s">
        <v>1026</v>
      </c>
      <c r="B16" s="177"/>
      <c r="C16" s="176"/>
      <c r="D16" s="177"/>
      <c r="E16" s="176"/>
      <c r="F16" s="177"/>
      <c r="G16" s="176"/>
      <c r="H16" s="176"/>
      <c r="I16" s="176">
        <f>B16*-40%</f>
        <v>0</v>
      </c>
      <c r="J16" s="179">
        <f t="shared" si="4"/>
        <v>0</v>
      </c>
      <c r="K16" s="170">
        <f t="shared" si="2"/>
        <v>0</v>
      </c>
      <c r="M16" s="170"/>
      <c r="P16" s="141">
        <f t="shared" si="3"/>
        <v>0</v>
      </c>
      <c r="R16" s="134"/>
      <c r="S16" s="180"/>
      <c r="T16" s="180"/>
      <c r="U16" s="180"/>
      <c r="V16" s="134"/>
      <c r="W16" s="134"/>
      <c r="X16" s="134"/>
      <c r="Y16" s="134"/>
      <c r="Z16" s="134"/>
      <c r="AA16" s="134"/>
      <c r="AB16" s="134"/>
      <c r="AC16" s="134"/>
      <c r="AD16" s="134"/>
      <c r="AE16" s="134"/>
      <c r="AF16" s="134"/>
      <c r="AG16" s="134"/>
      <c r="AH16" s="134"/>
      <c r="AI16" s="134"/>
      <c r="AJ16" s="134"/>
      <c r="AK16" s="134"/>
      <c r="AL16" s="134"/>
      <c r="AM16" s="134"/>
      <c r="AN16" s="134"/>
      <c r="AO16" s="134"/>
      <c r="AP16" s="134"/>
      <c r="AQ16" s="134"/>
      <c r="AR16" s="134"/>
      <c r="AS16" s="134"/>
      <c r="AT16" s="134"/>
      <c r="AU16" s="134"/>
      <c r="AV16" s="134"/>
      <c r="AW16" s="134"/>
      <c r="AX16" s="134"/>
      <c r="AY16" s="134"/>
      <c r="AZ16" s="134"/>
      <c r="BA16" s="134"/>
      <c r="BB16" s="134"/>
      <c r="BC16" s="134"/>
      <c r="BD16" s="134"/>
      <c r="BE16" s="134"/>
      <c r="BF16" s="134"/>
      <c r="BG16" s="134"/>
      <c r="BH16" s="134"/>
      <c r="BI16" s="134"/>
      <c r="BJ16" s="134"/>
      <c r="BK16" s="134"/>
      <c r="BL16" s="134"/>
      <c r="BM16" s="134"/>
      <c r="BN16" s="134"/>
      <c r="BO16" s="134"/>
      <c r="BP16" s="134"/>
      <c r="BQ16" s="134"/>
      <c r="BR16" s="134"/>
      <c r="BS16" s="134"/>
      <c r="BT16" s="134"/>
      <c r="BU16" s="134"/>
      <c r="BV16" s="134"/>
      <c r="BW16" s="134"/>
      <c r="BX16" s="134"/>
      <c r="BY16" s="134"/>
    </row>
    <row r="17" outlineLevel="1" ht="14.5">
      <c r="A17" s="174" t="s">
        <v>1027</v>
      </c>
      <c r="B17" s="177"/>
      <c r="C17" s="177"/>
      <c r="D17" s="177"/>
      <c r="E17" s="177"/>
      <c r="F17" s="177"/>
      <c r="G17" s="176"/>
      <c r="H17" s="177"/>
      <c r="I17" s="177"/>
      <c r="J17" s="181">
        <f t="shared" si="4"/>
        <v>0</v>
      </c>
      <c r="K17" s="170">
        <f t="shared" si="2"/>
        <v>0</v>
      </c>
      <c r="M17" s="170"/>
      <c r="R17" s="134"/>
      <c r="S17" s="134"/>
      <c r="T17" s="134"/>
      <c r="U17" s="134"/>
      <c r="V17" s="134"/>
      <c r="W17" s="134"/>
      <c r="X17" s="134"/>
      <c r="Y17" s="134"/>
      <c r="Z17" s="134"/>
      <c r="AA17" s="134"/>
      <c r="AB17" s="134"/>
      <c r="AC17" s="134"/>
      <c r="AD17" s="134"/>
      <c r="AE17" s="134"/>
      <c r="AF17" s="134"/>
      <c r="AG17" s="134"/>
      <c r="AH17" s="134"/>
      <c r="AI17" s="134"/>
      <c r="AJ17" s="134"/>
      <c r="AK17" s="134"/>
      <c r="AL17" s="134"/>
      <c r="AM17" s="134"/>
      <c r="AN17" s="134"/>
      <c r="AO17" s="134"/>
      <c r="AP17" s="134"/>
      <c r="AQ17" s="134"/>
      <c r="AR17" s="134"/>
      <c r="AS17" s="134"/>
      <c r="AT17" s="134"/>
      <c r="AU17" s="134"/>
      <c r="AV17" s="134"/>
      <c r="AW17" s="134"/>
      <c r="AX17" s="134"/>
      <c r="AY17" s="134"/>
      <c r="AZ17" s="134"/>
      <c r="BA17" s="134"/>
      <c r="BB17" s="134"/>
      <c r="BC17" s="134"/>
      <c r="BD17" s="134"/>
      <c r="BE17" s="134"/>
      <c r="BF17" s="134"/>
      <c r="BG17" s="134"/>
      <c r="BH17" s="134"/>
      <c r="BI17" s="134"/>
      <c r="BJ17" s="134"/>
      <c r="BK17" s="134"/>
      <c r="BL17" s="134"/>
      <c r="BM17" s="134"/>
      <c r="BN17" s="134"/>
      <c r="BO17" s="134"/>
      <c r="BP17" s="134"/>
      <c r="BQ17" s="134"/>
      <c r="BR17" s="134"/>
      <c r="BS17" s="134"/>
      <c r="BT17" s="134"/>
      <c r="BU17" s="134"/>
      <c r="BV17" s="134"/>
      <c r="BW17" s="134"/>
      <c r="BX17" s="134"/>
      <c r="BY17" s="134"/>
    </row>
    <row r="18" ht="14.5">
      <c r="A18" s="166" t="s">
        <v>214</v>
      </c>
      <c r="B18" s="167">
        <f>SUMIF(Raccordo!F:F,$A18,Raccordo!J:J)</f>
        <v>0</v>
      </c>
      <c r="C18" s="172">
        <f>+SUM(C19:C26)</f>
        <v>0</v>
      </c>
      <c r="D18" s="173" t="s">
        <v>1017</v>
      </c>
      <c r="E18" s="172">
        <f t="shared" ref="E18" si="5">+SUM(E19:E26)</f>
        <v>0</v>
      </c>
      <c r="F18" s="173" t="s">
        <v>1018</v>
      </c>
      <c r="G18" s="172">
        <f>+SUM(G19:G27)</f>
        <v>0</v>
      </c>
      <c r="H18" s="172">
        <f t="shared" ref="H18:K18" si="6">+SUM(H19:H27)</f>
        <v>0</v>
      </c>
      <c r="I18" s="172">
        <f t="shared" si="6"/>
        <v>0</v>
      </c>
      <c r="J18" s="172">
        <f t="shared" si="6"/>
        <v>0</v>
      </c>
      <c r="K18" s="167">
        <f t="shared" si="6"/>
        <v>0</v>
      </c>
      <c r="L18" s="170"/>
      <c r="M18" s="170"/>
      <c r="P18" s="167">
        <f>+K18-SUM(R18:BY18)</f>
        <v>0</v>
      </c>
      <c r="R18" s="167">
        <f>+SUM(R19:R27)</f>
        <v>0</v>
      </c>
      <c r="S18" s="167">
        <f t="shared" ref="S18:BY18" si="7">+SUM(S19:S27)</f>
        <v>0</v>
      </c>
      <c r="T18" s="167">
        <f t="shared" si="7"/>
        <v>0</v>
      </c>
      <c r="U18" s="167">
        <f t="shared" si="7"/>
        <v>0</v>
      </c>
      <c r="V18" s="167">
        <f t="shared" si="7"/>
        <v>0</v>
      </c>
      <c r="W18" s="167">
        <f t="shared" si="7"/>
        <v>0</v>
      </c>
      <c r="X18" s="167">
        <f t="shared" si="7"/>
        <v>0</v>
      </c>
      <c r="Y18" s="167">
        <f t="shared" si="7"/>
        <v>0</v>
      </c>
      <c r="Z18" s="167">
        <f t="shared" si="7"/>
        <v>0</v>
      </c>
      <c r="AA18" s="167">
        <f t="shared" si="7"/>
        <v>0</v>
      </c>
      <c r="AB18" s="167">
        <f t="shared" si="7"/>
        <v>0</v>
      </c>
      <c r="AC18" s="167">
        <f t="shared" si="7"/>
        <v>0</v>
      </c>
      <c r="AD18" s="167">
        <f t="shared" si="7"/>
        <v>0</v>
      </c>
      <c r="AE18" s="167">
        <f t="shared" si="7"/>
        <v>0</v>
      </c>
      <c r="AF18" s="167">
        <f t="shared" si="7"/>
        <v>0</v>
      </c>
      <c r="AG18" s="167">
        <f t="shared" si="7"/>
        <v>0</v>
      </c>
      <c r="AH18" s="167">
        <f t="shared" si="7"/>
        <v>0</v>
      </c>
      <c r="AI18" s="167">
        <f t="shared" si="7"/>
        <v>0</v>
      </c>
      <c r="AJ18" s="167">
        <f t="shared" si="7"/>
        <v>0</v>
      </c>
      <c r="AK18" s="167">
        <f t="shared" si="7"/>
        <v>0</v>
      </c>
      <c r="AL18" s="167">
        <f t="shared" si="7"/>
        <v>0</v>
      </c>
      <c r="AM18" s="167">
        <f t="shared" si="7"/>
        <v>0</v>
      </c>
      <c r="AN18" s="167">
        <f t="shared" si="7"/>
        <v>0</v>
      </c>
      <c r="AO18" s="167">
        <f t="shared" si="7"/>
        <v>0</v>
      </c>
      <c r="AP18" s="167">
        <f t="shared" si="7"/>
        <v>0</v>
      </c>
      <c r="AQ18" s="167">
        <f t="shared" si="7"/>
        <v>0</v>
      </c>
      <c r="AR18" s="167">
        <f t="shared" si="7"/>
        <v>0</v>
      </c>
      <c r="AS18" s="167">
        <f t="shared" si="7"/>
        <v>0</v>
      </c>
      <c r="AT18" s="167">
        <f t="shared" si="7"/>
        <v>0</v>
      </c>
      <c r="AU18" s="167">
        <f t="shared" si="7"/>
        <v>0</v>
      </c>
      <c r="AV18" s="167">
        <f t="shared" si="7"/>
        <v>0</v>
      </c>
      <c r="AW18" s="167">
        <f t="shared" si="7"/>
        <v>0</v>
      </c>
      <c r="AX18" s="167">
        <f t="shared" si="7"/>
        <v>0</v>
      </c>
      <c r="AY18" s="167">
        <f t="shared" si="7"/>
        <v>0</v>
      </c>
      <c r="AZ18" s="167">
        <f t="shared" si="7"/>
        <v>0</v>
      </c>
      <c r="BA18" s="167">
        <f t="shared" si="7"/>
        <v>0</v>
      </c>
      <c r="BB18" s="167">
        <f t="shared" si="7"/>
        <v>0</v>
      </c>
      <c r="BC18" s="167">
        <f t="shared" si="7"/>
        <v>0</v>
      </c>
      <c r="BD18" s="167">
        <f t="shared" si="7"/>
        <v>0</v>
      </c>
      <c r="BE18" s="167">
        <f t="shared" si="7"/>
        <v>0</v>
      </c>
      <c r="BF18" s="167">
        <f t="shared" si="7"/>
        <v>0</v>
      </c>
      <c r="BG18" s="167">
        <f t="shared" si="7"/>
        <v>0</v>
      </c>
      <c r="BH18" s="167">
        <f t="shared" si="7"/>
        <v>0</v>
      </c>
      <c r="BI18" s="167">
        <f t="shared" si="7"/>
        <v>0</v>
      </c>
      <c r="BJ18" s="167">
        <f t="shared" si="7"/>
        <v>0</v>
      </c>
      <c r="BK18" s="167">
        <f t="shared" si="7"/>
        <v>0</v>
      </c>
      <c r="BL18" s="167">
        <f t="shared" si="7"/>
        <v>0</v>
      </c>
      <c r="BM18" s="167">
        <f t="shared" si="7"/>
        <v>0</v>
      </c>
      <c r="BN18" s="167">
        <f t="shared" si="7"/>
        <v>0</v>
      </c>
      <c r="BO18" s="167">
        <f t="shared" si="7"/>
        <v>0</v>
      </c>
      <c r="BP18" s="167">
        <f t="shared" si="7"/>
        <v>0</v>
      </c>
      <c r="BQ18" s="167">
        <f t="shared" si="7"/>
        <v>0</v>
      </c>
      <c r="BR18" s="167">
        <f t="shared" si="7"/>
        <v>0</v>
      </c>
      <c r="BS18" s="167">
        <f t="shared" si="7"/>
        <v>0</v>
      </c>
      <c r="BT18" s="167">
        <f t="shared" si="7"/>
        <v>0</v>
      </c>
      <c r="BU18" s="167">
        <f t="shared" si="7"/>
        <v>0</v>
      </c>
      <c r="BV18" s="167">
        <f t="shared" si="7"/>
        <v>0</v>
      </c>
      <c r="BW18" s="167">
        <f t="shared" si="7"/>
        <v>0</v>
      </c>
      <c r="BX18" s="167">
        <f t="shared" si="7"/>
        <v>0</v>
      </c>
      <c r="BY18" s="167">
        <f t="shared" si="7"/>
        <v>0</v>
      </c>
    </row>
    <row r="19" outlineLevel="1" ht="14.5">
      <c r="A19" s="174" t="s">
        <v>1028</v>
      </c>
      <c r="B19" s="177"/>
      <c r="C19" s="176"/>
      <c r="D19" s="177"/>
      <c r="E19" s="176"/>
      <c r="F19" s="177"/>
      <c r="G19" s="176"/>
      <c r="H19" s="176"/>
      <c r="I19" s="176">
        <f>-B19*30%</f>
        <v>0</v>
      </c>
      <c r="J19" s="179">
        <f t="shared" ref="J19:J27" si="8">+C19+E19+H19+I19+G19</f>
        <v>0</v>
      </c>
      <c r="K19" s="170">
        <f t="shared" ref="K19:K27" si="9">+B19+J19</f>
        <v>0</v>
      </c>
      <c r="M19" s="170"/>
      <c r="P19" s="141">
        <f t="shared" ref="P19:P26" si="10">K19-SUM(R19:BY19)</f>
        <v>0</v>
      </c>
      <c r="R19" s="134"/>
      <c r="S19" s="134"/>
      <c r="T19" s="134"/>
      <c r="U19" s="134"/>
      <c r="V19" s="134"/>
      <c r="W19" s="134"/>
      <c r="X19" s="134"/>
      <c r="Y19" s="134"/>
      <c r="Z19" s="134"/>
      <c r="AA19" s="134"/>
      <c r="AB19" s="134"/>
      <c r="AC19" s="134"/>
      <c r="AD19" s="134"/>
      <c r="AE19" s="134"/>
      <c r="AF19" s="134"/>
      <c r="AG19" s="134"/>
      <c r="AH19" s="134"/>
      <c r="AI19" s="134"/>
      <c r="AJ19" s="134"/>
      <c r="AK19" s="134"/>
      <c r="AL19" s="134"/>
      <c r="AM19" s="134"/>
      <c r="AN19" s="134"/>
      <c r="AO19" s="134"/>
      <c r="AP19" s="134"/>
      <c r="AQ19" s="134"/>
      <c r="AR19" s="134"/>
      <c r="AS19" s="134"/>
      <c r="AT19" s="134"/>
      <c r="AU19" s="134"/>
      <c r="AV19" s="134"/>
      <c r="AW19" s="134"/>
      <c r="AX19" s="134"/>
      <c r="AY19" s="134"/>
      <c r="AZ19" s="134"/>
      <c r="BA19" s="134"/>
      <c r="BB19" s="134"/>
      <c r="BC19" s="134"/>
      <c r="BD19" s="134"/>
      <c r="BE19" s="134"/>
      <c r="BF19" s="134"/>
      <c r="BG19" s="134"/>
      <c r="BH19" s="134"/>
      <c r="BI19" s="134"/>
      <c r="BJ19" s="134"/>
      <c r="BK19" s="134"/>
      <c r="BL19" s="134"/>
      <c r="BM19" s="134"/>
      <c r="BN19" s="134"/>
      <c r="BO19" s="134"/>
      <c r="BP19" s="134"/>
      <c r="BQ19" s="134"/>
      <c r="BR19" s="134"/>
      <c r="BS19" s="134"/>
      <c r="BT19" s="134"/>
      <c r="BU19" s="134"/>
      <c r="BV19" s="134"/>
      <c r="BW19" s="134"/>
      <c r="BX19" s="134"/>
      <c r="BY19" s="134"/>
    </row>
    <row r="20" outlineLevel="1" ht="14.5">
      <c r="A20" s="174" t="s">
        <v>1029</v>
      </c>
      <c r="B20" s="177"/>
      <c r="C20" s="176"/>
      <c r="D20" s="177"/>
      <c r="E20" s="176"/>
      <c r="F20" s="177"/>
      <c r="G20" s="176"/>
      <c r="H20" s="176"/>
      <c r="I20" s="176"/>
      <c r="J20" s="179">
        <f t="shared" si="8"/>
        <v>0</v>
      </c>
      <c r="K20" s="170">
        <f t="shared" si="9"/>
        <v>0</v>
      </c>
      <c r="M20" s="170"/>
      <c r="P20" s="141">
        <f t="shared" si="10"/>
        <v>0</v>
      </c>
      <c r="R20" s="134"/>
      <c r="S20" s="134"/>
      <c r="T20" s="134"/>
      <c r="U20" s="134"/>
      <c r="V20" s="134"/>
      <c r="W20" s="134"/>
      <c r="X20" s="134"/>
      <c r="Y20" s="134"/>
      <c r="Z20" s="134"/>
      <c r="AA20" s="134"/>
      <c r="AB20" s="134"/>
      <c r="AC20" s="134"/>
      <c r="AD20" s="134"/>
      <c r="AE20" s="134"/>
      <c r="AF20" s="134"/>
      <c r="AG20" s="134"/>
      <c r="AH20" s="134"/>
      <c r="AI20" s="134"/>
      <c r="AJ20" s="134"/>
      <c r="AK20" s="134"/>
      <c r="AL20" s="134"/>
      <c r="AM20" s="134"/>
      <c r="AN20" s="134"/>
      <c r="AO20" s="134"/>
      <c r="AP20" s="134"/>
      <c r="AQ20" s="134"/>
      <c r="AR20" s="134"/>
      <c r="AS20" s="134"/>
      <c r="AT20" s="134"/>
      <c r="AU20" s="134"/>
      <c r="AV20" s="134"/>
      <c r="AW20" s="134"/>
      <c r="AX20" s="134"/>
      <c r="AY20" s="134"/>
      <c r="AZ20" s="134"/>
      <c r="BA20" s="134"/>
      <c r="BB20" s="134"/>
      <c r="BC20" s="134"/>
      <c r="BD20" s="134"/>
      <c r="BE20" s="134"/>
      <c r="BF20" s="134"/>
      <c r="BG20" s="134"/>
      <c r="BH20" s="134"/>
      <c r="BI20" s="134"/>
      <c r="BJ20" s="134"/>
      <c r="BK20" s="134"/>
      <c r="BL20" s="134"/>
      <c r="BM20" s="134"/>
      <c r="BN20" s="134"/>
      <c r="BO20" s="134"/>
      <c r="BP20" s="134"/>
      <c r="BQ20" s="134"/>
      <c r="BR20" s="134"/>
      <c r="BS20" s="134"/>
      <c r="BT20" s="134"/>
      <c r="BU20" s="134"/>
      <c r="BV20" s="134"/>
      <c r="BW20" s="134"/>
      <c r="BX20" s="134"/>
      <c r="BY20" s="134"/>
    </row>
    <row r="21" outlineLevel="1" ht="14.5">
      <c r="A21" s="174" t="s">
        <v>1030</v>
      </c>
      <c r="B21" s="177"/>
      <c r="C21" s="176"/>
      <c r="D21" s="177"/>
      <c r="E21" s="176"/>
      <c r="F21" s="177"/>
      <c r="G21" s="176"/>
      <c r="H21" s="176"/>
      <c r="I21" s="176"/>
      <c r="J21" s="179">
        <f t="shared" si="8"/>
        <v>0</v>
      </c>
      <c r="K21" s="170">
        <f t="shared" si="9"/>
        <v>0</v>
      </c>
      <c r="M21" s="170"/>
      <c r="P21" s="141">
        <f t="shared" si="10"/>
        <v>0</v>
      </c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4"/>
      <c r="AE21" s="134"/>
      <c r="AF21" s="134"/>
      <c r="AG21" s="134"/>
      <c r="AH21" s="134"/>
      <c r="AI21" s="134"/>
      <c r="AJ21" s="134"/>
      <c r="AK21" s="134"/>
      <c r="AL21" s="134"/>
      <c r="AM21" s="134"/>
      <c r="AN21" s="134"/>
      <c r="AO21" s="134"/>
      <c r="AP21" s="134"/>
      <c r="AQ21" s="134"/>
      <c r="AR21" s="134"/>
      <c r="AS21" s="134"/>
      <c r="AT21" s="134"/>
      <c r="AU21" s="134"/>
      <c r="AV21" s="134"/>
      <c r="AW21" s="134"/>
      <c r="AX21" s="134"/>
      <c r="AY21" s="134"/>
      <c r="AZ21" s="134"/>
      <c r="BA21" s="134"/>
      <c r="BB21" s="134"/>
      <c r="BC21" s="134"/>
      <c r="BD21" s="134"/>
      <c r="BE21" s="134"/>
      <c r="BF21" s="134"/>
      <c r="BG21" s="134"/>
      <c r="BH21" s="134"/>
      <c r="BI21" s="134"/>
      <c r="BJ21" s="134"/>
      <c r="BK21" s="134"/>
      <c r="BL21" s="134"/>
      <c r="BM21" s="134"/>
      <c r="BN21" s="134"/>
      <c r="BO21" s="134"/>
      <c r="BP21" s="134"/>
      <c r="BQ21" s="134"/>
      <c r="BR21" s="134"/>
      <c r="BS21" s="134"/>
      <c r="BT21" s="134"/>
      <c r="BU21" s="134"/>
      <c r="BV21" s="134"/>
      <c r="BW21" s="134"/>
      <c r="BX21" s="134"/>
      <c r="BY21" s="134"/>
    </row>
    <row r="22" outlineLevel="1" ht="14.5">
      <c r="A22" s="174" t="s">
        <v>1031</v>
      </c>
      <c r="B22" s="177"/>
      <c r="C22" s="176"/>
      <c r="D22" s="177"/>
      <c r="E22" s="176"/>
      <c r="F22" s="177"/>
      <c r="G22" s="176"/>
      <c r="H22" s="176"/>
      <c r="I22" s="176"/>
      <c r="J22" s="179">
        <f t="shared" si="8"/>
        <v>0</v>
      </c>
      <c r="K22" s="170">
        <f t="shared" si="9"/>
        <v>0</v>
      </c>
      <c r="M22" s="170"/>
      <c r="P22" s="141">
        <f t="shared" si="10"/>
        <v>0</v>
      </c>
      <c r="R22" s="134"/>
      <c r="S22" s="134"/>
      <c r="T22" s="134"/>
      <c r="U22" s="134"/>
      <c r="V22" s="134"/>
      <c r="W22" s="134"/>
      <c r="X22" s="134"/>
      <c r="Y22" s="134"/>
      <c r="Z22" s="134"/>
      <c r="AA22" s="134"/>
      <c r="AB22" s="134"/>
      <c r="AC22" s="134"/>
      <c r="AD22" s="134"/>
      <c r="AE22" s="134"/>
      <c r="AF22" s="134"/>
      <c r="AG22" s="134"/>
      <c r="AH22" s="134"/>
      <c r="AI22" s="134"/>
      <c r="AJ22" s="134"/>
      <c r="AK22" s="134"/>
      <c r="AL22" s="134"/>
      <c r="AM22" s="134"/>
      <c r="AN22" s="134"/>
      <c r="AO22" s="134"/>
      <c r="AP22" s="134"/>
      <c r="AQ22" s="134"/>
      <c r="AR22" s="134"/>
      <c r="AS22" s="134"/>
      <c r="AT22" s="134"/>
      <c r="AU22" s="134"/>
      <c r="AV22" s="134"/>
      <c r="AW22" s="134"/>
      <c r="AX22" s="134"/>
      <c r="AY22" s="134"/>
      <c r="AZ22" s="134"/>
      <c r="BA22" s="134"/>
      <c r="BB22" s="134"/>
      <c r="BC22" s="134"/>
      <c r="BD22" s="134"/>
      <c r="BE22" s="134"/>
      <c r="BF22" s="134"/>
      <c r="BG22" s="134"/>
      <c r="BH22" s="134"/>
      <c r="BI22" s="134"/>
      <c r="BJ22" s="134"/>
      <c r="BK22" s="134"/>
      <c r="BL22" s="134"/>
      <c r="BM22" s="134"/>
      <c r="BN22" s="134"/>
      <c r="BO22" s="134"/>
      <c r="BP22" s="134"/>
      <c r="BQ22" s="134"/>
      <c r="BR22" s="134"/>
      <c r="BS22" s="134"/>
      <c r="BT22" s="134"/>
      <c r="BU22" s="134"/>
      <c r="BV22" s="134"/>
      <c r="BW22" s="134"/>
      <c r="BX22" s="134"/>
      <c r="BY22" s="134"/>
    </row>
    <row r="23" outlineLevel="1" ht="14.5">
      <c r="A23" s="174" t="s">
        <v>1032</v>
      </c>
      <c r="B23" s="177"/>
      <c r="C23" s="176"/>
      <c r="D23" s="177"/>
      <c r="E23" s="176"/>
      <c r="F23" s="177"/>
      <c r="G23" s="176"/>
      <c r="H23" s="176"/>
      <c r="I23" s="176"/>
      <c r="J23" s="179">
        <f t="shared" si="8"/>
        <v>0</v>
      </c>
      <c r="K23" s="170">
        <f t="shared" si="9"/>
        <v>0</v>
      </c>
      <c r="M23" s="170"/>
      <c r="P23" s="141">
        <f t="shared" si="10"/>
        <v>0</v>
      </c>
      <c r="R23" s="134"/>
      <c r="S23" s="134"/>
      <c r="T23" s="134"/>
      <c r="U23" s="134"/>
      <c r="V23" s="134"/>
      <c r="W23" s="134"/>
      <c r="X23" s="134"/>
      <c r="Y23" s="134"/>
      <c r="Z23" s="134"/>
      <c r="AA23" s="134"/>
      <c r="AB23" s="134"/>
      <c r="AC23" s="134"/>
      <c r="AD23" s="134"/>
      <c r="AE23" s="134"/>
      <c r="AF23" s="134"/>
      <c r="AG23" s="134"/>
      <c r="AH23" s="134"/>
      <c r="AI23" s="134"/>
      <c r="AJ23" s="134"/>
      <c r="AK23" s="134"/>
      <c r="AL23" s="134"/>
      <c r="AM23" s="134"/>
      <c r="AN23" s="134"/>
      <c r="AO23" s="134"/>
      <c r="AP23" s="134"/>
      <c r="AQ23" s="134"/>
      <c r="AR23" s="134"/>
      <c r="AS23" s="134"/>
      <c r="AT23" s="134"/>
      <c r="AU23" s="134"/>
      <c r="AV23" s="134"/>
      <c r="AW23" s="134"/>
      <c r="AX23" s="134"/>
      <c r="AY23" s="134"/>
      <c r="AZ23" s="134"/>
      <c r="BA23" s="134"/>
      <c r="BB23" s="134"/>
      <c r="BC23" s="134"/>
      <c r="BD23" s="134"/>
      <c r="BE23" s="134"/>
      <c r="BF23" s="134"/>
      <c r="BG23" s="134"/>
      <c r="BH23" s="134"/>
      <c r="BI23" s="134"/>
      <c r="BJ23" s="134"/>
      <c r="BK23" s="134"/>
      <c r="BL23" s="134"/>
      <c r="BM23" s="134"/>
      <c r="BN23" s="134"/>
      <c r="BO23" s="134"/>
      <c r="BP23" s="134"/>
      <c r="BQ23" s="134"/>
      <c r="BR23" s="134"/>
      <c r="BS23" s="134"/>
      <c r="BT23" s="134"/>
      <c r="BU23" s="134"/>
      <c r="BV23" s="134"/>
      <c r="BW23" s="134"/>
      <c r="BX23" s="134"/>
      <c r="BY23" s="134"/>
    </row>
    <row r="24" outlineLevel="1" ht="14.5">
      <c r="A24" s="174" t="s">
        <v>1033</v>
      </c>
      <c r="B24" s="177"/>
      <c r="C24" s="176"/>
      <c r="D24" s="177"/>
      <c r="E24" s="176"/>
      <c r="F24" s="177"/>
      <c r="G24" s="176"/>
      <c r="H24" s="176"/>
      <c r="I24" s="176"/>
      <c r="J24" s="179">
        <f t="shared" si="8"/>
        <v>0</v>
      </c>
      <c r="K24" s="170">
        <f t="shared" si="9"/>
        <v>0</v>
      </c>
      <c r="M24" s="170"/>
      <c r="P24" s="141">
        <f t="shared" si="10"/>
        <v>0</v>
      </c>
      <c r="R24" s="134"/>
      <c r="S24" s="134"/>
      <c r="T24" s="134"/>
      <c r="U24" s="134"/>
      <c r="V24" s="134"/>
      <c r="W24" s="134"/>
      <c r="X24" s="134"/>
      <c r="Y24" s="134"/>
      <c r="Z24" s="134"/>
      <c r="AA24" s="134"/>
      <c r="AB24" s="134"/>
      <c r="AC24" s="134"/>
      <c r="AD24" s="134"/>
      <c r="AE24" s="134"/>
      <c r="AF24" s="134"/>
      <c r="AG24" s="134"/>
      <c r="AH24" s="134"/>
      <c r="AI24" s="134"/>
      <c r="AJ24" s="134"/>
      <c r="AK24" s="134"/>
      <c r="AL24" s="134"/>
      <c r="AM24" s="134"/>
      <c r="AN24" s="134"/>
      <c r="AO24" s="134"/>
      <c r="AP24" s="134"/>
      <c r="AQ24" s="134"/>
      <c r="AR24" s="134"/>
      <c r="AS24" s="134"/>
      <c r="AT24" s="134"/>
      <c r="AU24" s="134"/>
      <c r="AV24" s="134"/>
      <c r="AW24" s="134"/>
      <c r="AX24" s="134"/>
      <c r="AY24" s="134"/>
      <c r="AZ24" s="134"/>
      <c r="BA24" s="134"/>
      <c r="BB24" s="134"/>
      <c r="BC24" s="134"/>
      <c r="BD24" s="134"/>
      <c r="BE24" s="134"/>
      <c r="BF24" s="134"/>
      <c r="BG24" s="134"/>
      <c r="BH24" s="134"/>
      <c r="BI24" s="134"/>
      <c r="BJ24" s="134"/>
      <c r="BK24" s="134"/>
      <c r="BL24" s="134"/>
      <c r="BM24" s="134"/>
      <c r="BN24" s="134"/>
      <c r="BO24" s="134"/>
      <c r="BP24" s="134"/>
      <c r="BQ24" s="134"/>
      <c r="BR24" s="134"/>
      <c r="BS24" s="134"/>
      <c r="BT24" s="134"/>
      <c r="BU24" s="134"/>
      <c r="BV24" s="134"/>
      <c r="BW24" s="134"/>
      <c r="BX24" s="134"/>
      <c r="BY24" s="134"/>
    </row>
    <row r="25" outlineLevel="1" ht="14.5">
      <c r="A25" s="174" t="s">
        <v>1034</v>
      </c>
      <c r="B25" s="177"/>
      <c r="C25" s="176"/>
      <c r="D25" s="177"/>
      <c r="E25" s="176"/>
      <c r="F25" s="177"/>
      <c r="G25" s="176"/>
      <c r="H25" s="176"/>
      <c r="I25" s="176"/>
      <c r="J25" s="179">
        <f t="shared" si="8"/>
        <v>0</v>
      </c>
      <c r="K25" s="170">
        <f t="shared" si="9"/>
        <v>0</v>
      </c>
      <c r="M25" s="170"/>
      <c r="P25" s="141">
        <f t="shared" si="10"/>
        <v>0</v>
      </c>
      <c r="R25" s="134"/>
      <c r="S25" s="134"/>
      <c r="T25" s="134"/>
      <c r="U25" s="134"/>
      <c r="V25" s="134"/>
      <c r="W25" s="134"/>
      <c r="X25" s="134"/>
      <c r="Y25" s="134"/>
      <c r="Z25" s="134"/>
      <c r="AA25" s="134"/>
      <c r="AB25" s="134"/>
      <c r="AC25" s="134"/>
      <c r="AD25" s="134"/>
      <c r="AE25" s="134"/>
      <c r="AF25" s="134"/>
      <c r="AG25" s="134"/>
      <c r="AH25" s="134"/>
      <c r="AI25" s="134"/>
      <c r="AJ25" s="134"/>
      <c r="AK25" s="134"/>
      <c r="AL25" s="134"/>
      <c r="AM25" s="134"/>
      <c r="AN25" s="134"/>
      <c r="AO25" s="134"/>
      <c r="AP25" s="134"/>
      <c r="AQ25" s="134"/>
      <c r="AR25" s="134"/>
      <c r="AS25" s="134"/>
      <c r="AT25" s="134"/>
      <c r="AU25" s="134"/>
      <c r="AV25" s="134"/>
      <c r="AW25" s="134"/>
      <c r="AX25" s="134"/>
      <c r="AY25" s="134"/>
      <c r="AZ25" s="134"/>
      <c r="BA25" s="134"/>
      <c r="BB25" s="134"/>
      <c r="BC25" s="134"/>
      <c r="BD25" s="134"/>
      <c r="BE25" s="134"/>
      <c r="BF25" s="134"/>
      <c r="BG25" s="134"/>
      <c r="BH25" s="134"/>
      <c r="BI25" s="134"/>
      <c r="BJ25" s="134"/>
      <c r="BK25" s="134"/>
      <c r="BL25" s="134"/>
      <c r="BM25" s="134"/>
      <c r="BN25" s="134"/>
      <c r="BO25" s="134"/>
      <c r="BP25" s="134"/>
      <c r="BQ25" s="134"/>
      <c r="BR25" s="134"/>
      <c r="BS25" s="134"/>
      <c r="BT25" s="134"/>
      <c r="BU25" s="134"/>
      <c r="BV25" s="134"/>
      <c r="BW25" s="134"/>
      <c r="BX25" s="134"/>
      <c r="BY25" s="134"/>
    </row>
    <row r="26" outlineLevel="1" ht="14.5">
      <c r="A26" s="174" t="s">
        <v>1035</v>
      </c>
      <c r="B26" s="177"/>
      <c r="C26" s="176"/>
      <c r="D26" s="177"/>
      <c r="E26" s="176"/>
      <c r="F26" s="177"/>
      <c r="G26" s="176"/>
      <c r="H26" s="176"/>
      <c r="I26" s="176"/>
      <c r="J26" s="179">
        <f t="shared" si="8"/>
        <v>0</v>
      </c>
      <c r="K26" s="170">
        <f t="shared" si="9"/>
        <v>0</v>
      </c>
      <c r="M26" s="170"/>
      <c r="P26" s="141">
        <f t="shared" si="10"/>
        <v>0</v>
      </c>
      <c r="R26" s="134"/>
      <c r="S26" s="134"/>
      <c r="T26" s="134"/>
      <c r="U26" s="134"/>
      <c r="V26" s="134"/>
      <c r="W26" s="134"/>
      <c r="X26" s="134"/>
      <c r="Y26" s="134"/>
      <c r="Z26" s="134"/>
      <c r="AA26" s="134"/>
      <c r="AB26" s="134"/>
      <c r="AC26" s="134"/>
      <c r="AD26" s="134"/>
      <c r="AE26" s="134"/>
      <c r="AF26" s="134"/>
      <c r="AG26" s="134"/>
      <c r="AH26" s="134"/>
      <c r="AI26" s="134"/>
      <c r="AJ26" s="134"/>
      <c r="AK26" s="134"/>
      <c r="AL26" s="134"/>
      <c r="AM26" s="134"/>
      <c r="AN26" s="134"/>
      <c r="AO26" s="134"/>
      <c r="AP26" s="134"/>
      <c r="AQ26" s="134"/>
      <c r="AR26" s="134"/>
      <c r="AS26" s="134"/>
      <c r="AT26" s="134"/>
      <c r="AU26" s="134"/>
      <c r="AV26" s="134"/>
      <c r="AW26" s="134"/>
      <c r="AX26" s="134"/>
      <c r="AY26" s="134"/>
      <c r="AZ26" s="134"/>
      <c r="BA26" s="134"/>
      <c r="BB26" s="134"/>
      <c r="BC26" s="134"/>
      <c r="BD26" s="134"/>
      <c r="BE26" s="134"/>
      <c r="BF26" s="134"/>
      <c r="BG26" s="134"/>
      <c r="BH26" s="134"/>
      <c r="BI26" s="134"/>
      <c r="BJ26" s="134"/>
      <c r="BK26" s="134"/>
      <c r="BL26" s="134"/>
      <c r="BM26" s="134"/>
      <c r="BN26" s="134"/>
      <c r="BO26" s="134"/>
      <c r="BP26" s="134"/>
      <c r="BQ26" s="134"/>
      <c r="BR26" s="134"/>
      <c r="BS26" s="134"/>
      <c r="BT26" s="134"/>
      <c r="BU26" s="134"/>
      <c r="BV26" s="134"/>
      <c r="BW26" s="134"/>
      <c r="BX26" s="134"/>
      <c r="BY26" s="134"/>
    </row>
    <row r="27" outlineLevel="1" ht="14.5">
      <c r="A27" s="174" t="s">
        <v>1027</v>
      </c>
      <c r="B27" s="177"/>
      <c r="C27" s="177"/>
      <c r="D27" s="177"/>
      <c r="E27" s="177"/>
      <c r="F27" s="177"/>
      <c r="G27" s="177"/>
      <c r="H27" s="177"/>
      <c r="I27" s="177"/>
      <c r="J27" s="181">
        <f t="shared" si="8"/>
        <v>0</v>
      </c>
      <c r="K27" s="170">
        <f t="shared" si="9"/>
        <v>0</v>
      </c>
      <c r="M27" s="170"/>
      <c r="R27" s="134"/>
      <c r="S27" s="134"/>
      <c r="T27" s="134"/>
      <c r="U27" s="134"/>
      <c r="V27" s="134"/>
      <c r="W27" s="134"/>
      <c r="X27" s="134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4"/>
      <c r="AK27" s="134"/>
      <c r="AL27" s="134"/>
      <c r="AM27" s="134"/>
      <c r="AN27" s="134"/>
      <c r="AO27" s="134"/>
      <c r="AP27" s="134"/>
      <c r="AQ27" s="134"/>
      <c r="AR27" s="134"/>
      <c r="AS27" s="134"/>
      <c r="AT27" s="134"/>
      <c r="AU27" s="134"/>
      <c r="AV27" s="134"/>
      <c r="AW27" s="134"/>
      <c r="AX27" s="134"/>
      <c r="AY27" s="134"/>
      <c r="AZ27" s="134"/>
      <c r="BA27" s="134"/>
      <c r="BB27" s="134"/>
      <c r="BC27" s="134"/>
      <c r="BD27" s="134"/>
      <c r="BE27" s="134"/>
      <c r="BF27" s="134"/>
      <c r="BG27" s="134"/>
      <c r="BH27" s="134"/>
      <c r="BI27" s="134"/>
      <c r="BJ27" s="134"/>
      <c r="BK27" s="134"/>
      <c r="BL27" s="134"/>
      <c r="BM27" s="134"/>
      <c r="BN27" s="134"/>
      <c r="BO27" s="134"/>
      <c r="BP27" s="134"/>
      <c r="BQ27" s="134"/>
      <c r="BR27" s="134"/>
      <c r="BS27" s="134"/>
      <c r="BT27" s="134"/>
      <c r="BU27" s="134"/>
      <c r="BV27" s="134"/>
      <c r="BW27" s="134"/>
      <c r="BX27" s="134"/>
      <c r="BY27" s="134"/>
    </row>
    <row r="28" s="3" customFormat="1" ht="14.5">
      <c r="A28" s="166" t="s">
        <v>734</v>
      </c>
      <c r="B28" s="167">
        <f>SUMIF(Raccordo!F:F,$A28,Raccordo!J:J)</f>
        <v>0</v>
      </c>
      <c r="C28" s="172">
        <f t="shared" ref="C28:K28" si="11">+SUM(C29:C38)</f>
        <v>0</v>
      </c>
      <c r="D28" s="173" t="s">
        <v>1017</v>
      </c>
      <c r="E28" s="172">
        <f t="shared" si="11"/>
        <v>0</v>
      </c>
      <c r="F28" s="173"/>
      <c r="G28" s="172">
        <f>+SUM(G29:G38)</f>
        <v>0</v>
      </c>
      <c r="H28" s="172">
        <f t="shared" si="11"/>
        <v>0</v>
      </c>
      <c r="I28" s="172">
        <f t="shared" si="11"/>
        <v>0</v>
      </c>
      <c r="J28" s="172">
        <f t="shared" si="11"/>
        <v>0</v>
      </c>
      <c r="K28" s="167">
        <f t="shared" si="11"/>
        <v>0</v>
      </c>
      <c r="L28" s="182"/>
      <c r="M28" s="182"/>
      <c r="P28" s="167">
        <f>+K28-SUM(R28:BY28)</f>
        <v>0</v>
      </c>
      <c r="R28" s="167">
        <f>+SUM(R29:R37)</f>
        <v>0</v>
      </c>
      <c r="S28" s="167">
        <f t="shared" ref="S28:BY28" si="12">+SUM(S29:S37)</f>
        <v>0</v>
      </c>
      <c r="T28" s="167">
        <f t="shared" si="12"/>
        <v>0</v>
      </c>
      <c r="U28" s="167">
        <f t="shared" si="12"/>
        <v>0</v>
      </c>
      <c r="V28" s="167">
        <f t="shared" si="12"/>
        <v>0</v>
      </c>
      <c r="W28" s="167">
        <f t="shared" si="12"/>
        <v>0</v>
      </c>
      <c r="X28" s="167">
        <f t="shared" si="12"/>
        <v>0</v>
      </c>
      <c r="Y28" s="167">
        <f t="shared" si="12"/>
        <v>0</v>
      </c>
      <c r="Z28" s="167">
        <f t="shared" si="12"/>
        <v>0</v>
      </c>
      <c r="AA28" s="167">
        <f t="shared" si="12"/>
        <v>0</v>
      </c>
      <c r="AB28" s="167">
        <f t="shared" si="12"/>
        <v>0</v>
      </c>
      <c r="AC28" s="167">
        <f t="shared" si="12"/>
        <v>0</v>
      </c>
      <c r="AD28" s="167">
        <f t="shared" si="12"/>
        <v>0</v>
      </c>
      <c r="AE28" s="167">
        <f t="shared" si="12"/>
        <v>0</v>
      </c>
      <c r="AF28" s="167">
        <f t="shared" si="12"/>
        <v>0</v>
      </c>
      <c r="AG28" s="167">
        <f t="shared" si="12"/>
        <v>0</v>
      </c>
      <c r="AH28" s="167">
        <f t="shared" si="12"/>
        <v>0</v>
      </c>
      <c r="AI28" s="167">
        <f t="shared" si="12"/>
        <v>0</v>
      </c>
      <c r="AJ28" s="167">
        <f t="shared" si="12"/>
        <v>0</v>
      </c>
      <c r="AK28" s="167">
        <f t="shared" si="12"/>
        <v>0</v>
      </c>
      <c r="AL28" s="167">
        <f t="shared" si="12"/>
        <v>0</v>
      </c>
      <c r="AM28" s="167">
        <f t="shared" si="12"/>
        <v>0</v>
      </c>
      <c r="AN28" s="167">
        <f t="shared" si="12"/>
        <v>0</v>
      </c>
      <c r="AO28" s="167">
        <f t="shared" si="12"/>
        <v>0</v>
      </c>
      <c r="AP28" s="167">
        <f t="shared" si="12"/>
        <v>0</v>
      </c>
      <c r="AQ28" s="167">
        <f t="shared" si="12"/>
        <v>0</v>
      </c>
      <c r="AR28" s="167">
        <f t="shared" si="12"/>
        <v>0</v>
      </c>
      <c r="AS28" s="167">
        <f t="shared" si="12"/>
        <v>0</v>
      </c>
      <c r="AT28" s="167">
        <f t="shared" si="12"/>
        <v>0</v>
      </c>
      <c r="AU28" s="167">
        <f t="shared" si="12"/>
        <v>0</v>
      </c>
      <c r="AV28" s="167">
        <f t="shared" si="12"/>
        <v>0</v>
      </c>
      <c r="AW28" s="167">
        <f t="shared" si="12"/>
        <v>0</v>
      </c>
      <c r="AX28" s="167">
        <f t="shared" si="12"/>
        <v>0</v>
      </c>
      <c r="AY28" s="167">
        <f t="shared" si="12"/>
        <v>0</v>
      </c>
      <c r="AZ28" s="167">
        <f t="shared" si="12"/>
        <v>0</v>
      </c>
      <c r="BA28" s="167">
        <f t="shared" si="12"/>
        <v>0</v>
      </c>
      <c r="BB28" s="167">
        <f t="shared" si="12"/>
        <v>0</v>
      </c>
      <c r="BC28" s="167">
        <f t="shared" si="12"/>
        <v>0</v>
      </c>
      <c r="BD28" s="167">
        <f t="shared" si="12"/>
        <v>0</v>
      </c>
      <c r="BE28" s="167">
        <f t="shared" si="12"/>
        <v>0</v>
      </c>
      <c r="BF28" s="167">
        <f t="shared" si="12"/>
        <v>0</v>
      </c>
      <c r="BG28" s="167">
        <f t="shared" si="12"/>
        <v>0</v>
      </c>
      <c r="BH28" s="167">
        <f t="shared" si="12"/>
        <v>0</v>
      </c>
      <c r="BI28" s="167">
        <f t="shared" si="12"/>
        <v>0</v>
      </c>
      <c r="BJ28" s="167">
        <f t="shared" si="12"/>
        <v>0</v>
      </c>
      <c r="BK28" s="167">
        <f t="shared" si="12"/>
        <v>0</v>
      </c>
      <c r="BL28" s="167">
        <f t="shared" si="12"/>
        <v>0</v>
      </c>
      <c r="BM28" s="167">
        <f t="shared" si="12"/>
        <v>0</v>
      </c>
      <c r="BN28" s="167">
        <f t="shared" si="12"/>
        <v>0</v>
      </c>
      <c r="BO28" s="167">
        <f t="shared" si="12"/>
        <v>0</v>
      </c>
      <c r="BP28" s="167">
        <f t="shared" si="12"/>
        <v>0</v>
      </c>
      <c r="BQ28" s="167">
        <f t="shared" si="12"/>
        <v>0</v>
      </c>
      <c r="BR28" s="167">
        <f t="shared" si="12"/>
        <v>0</v>
      </c>
      <c r="BS28" s="167">
        <f t="shared" si="12"/>
        <v>0</v>
      </c>
      <c r="BT28" s="167">
        <f t="shared" si="12"/>
        <v>0</v>
      </c>
      <c r="BU28" s="167">
        <f t="shared" si="12"/>
        <v>0</v>
      </c>
      <c r="BV28" s="167">
        <f t="shared" si="12"/>
        <v>0</v>
      </c>
      <c r="BW28" s="167">
        <f t="shared" si="12"/>
        <v>0</v>
      </c>
      <c r="BX28" s="167">
        <f t="shared" si="12"/>
        <v>0</v>
      </c>
      <c r="BY28" s="167">
        <f t="shared" si="12"/>
        <v>0</v>
      </c>
    </row>
    <row r="29" outlineLevel="1" s="3" customFormat="1" ht="14.5">
      <c r="A29" s="174" t="s">
        <v>1036</v>
      </c>
      <c r="B29" s="175"/>
      <c r="C29" s="176"/>
      <c r="D29" s="177"/>
      <c r="E29" s="176"/>
      <c r="F29" s="177"/>
      <c r="G29" s="178"/>
      <c r="H29" s="178"/>
      <c r="I29" s="178">
        <f>-B29*50%</f>
        <v>0</v>
      </c>
      <c r="J29" s="179">
        <f t="shared" ref="J29:J38" si="13">+C29+E29+H29+I29+G29</f>
        <v>0</v>
      </c>
      <c r="K29" s="170">
        <f t="shared" ref="K29:K38" si="14">+B29+J29</f>
        <v>0</v>
      </c>
      <c r="L29"/>
      <c r="M29" s="170"/>
      <c r="P29" s="141">
        <f t="shared" ref="P29:P36" si="15">K29-SUM(R29:BY29)</f>
        <v>0</v>
      </c>
      <c r="R29" s="134"/>
      <c r="S29" s="134"/>
      <c r="T29" s="134"/>
      <c r="U29" s="134"/>
      <c r="V29" s="134"/>
      <c r="W29" s="134"/>
      <c r="X29" s="134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4"/>
      <c r="AK29" s="134"/>
      <c r="AL29" s="134"/>
      <c r="AM29" s="134"/>
      <c r="AN29" s="134"/>
      <c r="AO29" s="134"/>
      <c r="AP29" s="134"/>
      <c r="AQ29" s="134"/>
      <c r="AR29" s="134"/>
      <c r="AS29" s="134"/>
      <c r="AT29" s="134"/>
      <c r="AU29" s="134"/>
      <c r="AV29" s="134"/>
      <c r="AW29" s="134"/>
      <c r="AX29" s="134"/>
      <c r="AY29" s="134"/>
      <c r="AZ29" s="134"/>
      <c r="BA29" s="134"/>
      <c r="BB29" s="134"/>
      <c r="BC29" s="134"/>
      <c r="BD29" s="134"/>
      <c r="BE29" s="134"/>
      <c r="BF29" s="134"/>
      <c r="BG29" s="134"/>
      <c r="BH29" s="134"/>
      <c r="BI29" s="134"/>
      <c r="BJ29" s="134"/>
      <c r="BK29" s="134"/>
      <c r="BL29" s="134"/>
      <c r="BM29" s="134"/>
      <c r="BN29" s="134"/>
      <c r="BO29" s="134"/>
      <c r="BP29" s="134"/>
      <c r="BQ29" s="134"/>
      <c r="BR29" s="134"/>
      <c r="BS29" s="134"/>
      <c r="BT29" s="134"/>
      <c r="BU29" s="134"/>
      <c r="BV29" s="134"/>
      <c r="BW29" s="134"/>
      <c r="BX29" s="134"/>
      <c r="BY29" s="134"/>
    </row>
    <row r="30" outlineLevel="1" s="3" customFormat="1" ht="14.5">
      <c r="A30" s="174" t="s">
        <v>1037</v>
      </c>
      <c r="B30" s="175"/>
      <c r="C30" s="176"/>
      <c r="D30" s="177"/>
      <c r="E30" s="176"/>
      <c r="F30" s="177"/>
      <c r="G30" s="178"/>
      <c r="H30" s="178"/>
      <c r="I30" s="178">
        <f t="shared" ref="I30:I31" si="16">-B30*50%</f>
        <v>0</v>
      </c>
      <c r="J30" s="179">
        <f t="shared" si="13"/>
        <v>0</v>
      </c>
      <c r="K30" s="170">
        <f t="shared" si="14"/>
        <v>0</v>
      </c>
      <c r="L30"/>
      <c r="M30" s="170"/>
      <c r="P30" s="141">
        <f t="shared" si="15"/>
        <v>0</v>
      </c>
      <c r="R30" s="134"/>
      <c r="S30" s="134"/>
      <c r="T30" s="134"/>
      <c r="U30" s="134"/>
      <c r="V30" s="134"/>
      <c r="W30" s="134"/>
      <c r="X30" s="134"/>
      <c r="Y30" s="134"/>
      <c r="Z30" s="134"/>
      <c r="AA30" s="134"/>
      <c r="AB30" s="134"/>
      <c r="AC30" s="134"/>
      <c r="AD30" s="134"/>
      <c r="AE30" s="134"/>
      <c r="AF30" s="134"/>
      <c r="AG30" s="134"/>
      <c r="AH30" s="134"/>
      <c r="AI30" s="134"/>
      <c r="AJ30" s="134"/>
      <c r="AK30" s="134"/>
      <c r="AL30" s="134"/>
      <c r="AM30" s="134"/>
      <c r="AN30" s="134"/>
      <c r="AO30" s="134"/>
      <c r="AP30" s="134"/>
      <c r="AQ30" s="134"/>
      <c r="AR30" s="134"/>
      <c r="AS30" s="134"/>
      <c r="AT30" s="134"/>
      <c r="AU30" s="134"/>
      <c r="AV30" s="134"/>
      <c r="AW30" s="134"/>
      <c r="AX30" s="134"/>
      <c r="AY30" s="134"/>
      <c r="AZ30" s="134"/>
      <c r="BA30" s="134"/>
      <c r="BB30" s="134"/>
      <c r="BC30" s="134"/>
      <c r="BD30" s="134"/>
      <c r="BE30" s="134"/>
      <c r="BF30" s="134"/>
      <c r="BG30" s="134"/>
      <c r="BH30" s="134"/>
      <c r="BI30" s="134"/>
      <c r="BJ30" s="134"/>
      <c r="BK30" s="134"/>
      <c r="BL30" s="134"/>
      <c r="BM30" s="134"/>
      <c r="BN30" s="134"/>
      <c r="BO30" s="134"/>
      <c r="BP30" s="134"/>
      <c r="BQ30" s="134"/>
      <c r="BR30" s="134"/>
      <c r="BS30" s="134"/>
      <c r="BT30" s="134"/>
      <c r="BU30" s="134"/>
      <c r="BV30" s="134"/>
      <c r="BW30" s="134"/>
      <c r="BX30" s="134"/>
      <c r="BY30" s="134"/>
    </row>
    <row r="31" outlineLevel="1" s="3" customFormat="1" ht="14.5">
      <c r="A31" s="174" t="s">
        <v>1038</v>
      </c>
      <c r="B31" s="175"/>
      <c r="C31" s="176"/>
      <c r="D31" s="177"/>
      <c r="E31" s="176"/>
      <c r="F31" s="177"/>
      <c r="G31" s="178"/>
      <c r="H31" s="178"/>
      <c r="I31" s="178">
        <f t="shared" si="16"/>
        <v>0</v>
      </c>
      <c r="J31" s="179">
        <f t="shared" si="13"/>
        <v>0</v>
      </c>
      <c r="K31" s="170">
        <f t="shared" si="14"/>
        <v>0</v>
      </c>
      <c r="L31"/>
      <c r="M31" s="170"/>
      <c r="P31" s="141">
        <f t="shared" si="15"/>
        <v>0</v>
      </c>
      <c r="R31" s="134"/>
      <c r="S31" s="134"/>
      <c r="T31" s="134"/>
      <c r="U31" s="134"/>
      <c r="V31" s="134"/>
      <c r="W31" s="134"/>
      <c r="X31" s="134"/>
      <c r="Y31" s="134"/>
      <c r="Z31" s="134"/>
      <c r="AA31" s="134"/>
      <c r="AB31" s="134"/>
      <c r="AC31" s="134"/>
      <c r="AD31" s="134"/>
      <c r="AE31" s="134"/>
      <c r="AF31" s="134"/>
      <c r="AG31" s="134"/>
      <c r="AH31" s="134"/>
      <c r="AI31" s="134"/>
      <c r="AJ31" s="134"/>
      <c r="AK31" s="134"/>
      <c r="AL31" s="134"/>
      <c r="AM31" s="134"/>
      <c r="AN31" s="134"/>
      <c r="AO31" s="134"/>
      <c r="AP31" s="134"/>
      <c r="AQ31" s="134"/>
      <c r="AR31" s="134"/>
      <c r="AS31" s="134"/>
      <c r="AT31" s="134"/>
      <c r="AU31" s="134"/>
      <c r="AV31" s="134"/>
      <c r="AW31" s="134"/>
      <c r="AX31" s="134"/>
      <c r="AY31" s="134"/>
      <c r="AZ31" s="134"/>
      <c r="BA31" s="134"/>
      <c r="BB31" s="134"/>
      <c r="BC31" s="134"/>
      <c r="BD31" s="134"/>
      <c r="BE31" s="134"/>
      <c r="BF31" s="134"/>
      <c r="BG31" s="134"/>
      <c r="BH31" s="134"/>
      <c r="BI31" s="134"/>
      <c r="BJ31" s="134"/>
      <c r="BK31" s="134"/>
      <c r="BL31" s="134"/>
      <c r="BM31" s="134"/>
      <c r="BN31" s="134"/>
      <c r="BO31" s="134"/>
      <c r="BP31" s="134"/>
      <c r="BQ31" s="134"/>
      <c r="BR31" s="134"/>
      <c r="BS31" s="134"/>
      <c r="BT31" s="134"/>
      <c r="BU31" s="134"/>
      <c r="BV31" s="134"/>
      <c r="BW31" s="134"/>
      <c r="BX31" s="134"/>
      <c r="BY31" s="134"/>
    </row>
    <row r="32" outlineLevel="1" s="3" customFormat="1" ht="14.5">
      <c r="A32" s="174" t="s">
        <v>1039</v>
      </c>
      <c r="B32" s="175"/>
      <c r="C32" s="176"/>
      <c r="D32" s="177"/>
      <c r="E32" s="176"/>
      <c r="F32" s="177"/>
      <c r="G32" s="178">
        <f>-B32</f>
        <v>0</v>
      </c>
      <c r="H32" s="178"/>
      <c r="I32" s="178"/>
      <c r="J32" s="179">
        <f t="shared" si="13"/>
        <v>0</v>
      </c>
      <c r="K32" s="170">
        <f t="shared" si="14"/>
        <v>0</v>
      </c>
      <c r="L32"/>
      <c r="M32" s="170"/>
      <c r="P32" s="141">
        <f t="shared" si="15"/>
        <v>0</v>
      </c>
      <c r="R32" s="134"/>
      <c r="S32" s="134"/>
      <c r="T32" s="134"/>
      <c r="U32" s="134"/>
      <c r="V32" s="134"/>
      <c r="W32" s="134"/>
      <c r="X32" s="134"/>
      <c r="Y32" s="134"/>
      <c r="Z32" s="134"/>
      <c r="AA32" s="134"/>
      <c r="AB32" s="134"/>
      <c r="AC32" s="134"/>
      <c r="AD32" s="134"/>
      <c r="AE32" s="134"/>
      <c r="AF32" s="134"/>
      <c r="AG32" s="134"/>
      <c r="AH32" s="134"/>
      <c r="AI32" s="134"/>
      <c r="AJ32" s="134"/>
      <c r="AK32" s="134"/>
      <c r="AL32" s="134"/>
      <c r="AM32" s="134"/>
      <c r="AN32" s="134"/>
      <c r="AO32" s="134"/>
      <c r="AP32" s="134"/>
      <c r="AQ32" s="134"/>
      <c r="AR32" s="134"/>
      <c r="AS32" s="134"/>
      <c r="AT32" s="134"/>
      <c r="AU32" s="134"/>
      <c r="AV32" s="134"/>
      <c r="AW32" s="134"/>
      <c r="AX32" s="134"/>
      <c r="AY32" s="134"/>
      <c r="AZ32" s="134"/>
      <c r="BA32" s="134"/>
      <c r="BB32" s="134"/>
      <c r="BC32" s="134"/>
      <c r="BD32" s="134"/>
      <c r="BE32" s="134"/>
      <c r="BF32" s="134"/>
      <c r="BG32" s="134"/>
      <c r="BH32" s="134"/>
      <c r="BI32" s="134"/>
      <c r="BJ32" s="134"/>
      <c r="BK32" s="134"/>
      <c r="BL32" s="134"/>
      <c r="BM32" s="134"/>
      <c r="BN32" s="134"/>
      <c r="BO32" s="134"/>
      <c r="BP32" s="134"/>
      <c r="BQ32" s="134"/>
      <c r="BR32" s="134"/>
      <c r="BS32" s="134"/>
      <c r="BT32" s="134"/>
      <c r="BU32" s="134"/>
      <c r="BV32" s="134"/>
      <c r="BW32" s="134"/>
      <c r="BX32" s="134"/>
      <c r="BY32" s="134"/>
    </row>
    <row r="33" outlineLevel="1" s="3" customFormat="1" ht="14.5">
      <c r="A33" s="174"/>
      <c r="B33" s="177"/>
      <c r="C33" s="176"/>
      <c r="D33" s="177"/>
      <c r="E33" s="176"/>
      <c r="F33" s="177"/>
      <c r="G33" s="176"/>
      <c r="H33" s="176"/>
      <c r="I33" s="176"/>
      <c r="J33" s="179">
        <f t="shared" si="13"/>
        <v>0</v>
      </c>
      <c r="K33" s="170">
        <f t="shared" si="14"/>
        <v>0</v>
      </c>
      <c r="L33"/>
      <c r="M33" s="182"/>
      <c r="P33" s="141">
        <f t="shared" si="15"/>
        <v>0</v>
      </c>
      <c r="R33" s="134"/>
      <c r="S33" s="134"/>
      <c r="T33" s="134"/>
      <c r="U33" s="134"/>
      <c r="V33" s="134"/>
      <c r="W33" s="134"/>
      <c r="X33" s="134"/>
      <c r="Y33" s="134"/>
      <c r="Z33" s="134"/>
      <c r="AA33" s="134"/>
      <c r="AB33" s="134"/>
      <c r="AC33" s="134"/>
      <c r="AD33" s="134"/>
      <c r="AE33" s="134"/>
      <c r="AF33" s="134"/>
      <c r="AG33" s="134"/>
      <c r="AH33" s="134"/>
      <c r="AI33" s="134"/>
      <c r="AJ33" s="134"/>
      <c r="AK33" s="134"/>
      <c r="AL33" s="134"/>
      <c r="AM33" s="134"/>
      <c r="AN33" s="134"/>
      <c r="AO33" s="134"/>
      <c r="AP33" s="134"/>
      <c r="AQ33" s="134"/>
      <c r="AR33" s="134"/>
      <c r="AS33" s="134"/>
      <c r="AT33" s="134"/>
      <c r="AU33" s="134"/>
      <c r="AV33" s="134"/>
      <c r="AW33" s="134"/>
      <c r="AX33" s="134"/>
      <c r="AY33" s="134"/>
      <c r="AZ33" s="134"/>
      <c r="BA33" s="134"/>
      <c r="BB33" s="134"/>
      <c r="BC33" s="134"/>
      <c r="BD33" s="134"/>
      <c r="BE33" s="134"/>
      <c r="BF33" s="134"/>
      <c r="BG33" s="134"/>
      <c r="BH33" s="134"/>
      <c r="BI33" s="134"/>
      <c r="BJ33" s="134"/>
      <c r="BK33" s="134"/>
      <c r="BL33" s="134"/>
      <c r="BM33" s="134"/>
      <c r="BN33" s="134"/>
      <c r="BO33" s="134"/>
      <c r="BP33" s="134"/>
      <c r="BQ33" s="134"/>
      <c r="BR33" s="134"/>
      <c r="BS33" s="134"/>
      <c r="BT33" s="134"/>
      <c r="BU33" s="134"/>
      <c r="BV33" s="134"/>
      <c r="BW33" s="134"/>
      <c r="BX33" s="134"/>
      <c r="BY33" s="134"/>
    </row>
    <row r="34" outlineLevel="1" s="3" customFormat="1" ht="14.5">
      <c r="A34" s="174"/>
      <c r="B34" s="177"/>
      <c r="C34" s="176"/>
      <c r="D34" s="177"/>
      <c r="E34" s="176"/>
      <c r="F34" s="177"/>
      <c r="G34" s="176"/>
      <c r="H34" s="176"/>
      <c r="I34" s="176"/>
      <c r="J34" s="179">
        <f t="shared" si="13"/>
        <v>0</v>
      </c>
      <c r="K34" s="170">
        <f t="shared" si="14"/>
        <v>0</v>
      </c>
      <c r="L34"/>
      <c r="M34" s="182"/>
      <c r="P34" s="141">
        <f t="shared" si="15"/>
        <v>0</v>
      </c>
      <c r="R34" s="134"/>
      <c r="S34" s="134"/>
      <c r="T34" s="134"/>
      <c r="U34" s="134"/>
      <c r="V34" s="134"/>
      <c r="W34" s="134"/>
      <c r="X34" s="134"/>
      <c r="Y34" s="134"/>
      <c r="Z34" s="134"/>
      <c r="AA34" s="134"/>
      <c r="AB34" s="134"/>
      <c r="AC34" s="134"/>
      <c r="AD34" s="134"/>
      <c r="AE34" s="134"/>
      <c r="AF34" s="134"/>
      <c r="AG34" s="134"/>
      <c r="AH34" s="134"/>
      <c r="AI34" s="134"/>
      <c r="AJ34" s="134"/>
      <c r="AK34" s="134"/>
      <c r="AL34" s="134"/>
      <c r="AM34" s="134"/>
      <c r="AN34" s="134"/>
      <c r="AO34" s="134"/>
      <c r="AP34" s="134"/>
      <c r="AQ34" s="134"/>
      <c r="AR34" s="134"/>
      <c r="AS34" s="134"/>
      <c r="AT34" s="134"/>
      <c r="AU34" s="134"/>
      <c r="AV34" s="134"/>
      <c r="AW34" s="134"/>
      <c r="AX34" s="134"/>
      <c r="AY34" s="134"/>
      <c r="AZ34" s="134"/>
      <c r="BA34" s="134"/>
      <c r="BB34" s="134"/>
      <c r="BC34" s="134"/>
      <c r="BD34" s="134"/>
      <c r="BE34" s="134"/>
      <c r="BF34" s="134"/>
      <c r="BG34" s="134"/>
      <c r="BH34" s="134"/>
      <c r="BI34" s="134"/>
      <c r="BJ34" s="134"/>
      <c r="BK34" s="134"/>
      <c r="BL34" s="134"/>
      <c r="BM34" s="134"/>
      <c r="BN34" s="134"/>
      <c r="BO34" s="134"/>
      <c r="BP34" s="134"/>
      <c r="BQ34" s="134"/>
      <c r="BR34" s="134"/>
      <c r="BS34" s="134"/>
      <c r="BT34" s="134"/>
      <c r="BU34" s="134"/>
      <c r="BV34" s="134"/>
      <c r="BW34" s="134"/>
      <c r="BX34" s="134"/>
      <c r="BY34" s="134"/>
    </row>
    <row r="35" outlineLevel="1" s="3" customFormat="1" ht="14.5">
      <c r="A35" s="174"/>
      <c r="B35" s="177"/>
      <c r="C35" s="176"/>
      <c r="D35" s="177"/>
      <c r="E35" s="176"/>
      <c r="F35" s="177"/>
      <c r="G35" s="176"/>
      <c r="H35" s="176"/>
      <c r="I35" s="176"/>
      <c r="J35" s="179">
        <f t="shared" si="13"/>
        <v>0</v>
      </c>
      <c r="K35" s="170">
        <f t="shared" si="14"/>
        <v>0</v>
      </c>
      <c r="L35"/>
      <c r="M35" s="182"/>
      <c r="P35" s="141">
        <f t="shared" si="15"/>
        <v>0</v>
      </c>
      <c r="R35" s="134"/>
      <c r="S35" s="134"/>
      <c r="T35" s="134"/>
      <c r="U35" s="134"/>
      <c r="V35" s="134"/>
      <c r="W35" s="134"/>
      <c r="X35" s="134"/>
      <c r="Y35" s="134"/>
      <c r="Z35" s="134"/>
      <c r="AA35" s="134"/>
      <c r="AB35" s="134"/>
      <c r="AC35" s="134"/>
      <c r="AD35" s="134"/>
      <c r="AE35" s="134"/>
      <c r="AF35" s="134"/>
      <c r="AG35" s="134"/>
      <c r="AH35" s="134"/>
      <c r="AI35" s="134"/>
      <c r="AJ35" s="134"/>
      <c r="AK35" s="134"/>
      <c r="AL35" s="134"/>
      <c r="AM35" s="134"/>
      <c r="AN35" s="134"/>
      <c r="AO35" s="134"/>
      <c r="AP35" s="134"/>
      <c r="AQ35" s="134"/>
      <c r="AR35" s="134"/>
      <c r="AS35" s="134"/>
      <c r="AT35" s="134"/>
      <c r="AU35" s="134"/>
      <c r="AV35" s="134"/>
      <c r="AW35" s="134"/>
      <c r="AX35" s="134"/>
      <c r="AY35" s="134"/>
      <c r="AZ35" s="134"/>
      <c r="BA35" s="134"/>
      <c r="BB35" s="134"/>
      <c r="BC35" s="134"/>
      <c r="BD35" s="134"/>
      <c r="BE35" s="134"/>
      <c r="BF35" s="134"/>
      <c r="BG35" s="134"/>
      <c r="BH35" s="134"/>
      <c r="BI35" s="134"/>
      <c r="BJ35" s="134"/>
      <c r="BK35" s="134"/>
      <c r="BL35" s="134"/>
      <c r="BM35" s="134"/>
      <c r="BN35" s="134"/>
      <c r="BO35" s="134"/>
      <c r="BP35" s="134"/>
      <c r="BQ35" s="134"/>
      <c r="BR35" s="134"/>
      <c r="BS35" s="134"/>
      <c r="BT35" s="134"/>
      <c r="BU35" s="134"/>
      <c r="BV35" s="134"/>
      <c r="BW35" s="134"/>
      <c r="BX35" s="134"/>
      <c r="BY35" s="134"/>
    </row>
    <row r="36" outlineLevel="1" s="3" customFormat="1" ht="14.5">
      <c r="A36" s="174"/>
      <c r="B36" s="177"/>
      <c r="C36" s="176"/>
      <c r="D36" s="177"/>
      <c r="E36" s="176"/>
      <c r="F36" s="177"/>
      <c r="G36" s="176"/>
      <c r="H36" s="176"/>
      <c r="I36" s="176"/>
      <c r="J36" s="179">
        <f t="shared" si="13"/>
        <v>0</v>
      </c>
      <c r="K36" s="170">
        <f t="shared" si="14"/>
        <v>0</v>
      </c>
      <c r="L36"/>
      <c r="M36" s="182"/>
      <c r="P36" s="141">
        <f t="shared" si="15"/>
        <v>0</v>
      </c>
      <c r="R36" s="134"/>
      <c r="S36" s="134"/>
      <c r="T36" s="134"/>
      <c r="U36" s="134"/>
      <c r="V36" s="134"/>
      <c r="W36" s="134"/>
      <c r="X36" s="134"/>
      <c r="Y36" s="134"/>
      <c r="Z36" s="134"/>
      <c r="AA36" s="134"/>
      <c r="AB36" s="134"/>
      <c r="AC36" s="134"/>
      <c r="AD36" s="134"/>
      <c r="AE36" s="134"/>
      <c r="AF36" s="134"/>
      <c r="AG36" s="134"/>
      <c r="AH36" s="134"/>
      <c r="AI36" s="134"/>
      <c r="AJ36" s="134"/>
      <c r="AK36" s="134"/>
      <c r="AL36" s="134"/>
      <c r="AM36" s="134"/>
      <c r="AN36" s="134"/>
      <c r="AO36" s="134"/>
      <c r="AP36" s="134"/>
      <c r="AQ36" s="134"/>
      <c r="AR36" s="134"/>
      <c r="AS36" s="134"/>
      <c r="AT36" s="134"/>
      <c r="AU36" s="134"/>
      <c r="AV36" s="134"/>
      <c r="AW36" s="134"/>
      <c r="AX36" s="134"/>
      <c r="AY36" s="134"/>
      <c r="AZ36" s="134"/>
      <c r="BA36" s="134"/>
      <c r="BB36" s="134"/>
      <c r="BC36" s="134"/>
      <c r="BD36" s="134"/>
      <c r="BE36" s="134"/>
      <c r="BF36" s="134"/>
      <c r="BG36" s="134"/>
      <c r="BH36" s="134"/>
      <c r="BI36" s="134"/>
      <c r="BJ36" s="134"/>
      <c r="BK36" s="134"/>
      <c r="BL36" s="134"/>
      <c r="BM36" s="134"/>
      <c r="BN36" s="134"/>
      <c r="BO36" s="134"/>
      <c r="BP36" s="134"/>
      <c r="BQ36" s="134"/>
      <c r="BR36" s="134"/>
      <c r="BS36" s="134"/>
      <c r="BT36" s="134"/>
      <c r="BU36" s="134"/>
      <c r="BV36" s="134"/>
      <c r="BW36" s="134"/>
      <c r="BX36" s="134"/>
      <c r="BY36" s="134"/>
    </row>
    <row r="37" outlineLevel="1" s="3" customFormat="1" ht="14.5">
      <c r="A37" s="174"/>
      <c r="B37" s="177"/>
      <c r="C37" s="176"/>
      <c r="D37" s="177"/>
      <c r="E37" s="176"/>
      <c r="F37" s="177"/>
      <c r="G37" s="176"/>
      <c r="H37" s="176"/>
      <c r="I37" s="176"/>
      <c r="J37" s="179">
        <f t="shared" si="13"/>
        <v>0</v>
      </c>
      <c r="K37" s="170">
        <f t="shared" si="14"/>
        <v>0</v>
      </c>
      <c r="L37"/>
      <c r="M37" s="182"/>
      <c r="R37" s="134"/>
      <c r="S37" s="134"/>
      <c r="T37" s="134"/>
      <c r="U37" s="134"/>
      <c r="V37" s="134"/>
      <c r="W37" s="134"/>
      <c r="X37" s="134"/>
      <c r="Y37" s="134"/>
      <c r="Z37" s="134"/>
      <c r="AA37" s="134"/>
      <c r="AB37" s="134"/>
      <c r="AC37" s="134"/>
      <c r="AD37" s="134"/>
      <c r="AE37" s="134"/>
      <c r="AF37" s="134"/>
      <c r="AG37" s="134"/>
      <c r="AH37" s="134"/>
      <c r="AI37" s="134"/>
      <c r="AJ37" s="134"/>
      <c r="AK37" s="134"/>
      <c r="AL37" s="134"/>
      <c r="AM37" s="134"/>
      <c r="AN37" s="134"/>
      <c r="AO37" s="134"/>
      <c r="AP37" s="134"/>
      <c r="AQ37" s="134"/>
      <c r="AR37" s="134"/>
      <c r="AS37" s="134"/>
      <c r="AT37" s="134"/>
      <c r="AU37" s="134"/>
      <c r="AV37" s="134"/>
      <c r="AW37" s="134"/>
      <c r="AX37" s="134"/>
      <c r="AY37" s="134"/>
      <c r="AZ37" s="134"/>
      <c r="BA37" s="134"/>
      <c r="BB37" s="134"/>
      <c r="BC37" s="134"/>
      <c r="BD37" s="134"/>
      <c r="BE37" s="134"/>
      <c r="BF37" s="134"/>
      <c r="BG37" s="134"/>
      <c r="BH37" s="134"/>
      <c r="BI37" s="134"/>
      <c r="BJ37" s="134"/>
      <c r="BK37" s="134"/>
      <c r="BL37" s="134"/>
      <c r="BM37" s="134"/>
      <c r="BN37" s="134"/>
      <c r="BO37" s="134"/>
      <c r="BP37" s="134"/>
      <c r="BQ37" s="134"/>
      <c r="BR37" s="134"/>
      <c r="BS37" s="134"/>
      <c r="BT37" s="134"/>
      <c r="BU37" s="134"/>
      <c r="BV37" s="134"/>
      <c r="BW37" s="134"/>
      <c r="BX37" s="134"/>
      <c r="BY37" s="134"/>
    </row>
    <row r="38" outlineLevel="1" s="3" customFormat="1" ht="14.5">
      <c r="A38" s="174" t="s">
        <v>1027</v>
      </c>
      <c r="B38" s="177"/>
      <c r="C38" s="176"/>
      <c r="D38" s="177"/>
      <c r="E38" s="176"/>
      <c r="F38" s="177"/>
      <c r="G38" s="176"/>
      <c r="H38" s="176"/>
      <c r="I38" s="176"/>
      <c r="J38" s="179">
        <f t="shared" si="13"/>
        <v>0</v>
      </c>
      <c r="K38" s="170">
        <f t="shared" si="14"/>
        <v>0</v>
      </c>
      <c r="L38"/>
      <c r="M38" s="182"/>
      <c r="R38" s="134"/>
      <c r="S38" s="134"/>
      <c r="T38" s="134"/>
      <c r="U38" s="134"/>
      <c r="V38" s="134"/>
      <c r="W38" s="134"/>
      <c r="X38" s="134"/>
      <c r="Y38" s="134"/>
      <c r="Z38" s="134"/>
      <c r="AA38" s="134"/>
      <c r="AB38" s="134"/>
      <c r="AC38" s="134"/>
      <c r="AD38" s="134"/>
      <c r="AE38" s="134"/>
      <c r="AF38" s="134"/>
      <c r="AG38" s="134"/>
      <c r="AH38" s="134"/>
      <c r="AI38" s="134"/>
      <c r="AJ38" s="134"/>
      <c r="AK38" s="134"/>
      <c r="AL38" s="134"/>
      <c r="AM38" s="134"/>
      <c r="AN38" s="134"/>
      <c r="AO38" s="134"/>
      <c r="AP38" s="134"/>
      <c r="AQ38" s="134"/>
      <c r="AR38" s="134"/>
      <c r="AS38" s="134"/>
      <c r="AT38" s="134"/>
      <c r="AU38" s="134"/>
      <c r="AV38" s="134"/>
      <c r="AW38" s="134"/>
      <c r="AX38" s="134"/>
      <c r="AY38" s="134"/>
      <c r="AZ38" s="134"/>
      <c r="BA38" s="134"/>
      <c r="BB38" s="134"/>
      <c r="BC38" s="134"/>
      <c r="BD38" s="134"/>
      <c r="BE38" s="134"/>
      <c r="BF38" s="134"/>
      <c r="BG38" s="134"/>
      <c r="BH38" s="134"/>
      <c r="BI38" s="134"/>
      <c r="BJ38" s="134"/>
      <c r="BK38" s="134"/>
      <c r="BL38" s="134"/>
      <c r="BM38" s="134"/>
      <c r="BN38" s="134"/>
      <c r="BO38" s="134"/>
      <c r="BP38" s="134"/>
      <c r="BQ38" s="134"/>
      <c r="BR38" s="134"/>
      <c r="BS38" s="134"/>
      <c r="BT38" s="134"/>
      <c r="BU38" s="134"/>
      <c r="BV38" s="134"/>
      <c r="BW38" s="134"/>
      <c r="BX38" s="134"/>
      <c r="BY38" s="134"/>
    </row>
    <row r="39" ht="14.5">
      <c r="A39" s="166" t="s">
        <v>737</v>
      </c>
      <c r="B39" s="167">
        <f>SUMIF(Raccordo!F:F,$A39,Raccordo!J:J)</f>
        <v>0</v>
      </c>
      <c r="C39" s="183"/>
      <c r="D39" s="184"/>
      <c r="E39" s="172">
        <f t="shared" ref="E39:K39" si="17">+SUM(E40:E42)</f>
        <v>0</v>
      </c>
      <c r="F39" s="173"/>
      <c r="G39" s="172">
        <f t="shared" si="17"/>
        <v>0</v>
      </c>
      <c r="H39" s="172">
        <f t="shared" si="17"/>
        <v>0</v>
      </c>
      <c r="I39" s="172">
        <f t="shared" si="17"/>
        <v>0</v>
      </c>
      <c r="J39" s="172">
        <f t="shared" si="17"/>
        <v>0</v>
      </c>
      <c r="K39" s="167">
        <f t="shared" si="17"/>
        <v>0</v>
      </c>
      <c r="L39" s="182"/>
      <c r="M39" s="170"/>
      <c r="P39" s="167">
        <f>+K39-SUM(R39:BY39)</f>
        <v>0</v>
      </c>
      <c r="R39" s="167">
        <f>+SUM(R40:R42)</f>
        <v>0</v>
      </c>
      <c r="S39" s="167">
        <f t="shared" ref="S39:BY39" si="18">+SUM(S40:S42)</f>
        <v>0</v>
      </c>
      <c r="T39" s="167">
        <f t="shared" si="18"/>
        <v>0</v>
      </c>
      <c r="U39" s="167">
        <f t="shared" si="18"/>
        <v>0</v>
      </c>
      <c r="V39" s="167">
        <f t="shared" si="18"/>
        <v>0</v>
      </c>
      <c r="W39" s="167">
        <f t="shared" si="18"/>
        <v>0</v>
      </c>
      <c r="X39" s="167">
        <f t="shared" si="18"/>
        <v>0</v>
      </c>
      <c r="Y39" s="167">
        <f t="shared" si="18"/>
        <v>0</v>
      </c>
      <c r="Z39" s="167">
        <f t="shared" si="18"/>
        <v>0</v>
      </c>
      <c r="AA39" s="167">
        <f t="shared" si="18"/>
        <v>0</v>
      </c>
      <c r="AB39" s="167">
        <f t="shared" si="18"/>
        <v>0</v>
      </c>
      <c r="AC39" s="167">
        <f t="shared" si="18"/>
        <v>0</v>
      </c>
      <c r="AD39" s="167">
        <f t="shared" si="18"/>
        <v>0</v>
      </c>
      <c r="AE39" s="167">
        <f t="shared" si="18"/>
        <v>0</v>
      </c>
      <c r="AF39" s="167">
        <f t="shared" si="18"/>
        <v>0</v>
      </c>
      <c r="AG39" s="167">
        <f t="shared" si="18"/>
        <v>0</v>
      </c>
      <c r="AH39" s="167">
        <f t="shared" si="18"/>
        <v>0</v>
      </c>
      <c r="AI39" s="167">
        <f t="shared" si="18"/>
        <v>0</v>
      </c>
      <c r="AJ39" s="167">
        <f t="shared" si="18"/>
        <v>0</v>
      </c>
      <c r="AK39" s="167">
        <f t="shared" si="18"/>
        <v>0</v>
      </c>
      <c r="AL39" s="167">
        <f t="shared" si="18"/>
        <v>0</v>
      </c>
      <c r="AM39" s="167">
        <f t="shared" si="18"/>
        <v>0</v>
      </c>
      <c r="AN39" s="167">
        <f t="shared" si="18"/>
        <v>0</v>
      </c>
      <c r="AO39" s="167">
        <f t="shared" si="18"/>
        <v>0</v>
      </c>
      <c r="AP39" s="167">
        <f t="shared" si="18"/>
        <v>0</v>
      </c>
      <c r="AQ39" s="167">
        <f t="shared" si="18"/>
        <v>0</v>
      </c>
      <c r="AR39" s="167">
        <f t="shared" si="18"/>
        <v>0</v>
      </c>
      <c r="AS39" s="167">
        <f t="shared" si="18"/>
        <v>0</v>
      </c>
      <c r="AT39" s="167">
        <f t="shared" si="18"/>
        <v>0</v>
      </c>
      <c r="AU39" s="167">
        <f t="shared" si="18"/>
        <v>0</v>
      </c>
      <c r="AV39" s="167">
        <f t="shared" si="18"/>
        <v>0</v>
      </c>
      <c r="AW39" s="167">
        <f t="shared" si="18"/>
        <v>0</v>
      </c>
      <c r="AX39" s="167">
        <f t="shared" si="18"/>
        <v>0</v>
      </c>
      <c r="AY39" s="167">
        <f t="shared" si="18"/>
        <v>0</v>
      </c>
      <c r="AZ39" s="167">
        <f t="shared" si="18"/>
        <v>0</v>
      </c>
      <c r="BA39" s="167">
        <f t="shared" si="18"/>
        <v>0</v>
      </c>
      <c r="BB39" s="167">
        <f t="shared" si="18"/>
        <v>0</v>
      </c>
      <c r="BC39" s="167">
        <f t="shared" si="18"/>
        <v>0</v>
      </c>
      <c r="BD39" s="167">
        <f t="shared" si="18"/>
        <v>0</v>
      </c>
      <c r="BE39" s="167">
        <f t="shared" si="18"/>
        <v>0</v>
      </c>
      <c r="BF39" s="167">
        <f t="shared" si="18"/>
        <v>0</v>
      </c>
      <c r="BG39" s="167">
        <f t="shared" si="18"/>
        <v>0</v>
      </c>
      <c r="BH39" s="167">
        <f t="shared" si="18"/>
        <v>0</v>
      </c>
      <c r="BI39" s="167">
        <f t="shared" si="18"/>
        <v>0</v>
      </c>
      <c r="BJ39" s="167">
        <f t="shared" si="18"/>
        <v>0</v>
      </c>
      <c r="BK39" s="167">
        <f t="shared" si="18"/>
        <v>0</v>
      </c>
      <c r="BL39" s="167">
        <f t="shared" si="18"/>
        <v>0</v>
      </c>
      <c r="BM39" s="167">
        <f t="shared" si="18"/>
        <v>0</v>
      </c>
      <c r="BN39" s="167">
        <f t="shared" si="18"/>
        <v>0</v>
      </c>
      <c r="BO39" s="167">
        <f t="shared" si="18"/>
        <v>0</v>
      </c>
      <c r="BP39" s="167">
        <f t="shared" si="18"/>
        <v>0</v>
      </c>
      <c r="BQ39" s="167">
        <f t="shared" si="18"/>
        <v>0</v>
      </c>
      <c r="BR39" s="167">
        <f t="shared" si="18"/>
        <v>0</v>
      </c>
      <c r="BS39" s="167">
        <f t="shared" si="18"/>
        <v>0</v>
      </c>
      <c r="BT39" s="167">
        <f t="shared" si="18"/>
        <v>0</v>
      </c>
      <c r="BU39" s="167">
        <f t="shared" si="18"/>
        <v>0</v>
      </c>
      <c r="BV39" s="167">
        <f t="shared" si="18"/>
        <v>0</v>
      </c>
      <c r="BW39" s="167">
        <f t="shared" si="18"/>
        <v>0</v>
      </c>
      <c r="BX39" s="167">
        <f t="shared" si="18"/>
        <v>0</v>
      </c>
      <c r="BY39" s="167">
        <f t="shared" si="18"/>
        <v>0</v>
      </c>
    </row>
    <row r="40" outlineLevel="1" ht="14.5">
      <c r="A40" s="174" t="s">
        <v>1040</v>
      </c>
      <c r="B40" s="177"/>
      <c r="C40" s="185"/>
      <c r="D40" s="186"/>
      <c r="E40" s="178"/>
      <c r="F40" s="175"/>
      <c r="G40" s="176"/>
      <c r="H40" s="176"/>
      <c r="I40" s="176"/>
      <c r="J40" s="179">
        <f>+C40+E40+H40+I40+G40</f>
        <v>0</v>
      </c>
      <c r="K40" s="170">
        <f t="shared" ref="K40:K42" si="19">+B40+J40</f>
        <v>0</v>
      </c>
      <c r="M40" s="170"/>
      <c r="P40" s="141">
        <f t="shared" ref="P40:P41" si="20">K40-SUM(R40:BY40)</f>
        <v>0</v>
      </c>
      <c r="R40" s="134"/>
      <c r="S40" s="134"/>
      <c r="T40" s="134"/>
      <c r="U40" s="134"/>
      <c r="V40" s="134"/>
      <c r="W40" s="134"/>
      <c r="X40" s="134"/>
      <c r="Y40" s="134"/>
      <c r="Z40" s="134"/>
      <c r="AA40" s="134"/>
      <c r="AB40" s="134"/>
      <c r="AC40" s="134"/>
      <c r="AD40" s="134"/>
      <c r="AE40" s="134"/>
      <c r="AF40" s="134"/>
      <c r="AG40" s="134"/>
      <c r="AH40" s="134"/>
      <c r="AI40" s="134"/>
      <c r="AJ40" s="134"/>
      <c r="AK40" s="134"/>
      <c r="AL40" s="134"/>
      <c r="AM40" s="134"/>
      <c r="AN40" s="134"/>
      <c r="AO40" s="134"/>
      <c r="AP40" s="134"/>
      <c r="AQ40" s="134"/>
      <c r="AR40" s="134"/>
      <c r="AS40" s="134"/>
      <c r="AT40" s="134"/>
      <c r="AU40" s="134"/>
      <c r="AV40" s="134"/>
      <c r="AW40" s="134"/>
      <c r="AX40" s="134"/>
      <c r="AY40" s="134"/>
      <c r="AZ40" s="134"/>
      <c r="BA40" s="134"/>
      <c r="BB40" s="134"/>
      <c r="BC40" s="134"/>
      <c r="BD40" s="134"/>
      <c r="BE40" s="134"/>
      <c r="BF40" s="134"/>
      <c r="BG40" s="134"/>
      <c r="BH40" s="134"/>
      <c r="BI40" s="134"/>
      <c r="BJ40" s="134"/>
      <c r="BK40" s="134"/>
      <c r="BL40" s="134"/>
      <c r="BM40" s="134"/>
      <c r="BN40" s="134"/>
      <c r="BO40" s="134"/>
      <c r="BP40" s="134"/>
      <c r="BQ40" s="134"/>
      <c r="BR40" s="134"/>
      <c r="BS40" s="134"/>
      <c r="BT40" s="134"/>
      <c r="BU40" s="134"/>
      <c r="BV40" s="134"/>
      <c r="BW40" s="134"/>
      <c r="BX40" s="134"/>
      <c r="BY40" s="134"/>
    </row>
    <row r="41" outlineLevel="1" ht="14.5">
      <c r="A41" s="174" t="s">
        <v>1041</v>
      </c>
      <c r="B41" s="177"/>
      <c r="C41" s="185"/>
      <c r="D41" s="186"/>
      <c r="E41" s="176"/>
      <c r="F41" s="177"/>
      <c r="G41" s="176"/>
      <c r="H41" s="176"/>
      <c r="I41" s="176"/>
      <c r="J41" s="179">
        <f>+C41+E41+H41+I41+G41</f>
        <v>0</v>
      </c>
      <c r="K41" s="170">
        <f t="shared" si="19"/>
        <v>0</v>
      </c>
      <c r="M41" s="170"/>
      <c r="P41" s="141">
        <f t="shared" si="20"/>
        <v>0</v>
      </c>
      <c r="R41" s="134"/>
      <c r="S41" s="134"/>
      <c r="T41" s="134"/>
      <c r="U41" s="134"/>
      <c r="V41" s="134"/>
      <c r="W41" s="134"/>
      <c r="X41" s="134"/>
      <c r="Y41" s="134"/>
      <c r="Z41" s="134"/>
      <c r="AA41" s="134"/>
      <c r="AB41" s="134"/>
      <c r="AC41" s="134"/>
      <c r="AD41" s="134"/>
      <c r="AE41" s="134"/>
      <c r="AF41" s="134"/>
      <c r="AG41" s="134"/>
      <c r="AH41" s="134"/>
      <c r="AI41" s="134"/>
      <c r="AJ41" s="134"/>
      <c r="AK41" s="134"/>
      <c r="AL41" s="134"/>
      <c r="AM41" s="134"/>
      <c r="AN41" s="134"/>
      <c r="AO41" s="134"/>
      <c r="AP41" s="134"/>
      <c r="AQ41" s="134"/>
      <c r="AR41" s="134"/>
      <c r="AS41" s="134"/>
      <c r="AT41" s="134"/>
      <c r="AU41" s="134"/>
      <c r="AV41" s="134"/>
      <c r="AW41" s="134"/>
      <c r="AX41" s="134"/>
      <c r="AY41" s="134"/>
      <c r="AZ41" s="134"/>
      <c r="BA41" s="134"/>
      <c r="BB41" s="134"/>
      <c r="BC41" s="134"/>
      <c r="BD41" s="134"/>
      <c r="BE41" s="134"/>
      <c r="BF41" s="134"/>
      <c r="BG41" s="134"/>
      <c r="BH41" s="134"/>
      <c r="BI41" s="134"/>
      <c r="BJ41" s="134"/>
      <c r="BK41" s="134"/>
      <c r="BL41" s="134"/>
      <c r="BM41" s="134"/>
      <c r="BN41" s="134"/>
      <c r="BO41" s="134"/>
      <c r="BP41" s="134"/>
      <c r="BQ41" s="134"/>
      <c r="BR41" s="134"/>
      <c r="BS41" s="134"/>
      <c r="BT41" s="134"/>
      <c r="BU41" s="134"/>
      <c r="BV41" s="134"/>
      <c r="BW41" s="134"/>
      <c r="BX41" s="134"/>
      <c r="BY41" s="134"/>
    </row>
    <row r="42" outlineLevel="1" ht="14.5">
      <c r="A42" s="174" t="s">
        <v>1027</v>
      </c>
      <c r="B42" s="177"/>
      <c r="C42" s="185"/>
      <c r="D42" s="186"/>
      <c r="E42" s="176"/>
      <c r="F42" s="177"/>
      <c r="G42" s="176"/>
      <c r="H42" s="176"/>
      <c r="I42" s="176"/>
      <c r="J42" s="179">
        <f>+C42+E42+H42+I42+G42</f>
        <v>0</v>
      </c>
      <c r="K42" s="170">
        <f t="shared" si="19"/>
        <v>0</v>
      </c>
      <c r="M42" s="170"/>
      <c r="R42" s="134"/>
      <c r="S42" s="134"/>
      <c r="T42" s="134"/>
      <c r="U42" s="134"/>
      <c r="V42" s="134"/>
      <c r="W42" s="134"/>
      <c r="X42" s="134"/>
      <c r="Y42" s="134"/>
      <c r="Z42" s="134"/>
      <c r="AA42" s="134"/>
      <c r="AB42" s="134"/>
      <c r="AC42" s="134"/>
      <c r="AD42" s="134"/>
      <c r="AE42" s="134"/>
      <c r="AF42" s="134"/>
      <c r="AG42" s="134"/>
      <c r="AH42" s="134"/>
      <c r="AI42" s="134"/>
      <c r="AJ42" s="134"/>
      <c r="AK42" s="134"/>
      <c r="AL42" s="134"/>
      <c r="AM42" s="134"/>
      <c r="AN42" s="134"/>
      <c r="AO42" s="134"/>
      <c r="AP42" s="134"/>
      <c r="AQ42" s="134"/>
      <c r="AR42" s="134"/>
      <c r="AS42" s="134"/>
      <c r="AT42" s="134"/>
      <c r="AU42" s="134"/>
      <c r="AV42" s="134"/>
      <c r="AW42" s="134"/>
      <c r="AX42" s="134"/>
      <c r="AY42" s="134"/>
      <c r="AZ42" s="134"/>
      <c r="BA42" s="134"/>
      <c r="BB42" s="134"/>
      <c r="BC42" s="134"/>
      <c r="BD42" s="134"/>
      <c r="BE42" s="134"/>
      <c r="BF42" s="134"/>
      <c r="BG42" s="134"/>
      <c r="BH42" s="134"/>
      <c r="BI42" s="134"/>
      <c r="BJ42" s="134"/>
      <c r="BK42" s="134"/>
      <c r="BL42" s="134"/>
      <c r="BM42" s="134"/>
      <c r="BN42" s="134"/>
      <c r="BO42" s="134"/>
      <c r="BP42" s="134"/>
      <c r="BQ42" s="134"/>
      <c r="BR42" s="134"/>
      <c r="BS42" s="134"/>
      <c r="BT42" s="134"/>
      <c r="BU42" s="134"/>
      <c r="BV42" s="134"/>
      <c r="BW42" s="134"/>
      <c r="BX42" s="134"/>
      <c r="BY42" s="134"/>
    </row>
    <row r="43" ht="21" customHeight="1">
      <c r="A43" s="166" t="s">
        <v>845</v>
      </c>
      <c r="B43" s="167">
        <f>SUMIF(Raccordo!F:F,$A43,Raccordo!J:J)</f>
        <v>0</v>
      </c>
      <c r="C43" s="187"/>
      <c r="D43" s="188"/>
      <c r="E43" s="172">
        <f t="shared" ref="E43:K43" si="21">+SUM(E44:E46)</f>
        <v>0</v>
      </c>
      <c r="F43" s="173"/>
      <c r="G43" s="172">
        <f t="shared" si="21"/>
        <v>0</v>
      </c>
      <c r="H43" s="172">
        <f t="shared" si="21"/>
        <v>0</v>
      </c>
      <c r="I43" s="172">
        <f t="shared" si="21"/>
        <v>0</v>
      </c>
      <c r="J43" s="172">
        <f t="shared" si="21"/>
        <v>0</v>
      </c>
      <c r="K43" s="167">
        <f t="shared" si="21"/>
        <v>0</v>
      </c>
      <c r="L43" s="182"/>
      <c r="M43" s="170"/>
      <c r="P43" s="167">
        <f>+K43-SUM(R43:BY43)</f>
        <v>0</v>
      </c>
      <c r="R43" s="167">
        <f>+SUM(R44:R46)</f>
        <v>0</v>
      </c>
      <c r="S43" s="167">
        <f t="shared" ref="S43:BY43" si="22">+SUM(S44:S46)</f>
        <v>0</v>
      </c>
      <c r="T43" s="167">
        <f t="shared" si="22"/>
        <v>0</v>
      </c>
      <c r="U43" s="167">
        <f t="shared" si="22"/>
        <v>0</v>
      </c>
      <c r="V43" s="167">
        <f t="shared" si="22"/>
        <v>0</v>
      </c>
      <c r="W43" s="167">
        <f t="shared" si="22"/>
        <v>0</v>
      </c>
      <c r="X43" s="167">
        <f t="shared" si="22"/>
        <v>0</v>
      </c>
      <c r="Y43" s="167">
        <f t="shared" si="22"/>
        <v>0</v>
      </c>
      <c r="Z43" s="167">
        <f t="shared" si="22"/>
        <v>0</v>
      </c>
      <c r="AA43" s="167">
        <f t="shared" si="22"/>
        <v>0</v>
      </c>
      <c r="AB43" s="167">
        <f t="shared" si="22"/>
        <v>0</v>
      </c>
      <c r="AC43" s="167">
        <f t="shared" si="22"/>
        <v>0</v>
      </c>
      <c r="AD43" s="167">
        <f t="shared" si="22"/>
        <v>0</v>
      </c>
      <c r="AE43" s="167">
        <f t="shared" si="22"/>
        <v>0</v>
      </c>
      <c r="AF43" s="167">
        <f t="shared" si="22"/>
        <v>0</v>
      </c>
      <c r="AG43" s="167">
        <f t="shared" si="22"/>
        <v>0</v>
      </c>
      <c r="AH43" s="167">
        <f t="shared" si="22"/>
        <v>0</v>
      </c>
      <c r="AI43" s="167">
        <f t="shared" si="22"/>
        <v>0</v>
      </c>
      <c r="AJ43" s="167">
        <f t="shared" si="22"/>
        <v>0</v>
      </c>
      <c r="AK43" s="167">
        <f t="shared" si="22"/>
        <v>0</v>
      </c>
      <c r="AL43" s="167">
        <f t="shared" si="22"/>
        <v>0</v>
      </c>
      <c r="AM43" s="167">
        <f t="shared" si="22"/>
        <v>0</v>
      </c>
      <c r="AN43" s="167">
        <f t="shared" si="22"/>
        <v>0</v>
      </c>
      <c r="AO43" s="167">
        <f t="shared" si="22"/>
        <v>0</v>
      </c>
      <c r="AP43" s="167">
        <f t="shared" si="22"/>
        <v>0</v>
      </c>
      <c r="AQ43" s="167">
        <f t="shared" si="22"/>
        <v>0</v>
      </c>
      <c r="AR43" s="167">
        <f t="shared" si="22"/>
        <v>0</v>
      </c>
      <c r="AS43" s="167">
        <f t="shared" si="22"/>
        <v>0</v>
      </c>
      <c r="AT43" s="167">
        <f t="shared" si="22"/>
        <v>0</v>
      </c>
      <c r="AU43" s="167">
        <f t="shared" si="22"/>
        <v>0</v>
      </c>
      <c r="AV43" s="167">
        <f t="shared" si="22"/>
        <v>0</v>
      </c>
      <c r="AW43" s="167">
        <f t="shared" si="22"/>
        <v>0</v>
      </c>
      <c r="AX43" s="167">
        <f t="shared" si="22"/>
        <v>0</v>
      </c>
      <c r="AY43" s="167">
        <f t="shared" si="22"/>
        <v>0</v>
      </c>
      <c r="AZ43" s="167">
        <f t="shared" si="22"/>
        <v>0</v>
      </c>
      <c r="BA43" s="167">
        <f t="shared" si="22"/>
        <v>0</v>
      </c>
      <c r="BB43" s="167">
        <f t="shared" si="22"/>
        <v>0</v>
      </c>
      <c r="BC43" s="167">
        <f t="shared" si="22"/>
        <v>0</v>
      </c>
      <c r="BD43" s="167">
        <f t="shared" si="22"/>
        <v>0</v>
      </c>
      <c r="BE43" s="167">
        <f t="shared" si="22"/>
        <v>0</v>
      </c>
      <c r="BF43" s="167">
        <f t="shared" si="22"/>
        <v>0</v>
      </c>
      <c r="BG43" s="167">
        <f t="shared" si="22"/>
        <v>0</v>
      </c>
      <c r="BH43" s="167">
        <f t="shared" si="22"/>
        <v>0</v>
      </c>
      <c r="BI43" s="167">
        <f t="shared" si="22"/>
        <v>0</v>
      </c>
      <c r="BJ43" s="167">
        <f t="shared" si="22"/>
        <v>0</v>
      </c>
      <c r="BK43" s="167">
        <f t="shared" si="22"/>
        <v>0</v>
      </c>
      <c r="BL43" s="167">
        <f t="shared" si="22"/>
        <v>0</v>
      </c>
      <c r="BM43" s="167">
        <f t="shared" si="22"/>
        <v>0</v>
      </c>
      <c r="BN43" s="167">
        <f t="shared" si="22"/>
        <v>0</v>
      </c>
      <c r="BO43" s="167">
        <f t="shared" si="22"/>
        <v>0</v>
      </c>
      <c r="BP43" s="167">
        <f t="shared" si="22"/>
        <v>0</v>
      </c>
      <c r="BQ43" s="167">
        <f t="shared" si="22"/>
        <v>0</v>
      </c>
      <c r="BR43" s="167">
        <f t="shared" si="22"/>
        <v>0</v>
      </c>
      <c r="BS43" s="167">
        <f t="shared" si="22"/>
        <v>0</v>
      </c>
      <c r="BT43" s="167">
        <f t="shared" si="22"/>
        <v>0</v>
      </c>
      <c r="BU43" s="167">
        <f t="shared" si="22"/>
        <v>0</v>
      </c>
      <c r="BV43" s="167">
        <f t="shared" si="22"/>
        <v>0</v>
      </c>
      <c r="BW43" s="167">
        <f t="shared" si="22"/>
        <v>0</v>
      </c>
      <c r="BX43" s="167">
        <f t="shared" si="22"/>
        <v>0</v>
      </c>
      <c r="BY43" s="167">
        <f t="shared" si="22"/>
        <v>0</v>
      </c>
    </row>
    <row r="44" outlineLevel="1" ht="14.5">
      <c r="A44" s="174" t="s">
        <v>1042</v>
      </c>
      <c r="B44" s="189"/>
      <c r="C44" s="185"/>
      <c r="D44" s="186"/>
      <c r="E44" s="176"/>
      <c r="F44" s="177"/>
      <c r="G44" s="176"/>
      <c r="H44" s="176"/>
      <c r="I44" s="176"/>
      <c r="J44" s="179">
        <f>+C44+E44+H44+I44+G44</f>
        <v>0</v>
      </c>
      <c r="K44" s="170">
        <f t="shared" ref="K44:K46" si="23">+B44+J44</f>
        <v>0</v>
      </c>
      <c r="M44" s="170"/>
      <c r="P44" s="141">
        <f>K44-SUM(R44:BY44)</f>
        <v>0</v>
      </c>
      <c r="R44" s="134"/>
      <c r="S44" s="134"/>
      <c r="T44" s="134"/>
      <c r="U44" s="134"/>
      <c r="V44" s="134"/>
      <c r="W44" s="134"/>
      <c r="X44" s="134"/>
      <c r="Y44" s="134"/>
      <c r="Z44" s="134"/>
      <c r="AA44" s="134"/>
      <c r="AB44" s="134"/>
      <c r="AC44" s="134"/>
      <c r="AD44" s="134"/>
      <c r="AE44" s="134"/>
      <c r="AF44" s="134"/>
      <c r="AG44" s="134"/>
      <c r="AH44" s="134"/>
      <c r="AI44" s="134"/>
      <c r="AJ44" s="134"/>
      <c r="AK44" s="134"/>
      <c r="AL44" s="134"/>
      <c r="AM44" s="134"/>
      <c r="AN44" s="134"/>
      <c r="AO44" s="134"/>
      <c r="AP44" s="134"/>
      <c r="AQ44" s="134"/>
      <c r="AR44" s="134"/>
      <c r="AS44" s="134"/>
      <c r="AT44" s="134"/>
      <c r="AU44" s="134"/>
      <c r="AV44" s="134"/>
      <c r="AW44" s="134"/>
      <c r="AX44" s="134"/>
      <c r="AY44" s="134"/>
      <c r="AZ44" s="134"/>
      <c r="BA44" s="134"/>
      <c r="BB44" s="134"/>
      <c r="BC44" s="134"/>
      <c r="BD44" s="134"/>
      <c r="BE44" s="134"/>
      <c r="BF44" s="134"/>
      <c r="BG44" s="134"/>
      <c r="BH44" s="134"/>
      <c r="BI44" s="134"/>
      <c r="BJ44" s="134"/>
      <c r="BK44" s="134"/>
      <c r="BL44" s="134"/>
      <c r="BM44" s="134"/>
      <c r="BN44" s="134"/>
      <c r="BO44" s="134"/>
      <c r="BP44" s="134"/>
      <c r="BQ44" s="134"/>
      <c r="BR44" s="134"/>
      <c r="BS44" s="134"/>
      <c r="BT44" s="134"/>
      <c r="BU44" s="134"/>
      <c r="BV44" s="134"/>
      <c r="BW44" s="134"/>
      <c r="BX44" s="134"/>
      <c r="BY44" s="134"/>
    </row>
    <row r="45" outlineLevel="1" ht="14.5">
      <c r="A45" s="174" t="s">
        <v>1043</v>
      </c>
      <c r="B45" s="190"/>
      <c r="C45" s="185"/>
      <c r="D45" s="186"/>
      <c r="E45" s="176"/>
      <c r="F45" s="177"/>
      <c r="G45" s="176"/>
      <c r="H45" s="176"/>
      <c r="I45" s="176"/>
      <c r="J45" s="179">
        <f>+C45+E45+H45+I45+G45</f>
        <v>0</v>
      </c>
      <c r="K45" s="170">
        <f t="shared" si="23"/>
        <v>0</v>
      </c>
      <c r="M45" s="170"/>
      <c r="P45" s="141">
        <f>K45-SUM(R45:BY45)</f>
        <v>0</v>
      </c>
      <c r="R45" s="134"/>
      <c r="S45" s="134"/>
      <c r="T45" s="134"/>
      <c r="U45" s="134"/>
      <c r="V45" s="134"/>
      <c r="W45" s="134"/>
      <c r="X45" s="134"/>
      <c r="Y45" s="134"/>
      <c r="Z45" s="134"/>
      <c r="AA45" s="134"/>
      <c r="AB45" s="134"/>
      <c r="AC45" s="134"/>
      <c r="AD45" s="134"/>
      <c r="AE45" s="134"/>
      <c r="AF45" s="134"/>
      <c r="AG45" s="134"/>
      <c r="AH45" s="134"/>
      <c r="AI45" s="134"/>
      <c r="AJ45" s="134"/>
      <c r="AK45" s="134"/>
      <c r="AL45" s="134"/>
      <c r="AM45" s="134"/>
      <c r="AN45" s="134"/>
      <c r="AO45" s="134"/>
      <c r="AP45" s="134"/>
      <c r="AQ45" s="134"/>
      <c r="AR45" s="134"/>
      <c r="AS45" s="134"/>
      <c r="AT45" s="134"/>
      <c r="AU45" s="134"/>
      <c r="AV45" s="134"/>
      <c r="AW45" s="134"/>
      <c r="AX45" s="134"/>
      <c r="AY45" s="134"/>
      <c r="AZ45" s="134"/>
      <c r="BA45" s="134"/>
      <c r="BB45" s="134"/>
      <c r="BC45" s="134"/>
      <c r="BD45" s="134"/>
      <c r="BE45" s="134"/>
      <c r="BF45" s="134"/>
      <c r="BG45" s="134"/>
      <c r="BH45" s="134"/>
      <c r="BI45" s="134"/>
      <c r="BJ45" s="134"/>
      <c r="BK45" s="134"/>
      <c r="BL45" s="134"/>
      <c r="BM45" s="134"/>
      <c r="BN45" s="134"/>
      <c r="BO45" s="134"/>
      <c r="BP45" s="134"/>
      <c r="BQ45" s="134"/>
      <c r="BR45" s="134"/>
      <c r="BS45" s="134"/>
      <c r="BT45" s="134"/>
      <c r="BU45" s="134"/>
      <c r="BV45" s="134"/>
      <c r="BW45" s="134"/>
      <c r="BX45" s="134"/>
      <c r="BY45" s="134"/>
    </row>
    <row r="46" outlineLevel="1" ht="14.5">
      <c r="A46" s="174" t="s">
        <v>1027</v>
      </c>
      <c r="B46" s="190"/>
      <c r="C46" s="185"/>
      <c r="D46" s="186"/>
      <c r="E46" s="176"/>
      <c r="F46" s="177"/>
      <c r="G46" s="176"/>
      <c r="H46" s="176"/>
      <c r="I46" s="176"/>
      <c r="J46" s="179">
        <f>+C46+E46+H46+I46+G46</f>
        <v>0</v>
      </c>
      <c r="K46" s="170">
        <f t="shared" si="23"/>
        <v>0</v>
      </c>
      <c r="M46" s="170"/>
      <c r="R46" s="134"/>
      <c r="S46" s="134"/>
      <c r="T46" s="134"/>
      <c r="U46" s="134"/>
      <c r="V46" s="134"/>
      <c r="W46" s="134"/>
      <c r="X46" s="134"/>
      <c r="Y46" s="134"/>
      <c r="Z46" s="134"/>
      <c r="AA46" s="134"/>
      <c r="AB46" s="134"/>
      <c r="AC46" s="134"/>
      <c r="AD46" s="134"/>
      <c r="AE46" s="134"/>
      <c r="AF46" s="134"/>
      <c r="AG46" s="134"/>
      <c r="AH46" s="134"/>
      <c r="AI46" s="134"/>
      <c r="AJ46" s="134"/>
      <c r="AK46" s="134"/>
      <c r="AL46" s="134"/>
      <c r="AM46" s="134"/>
      <c r="AN46" s="134"/>
      <c r="AO46" s="134"/>
      <c r="AP46" s="134"/>
      <c r="AQ46" s="134"/>
      <c r="AR46" s="134"/>
      <c r="AS46" s="134"/>
      <c r="AT46" s="134"/>
      <c r="AU46" s="134"/>
      <c r="AV46" s="134"/>
      <c r="AW46" s="134"/>
      <c r="AX46" s="134"/>
      <c r="AY46" s="134"/>
      <c r="AZ46" s="134"/>
      <c r="BA46" s="134"/>
      <c r="BB46" s="134"/>
      <c r="BC46" s="134"/>
      <c r="BD46" s="134"/>
      <c r="BE46" s="134"/>
      <c r="BF46" s="134"/>
      <c r="BG46" s="134"/>
      <c r="BH46" s="134"/>
      <c r="BI46" s="134"/>
      <c r="BJ46" s="134"/>
      <c r="BK46" s="134"/>
      <c r="BL46" s="134"/>
      <c r="BM46" s="134"/>
      <c r="BN46" s="134"/>
      <c r="BO46" s="134"/>
      <c r="BP46" s="134"/>
      <c r="BQ46" s="134"/>
      <c r="BR46" s="134"/>
      <c r="BS46" s="134"/>
      <c r="BT46" s="134"/>
      <c r="BU46" s="134"/>
      <c r="BV46" s="134"/>
      <c r="BW46" s="134"/>
      <c r="BX46" s="134"/>
      <c r="BY46" s="134"/>
    </row>
    <row r="47" ht="14.5">
      <c r="A47" s="166" t="s">
        <v>738</v>
      </c>
      <c r="B47" s="167">
        <f>SUMIF(Raccordo!F:F,$A47,Raccordo!J:J)</f>
        <v>0</v>
      </c>
      <c r="C47" s="187"/>
      <c r="D47" s="188"/>
      <c r="E47" s="172">
        <f t="shared" ref="E47:K47" si="24">+SUM(E48:E50)</f>
        <v>0</v>
      </c>
      <c r="F47" s="173"/>
      <c r="G47" s="172">
        <f t="shared" si="24"/>
        <v>0</v>
      </c>
      <c r="H47" s="172">
        <f t="shared" si="24"/>
        <v>0</v>
      </c>
      <c r="I47" s="172">
        <f t="shared" si="24"/>
        <v>0</v>
      </c>
      <c r="J47" s="172">
        <f t="shared" si="24"/>
        <v>0</v>
      </c>
      <c r="K47" s="167">
        <f t="shared" si="24"/>
        <v>0</v>
      </c>
      <c r="L47" s="182"/>
      <c r="M47" s="170"/>
      <c r="P47" s="167">
        <f>+K47-SUM(R47:BY47)</f>
        <v>0</v>
      </c>
      <c r="R47" s="167">
        <f>+SUM(R48:R50)</f>
        <v>0</v>
      </c>
      <c r="S47" s="167">
        <f t="shared" ref="S47:BY47" si="25">+SUM(S48:S50)</f>
        <v>0</v>
      </c>
      <c r="T47" s="167">
        <f t="shared" si="25"/>
        <v>0</v>
      </c>
      <c r="U47" s="167">
        <f t="shared" si="25"/>
        <v>0</v>
      </c>
      <c r="V47" s="167">
        <f t="shared" si="25"/>
        <v>0</v>
      </c>
      <c r="W47" s="167">
        <f t="shared" si="25"/>
        <v>0</v>
      </c>
      <c r="X47" s="167">
        <f t="shared" si="25"/>
        <v>0</v>
      </c>
      <c r="Y47" s="167">
        <f t="shared" si="25"/>
        <v>0</v>
      </c>
      <c r="Z47" s="167">
        <f t="shared" si="25"/>
        <v>0</v>
      </c>
      <c r="AA47" s="167">
        <f t="shared" si="25"/>
        <v>0</v>
      </c>
      <c r="AB47" s="167">
        <f t="shared" si="25"/>
        <v>0</v>
      </c>
      <c r="AC47" s="167">
        <f t="shared" si="25"/>
        <v>0</v>
      </c>
      <c r="AD47" s="167">
        <f t="shared" si="25"/>
        <v>0</v>
      </c>
      <c r="AE47" s="167">
        <f t="shared" si="25"/>
        <v>0</v>
      </c>
      <c r="AF47" s="167">
        <f t="shared" si="25"/>
        <v>0</v>
      </c>
      <c r="AG47" s="167">
        <f t="shared" si="25"/>
        <v>0</v>
      </c>
      <c r="AH47" s="167">
        <f t="shared" si="25"/>
        <v>0</v>
      </c>
      <c r="AI47" s="167">
        <f t="shared" si="25"/>
        <v>0</v>
      </c>
      <c r="AJ47" s="167">
        <f t="shared" si="25"/>
        <v>0</v>
      </c>
      <c r="AK47" s="167">
        <f t="shared" si="25"/>
        <v>0</v>
      </c>
      <c r="AL47" s="167">
        <f t="shared" si="25"/>
        <v>0</v>
      </c>
      <c r="AM47" s="167">
        <f t="shared" si="25"/>
        <v>0</v>
      </c>
      <c r="AN47" s="167">
        <f t="shared" si="25"/>
        <v>0</v>
      </c>
      <c r="AO47" s="167">
        <f t="shared" si="25"/>
        <v>0</v>
      </c>
      <c r="AP47" s="167">
        <f t="shared" si="25"/>
        <v>0</v>
      </c>
      <c r="AQ47" s="167">
        <f t="shared" si="25"/>
        <v>0</v>
      </c>
      <c r="AR47" s="167">
        <f t="shared" si="25"/>
        <v>0</v>
      </c>
      <c r="AS47" s="167">
        <f t="shared" si="25"/>
        <v>0</v>
      </c>
      <c r="AT47" s="167">
        <f t="shared" si="25"/>
        <v>0</v>
      </c>
      <c r="AU47" s="167">
        <f t="shared" si="25"/>
        <v>0</v>
      </c>
      <c r="AV47" s="167">
        <f t="shared" si="25"/>
        <v>0</v>
      </c>
      <c r="AW47" s="167">
        <f t="shared" si="25"/>
        <v>0</v>
      </c>
      <c r="AX47" s="167">
        <f t="shared" si="25"/>
        <v>0</v>
      </c>
      <c r="AY47" s="167">
        <f t="shared" si="25"/>
        <v>0</v>
      </c>
      <c r="AZ47" s="167">
        <f t="shared" si="25"/>
        <v>0</v>
      </c>
      <c r="BA47" s="167">
        <f t="shared" si="25"/>
        <v>0</v>
      </c>
      <c r="BB47" s="167">
        <f t="shared" si="25"/>
        <v>0</v>
      </c>
      <c r="BC47" s="167">
        <f t="shared" si="25"/>
        <v>0</v>
      </c>
      <c r="BD47" s="167">
        <f t="shared" si="25"/>
        <v>0</v>
      </c>
      <c r="BE47" s="167">
        <f t="shared" si="25"/>
        <v>0</v>
      </c>
      <c r="BF47" s="167">
        <f t="shared" si="25"/>
        <v>0</v>
      </c>
      <c r="BG47" s="167">
        <f t="shared" si="25"/>
        <v>0</v>
      </c>
      <c r="BH47" s="167">
        <f t="shared" si="25"/>
        <v>0</v>
      </c>
      <c r="BI47" s="167">
        <f t="shared" si="25"/>
        <v>0</v>
      </c>
      <c r="BJ47" s="167">
        <f t="shared" si="25"/>
        <v>0</v>
      </c>
      <c r="BK47" s="167">
        <f t="shared" si="25"/>
        <v>0</v>
      </c>
      <c r="BL47" s="167">
        <f t="shared" si="25"/>
        <v>0</v>
      </c>
      <c r="BM47" s="167">
        <f t="shared" si="25"/>
        <v>0</v>
      </c>
      <c r="BN47" s="167">
        <f t="shared" si="25"/>
        <v>0</v>
      </c>
      <c r="BO47" s="167">
        <f t="shared" si="25"/>
        <v>0</v>
      </c>
      <c r="BP47" s="167">
        <f t="shared" si="25"/>
        <v>0</v>
      </c>
      <c r="BQ47" s="167">
        <f t="shared" si="25"/>
        <v>0</v>
      </c>
      <c r="BR47" s="167">
        <f t="shared" si="25"/>
        <v>0</v>
      </c>
      <c r="BS47" s="167">
        <f t="shared" si="25"/>
        <v>0</v>
      </c>
      <c r="BT47" s="167">
        <f t="shared" si="25"/>
        <v>0</v>
      </c>
      <c r="BU47" s="167">
        <f t="shared" si="25"/>
        <v>0</v>
      </c>
      <c r="BV47" s="167">
        <f t="shared" si="25"/>
        <v>0</v>
      </c>
      <c r="BW47" s="167">
        <f t="shared" si="25"/>
        <v>0</v>
      </c>
      <c r="BX47" s="167">
        <f t="shared" si="25"/>
        <v>0</v>
      </c>
      <c r="BY47" s="167">
        <f t="shared" si="25"/>
        <v>0</v>
      </c>
    </row>
    <row r="48" outlineLevel="1" ht="14.5">
      <c r="A48" s="174" t="s">
        <v>1044</v>
      </c>
      <c r="B48" s="190"/>
      <c r="C48" s="185"/>
      <c r="D48" s="186"/>
      <c r="E48" s="176"/>
      <c r="F48" s="191"/>
      <c r="G48" s="176"/>
      <c r="H48" s="176"/>
      <c r="I48" s="176"/>
      <c r="J48" s="179"/>
      <c r="K48" s="170">
        <f t="shared" ref="K48:K50" si="26">+B48+J48</f>
        <v>0</v>
      </c>
      <c r="M48" s="170"/>
      <c r="P48" s="141">
        <f t="shared" ref="P48:P49" si="27">K48-SUM(R48:BY48)</f>
        <v>0</v>
      </c>
      <c r="R48" s="134"/>
      <c r="S48" s="134"/>
      <c r="T48" s="134"/>
      <c r="U48" s="134"/>
      <c r="V48" s="134"/>
      <c r="W48" s="134"/>
      <c r="X48" s="134"/>
      <c r="Y48" s="134"/>
      <c r="Z48" s="134"/>
      <c r="AA48" s="134"/>
      <c r="AB48" s="134"/>
      <c r="AC48" s="134"/>
      <c r="AD48" s="134"/>
      <c r="AE48" s="134"/>
      <c r="AF48" s="134"/>
      <c r="AG48" s="134"/>
      <c r="AH48" s="134"/>
      <c r="AI48" s="134"/>
      <c r="AJ48" s="134"/>
      <c r="AK48" s="134"/>
      <c r="AL48" s="134"/>
      <c r="AM48" s="134"/>
      <c r="AN48" s="134"/>
      <c r="AO48" s="134"/>
      <c r="AP48" s="134"/>
      <c r="AQ48" s="134"/>
      <c r="AR48" s="134"/>
      <c r="AS48" s="134"/>
      <c r="AT48" s="134"/>
      <c r="AU48" s="134"/>
      <c r="AV48" s="134"/>
      <c r="AW48" s="134"/>
      <c r="AX48" s="134"/>
      <c r="AY48" s="134"/>
      <c r="AZ48" s="134"/>
      <c r="BA48" s="134"/>
      <c r="BB48" s="134"/>
      <c r="BC48" s="134"/>
      <c r="BD48" s="134"/>
      <c r="BE48" s="134"/>
      <c r="BF48" s="134"/>
      <c r="BG48" s="134"/>
      <c r="BH48" s="134"/>
      <c r="BI48" s="134"/>
      <c r="BJ48" s="134"/>
      <c r="BK48" s="134"/>
      <c r="BL48" s="134"/>
      <c r="BM48" s="134"/>
      <c r="BN48" s="134"/>
      <c r="BO48" s="134"/>
      <c r="BP48" s="134"/>
      <c r="BQ48" s="134"/>
      <c r="BR48" s="134"/>
      <c r="BS48" s="134"/>
      <c r="BT48" s="134"/>
      <c r="BU48" s="134"/>
      <c r="BV48" s="134"/>
      <c r="BW48" s="134"/>
      <c r="BX48" s="134"/>
      <c r="BY48" s="134"/>
    </row>
    <row r="49" outlineLevel="1" ht="14.5">
      <c r="A49" s="174" t="s">
        <v>1045</v>
      </c>
      <c r="B49" s="190"/>
      <c r="C49" s="185"/>
      <c r="D49" s="186"/>
      <c r="E49" s="176"/>
      <c r="F49" s="191"/>
      <c r="G49" s="176"/>
      <c r="H49" s="176"/>
      <c r="I49" s="176"/>
      <c r="J49" s="179">
        <f>+C49+E49+H49+I49+G49</f>
        <v>0</v>
      </c>
      <c r="K49" s="170">
        <f t="shared" si="26"/>
        <v>0</v>
      </c>
      <c r="M49" s="170"/>
      <c r="P49" s="141">
        <f t="shared" si="27"/>
        <v>0</v>
      </c>
      <c r="R49" s="134"/>
      <c r="S49" s="134"/>
      <c r="T49" s="134"/>
      <c r="U49" s="134"/>
      <c r="V49" s="134"/>
      <c r="W49" s="134"/>
      <c r="X49" s="134"/>
      <c r="Y49" s="134"/>
      <c r="Z49" s="134"/>
      <c r="AA49" s="134"/>
      <c r="AB49" s="134"/>
      <c r="AC49" s="134"/>
      <c r="AD49" s="134"/>
      <c r="AE49" s="134"/>
      <c r="AF49" s="134"/>
      <c r="AG49" s="134"/>
      <c r="AH49" s="134"/>
      <c r="AI49" s="134"/>
      <c r="AJ49" s="134"/>
      <c r="AK49" s="134"/>
      <c r="AL49" s="134"/>
      <c r="AM49" s="134"/>
      <c r="AN49" s="134"/>
      <c r="AO49" s="134"/>
      <c r="AP49" s="134"/>
      <c r="AQ49" s="134"/>
      <c r="AR49" s="134"/>
      <c r="AS49" s="134"/>
      <c r="AT49" s="134"/>
      <c r="AU49" s="134"/>
      <c r="AV49" s="134"/>
      <c r="AW49" s="134"/>
      <c r="AX49" s="134"/>
      <c r="AY49" s="134"/>
      <c r="AZ49" s="134"/>
      <c r="BA49" s="134"/>
      <c r="BB49" s="134"/>
      <c r="BC49" s="134"/>
      <c r="BD49" s="134"/>
      <c r="BE49" s="134"/>
      <c r="BF49" s="134"/>
      <c r="BG49" s="134"/>
      <c r="BH49" s="134"/>
      <c r="BI49" s="134"/>
      <c r="BJ49" s="134"/>
      <c r="BK49" s="134"/>
      <c r="BL49" s="134"/>
      <c r="BM49" s="134"/>
      <c r="BN49" s="134"/>
      <c r="BO49" s="134"/>
      <c r="BP49" s="134"/>
      <c r="BQ49" s="134"/>
      <c r="BR49" s="134"/>
      <c r="BS49" s="134"/>
      <c r="BT49" s="134"/>
      <c r="BU49" s="134"/>
      <c r="BV49" s="134"/>
      <c r="BW49" s="134"/>
      <c r="BX49" s="134"/>
      <c r="BY49" s="134"/>
    </row>
    <row r="50" outlineLevel="1" ht="14.5">
      <c r="A50" s="174" t="s">
        <v>1027</v>
      </c>
      <c r="B50" s="190"/>
      <c r="C50" s="185"/>
      <c r="D50" s="186"/>
      <c r="E50" s="176"/>
      <c r="F50" s="191"/>
      <c r="G50" s="176"/>
      <c r="H50" s="176"/>
      <c r="I50" s="176"/>
      <c r="J50" s="179">
        <f>+C50+E50+H50+I50+G50</f>
        <v>0</v>
      </c>
      <c r="K50" s="170">
        <f t="shared" si="26"/>
        <v>0</v>
      </c>
      <c r="M50" s="170"/>
      <c r="P50" s="141"/>
      <c r="R50" s="134"/>
      <c r="S50" s="134"/>
      <c r="T50" s="134"/>
      <c r="U50" s="134"/>
      <c r="V50" s="134"/>
      <c r="W50" s="134"/>
      <c r="X50" s="134"/>
      <c r="Y50" s="134"/>
      <c r="Z50" s="134"/>
      <c r="AA50" s="134"/>
      <c r="AB50" s="134"/>
      <c r="AC50" s="134"/>
      <c r="AD50" s="134"/>
      <c r="AE50" s="134"/>
      <c r="AF50" s="134"/>
      <c r="AG50" s="134"/>
      <c r="AH50" s="134"/>
      <c r="AI50" s="134"/>
      <c r="AJ50" s="134"/>
      <c r="AK50" s="134"/>
      <c r="AL50" s="134"/>
      <c r="AM50" s="134"/>
      <c r="AN50" s="134"/>
      <c r="AO50" s="134"/>
      <c r="AP50" s="134"/>
      <c r="AQ50" s="134"/>
      <c r="AR50" s="134"/>
      <c r="AS50" s="134"/>
      <c r="AT50" s="134"/>
      <c r="AU50" s="134"/>
      <c r="AV50" s="134"/>
      <c r="AW50" s="134"/>
      <c r="AX50" s="134"/>
      <c r="AY50" s="134"/>
      <c r="AZ50" s="134"/>
      <c r="BA50" s="134"/>
      <c r="BB50" s="134"/>
      <c r="BC50" s="134"/>
      <c r="BD50" s="134"/>
      <c r="BE50" s="134"/>
      <c r="BF50" s="134"/>
      <c r="BG50" s="134"/>
      <c r="BH50" s="134"/>
      <c r="BI50" s="134"/>
      <c r="BJ50" s="134"/>
      <c r="BK50" s="134"/>
      <c r="BL50" s="134"/>
      <c r="BM50" s="134"/>
      <c r="BN50" s="134"/>
      <c r="BO50" s="134"/>
      <c r="BP50" s="134"/>
      <c r="BQ50" s="134"/>
      <c r="BR50" s="134"/>
      <c r="BS50" s="134"/>
      <c r="BT50" s="134"/>
      <c r="BU50" s="134"/>
      <c r="BV50" s="134"/>
      <c r="BW50" s="134"/>
      <c r="BX50" s="134"/>
      <c r="BY50" s="134"/>
    </row>
    <row r="51" ht="14.5">
      <c r="A51" s="166" t="s">
        <v>846</v>
      </c>
      <c r="B51" s="167">
        <f>SUMIF(Raccordo!F:F,$A51,Raccordo!J:J)</f>
        <v>0</v>
      </c>
      <c r="C51" s="187"/>
      <c r="D51" s="188"/>
      <c r="E51" s="172">
        <f t="shared" ref="E51:K51" si="28">+SUM(E52:E54)</f>
        <v>0</v>
      </c>
      <c r="F51" s="173"/>
      <c r="G51" s="172">
        <f t="shared" si="28"/>
        <v>0</v>
      </c>
      <c r="H51" s="172">
        <f t="shared" si="28"/>
        <v>0</v>
      </c>
      <c r="I51" s="172">
        <f t="shared" si="28"/>
        <v>0</v>
      </c>
      <c r="J51" s="172">
        <f t="shared" si="28"/>
        <v>0</v>
      </c>
      <c r="K51" s="167">
        <f t="shared" si="28"/>
        <v>0</v>
      </c>
      <c r="L51" s="182"/>
      <c r="M51" s="170"/>
      <c r="P51" s="167">
        <f>+K51-SUM(R51:BY51)</f>
        <v>0</v>
      </c>
      <c r="R51" s="167">
        <f>+SUM(R52:R54)</f>
        <v>0</v>
      </c>
      <c r="S51" s="167">
        <f t="shared" ref="S51:BY51" si="29">+SUM(S52:S54)</f>
        <v>0</v>
      </c>
      <c r="T51" s="167">
        <f t="shared" si="29"/>
        <v>0</v>
      </c>
      <c r="U51" s="167">
        <f t="shared" si="29"/>
        <v>0</v>
      </c>
      <c r="V51" s="167">
        <f t="shared" si="29"/>
        <v>0</v>
      </c>
      <c r="W51" s="167">
        <f t="shared" si="29"/>
        <v>0</v>
      </c>
      <c r="X51" s="167">
        <f t="shared" si="29"/>
        <v>0</v>
      </c>
      <c r="Y51" s="167">
        <f t="shared" si="29"/>
        <v>0</v>
      </c>
      <c r="Z51" s="167">
        <f t="shared" si="29"/>
        <v>0</v>
      </c>
      <c r="AA51" s="167">
        <f t="shared" si="29"/>
        <v>0</v>
      </c>
      <c r="AB51" s="167">
        <f t="shared" si="29"/>
        <v>0</v>
      </c>
      <c r="AC51" s="167">
        <f t="shared" si="29"/>
        <v>0</v>
      </c>
      <c r="AD51" s="167">
        <f t="shared" si="29"/>
        <v>0</v>
      </c>
      <c r="AE51" s="167">
        <f t="shared" si="29"/>
        <v>0</v>
      </c>
      <c r="AF51" s="167">
        <f t="shared" si="29"/>
        <v>0</v>
      </c>
      <c r="AG51" s="167">
        <f t="shared" si="29"/>
        <v>0</v>
      </c>
      <c r="AH51" s="167">
        <f t="shared" si="29"/>
        <v>0</v>
      </c>
      <c r="AI51" s="167">
        <f t="shared" si="29"/>
        <v>0</v>
      </c>
      <c r="AJ51" s="167">
        <f t="shared" si="29"/>
        <v>0</v>
      </c>
      <c r="AK51" s="167">
        <f t="shared" si="29"/>
        <v>0</v>
      </c>
      <c r="AL51" s="167">
        <f t="shared" si="29"/>
        <v>0</v>
      </c>
      <c r="AM51" s="167">
        <f t="shared" si="29"/>
        <v>0</v>
      </c>
      <c r="AN51" s="167">
        <f t="shared" si="29"/>
        <v>0</v>
      </c>
      <c r="AO51" s="167">
        <f t="shared" si="29"/>
        <v>0</v>
      </c>
      <c r="AP51" s="167">
        <f t="shared" si="29"/>
        <v>0</v>
      </c>
      <c r="AQ51" s="167">
        <f t="shared" si="29"/>
        <v>0</v>
      </c>
      <c r="AR51" s="167">
        <f t="shared" si="29"/>
        <v>0</v>
      </c>
      <c r="AS51" s="167">
        <f t="shared" si="29"/>
        <v>0</v>
      </c>
      <c r="AT51" s="167">
        <f t="shared" si="29"/>
        <v>0</v>
      </c>
      <c r="AU51" s="167">
        <f t="shared" si="29"/>
        <v>0</v>
      </c>
      <c r="AV51" s="167">
        <f t="shared" si="29"/>
        <v>0</v>
      </c>
      <c r="AW51" s="167">
        <f t="shared" si="29"/>
        <v>0</v>
      </c>
      <c r="AX51" s="167">
        <f t="shared" si="29"/>
        <v>0</v>
      </c>
      <c r="AY51" s="167">
        <f t="shared" si="29"/>
        <v>0</v>
      </c>
      <c r="AZ51" s="167">
        <f t="shared" si="29"/>
        <v>0</v>
      </c>
      <c r="BA51" s="167">
        <f t="shared" si="29"/>
        <v>0</v>
      </c>
      <c r="BB51" s="167">
        <f t="shared" si="29"/>
        <v>0</v>
      </c>
      <c r="BC51" s="167">
        <f t="shared" si="29"/>
        <v>0</v>
      </c>
      <c r="BD51" s="167">
        <f t="shared" si="29"/>
        <v>0</v>
      </c>
      <c r="BE51" s="167">
        <f t="shared" si="29"/>
        <v>0</v>
      </c>
      <c r="BF51" s="167">
        <f t="shared" si="29"/>
        <v>0</v>
      </c>
      <c r="BG51" s="167">
        <f t="shared" si="29"/>
        <v>0</v>
      </c>
      <c r="BH51" s="167">
        <f t="shared" si="29"/>
        <v>0</v>
      </c>
      <c r="BI51" s="167">
        <f t="shared" si="29"/>
        <v>0</v>
      </c>
      <c r="BJ51" s="167">
        <f t="shared" si="29"/>
        <v>0</v>
      </c>
      <c r="BK51" s="167">
        <f t="shared" si="29"/>
        <v>0</v>
      </c>
      <c r="BL51" s="167">
        <f t="shared" si="29"/>
        <v>0</v>
      </c>
      <c r="BM51" s="167">
        <f t="shared" si="29"/>
        <v>0</v>
      </c>
      <c r="BN51" s="167">
        <f t="shared" si="29"/>
        <v>0</v>
      </c>
      <c r="BO51" s="167">
        <f t="shared" si="29"/>
        <v>0</v>
      </c>
      <c r="BP51" s="167">
        <f t="shared" si="29"/>
        <v>0</v>
      </c>
      <c r="BQ51" s="167">
        <f t="shared" si="29"/>
        <v>0</v>
      </c>
      <c r="BR51" s="167">
        <f t="shared" si="29"/>
        <v>0</v>
      </c>
      <c r="BS51" s="167">
        <f t="shared" si="29"/>
        <v>0</v>
      </c>
      <c r="BT51" s="167">
        <f t="shared" si="29"/>
        <v>0</v>
      </c>
      <c r="BU51" s="167">
        <f t="shared" si="29"/>
        <v>0</v>
      </c>
      <c r="BV51" s="167">
        <f t="shared" si="29"/>
        <v>0</v>
      </c>
      <c r="BW51" s="167">
        <f t="shared" si="29"/>
        <v>0</v>
      </c>
      <c r="BX51" s="167">
        <f t="shared" si="29"/>
        <v>0</v>
      </c>
      <c r="BY51" s="167">
        <f t="shared" si="29"/>
        <v>0</v>
      </c>
    </row>
    <row r="52" outlineLevel="1" ht="14.5">
      <c r="A52" s="174" t="s">
        <v>1046</v>
      </c>
      <c r="B52" s="189"/>
      <c r="C52" s="185"/>
      <c r="D52" s="186"/>
      <c r="E52" s="176"/>
      <c r="F52" s="191"/>
      <c r="G52" s="176"/>
      <c r="H52" s="176"/>
      <c r="I52" s="176"/>
      <c r="J52" s="179">
        <f>+C52+E52+H52+I52+G52</f>
        <v>0</v>
      </c>
      <c r="K52" s="170">
        <f t="shared" ref="K52:K54" si="30">+B52+J52</f>
        <v>0</v>
      </c>
      <c r="M52" s="170"/>
      <c r="P52" s="141">
        <f t="shared" ref="P52:P53" si="31">K52-SUM(R52:BY52)</f>
        <v>0</v>
      </c>
      <c r="R52" s="134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  <c r="AF52" s="134"/>
      <c r="AG52" s="134"/>
      <c r="AH52" s="134"/>
      <c r="AI52" s="134"/>
      <c r="AJ52" s="134"/>
      <c r="AK52" s="134"/>
      <c r="AL52" s="134"/>
      <c r="AM52" s="134"/>
      <c r="AN52" s="134"/>
      <c r="AO52" s="134"/>
      <c r="AP52" s="134"/>
      <c r="AQ52" s="134"/>
      <c r="AR52" s="134"/>
      <c r="AS52" s="134"/>
      <c r="AT52" s="134"/>
      <c r="AU52" s="134"/>
      <c r="AV52" s="134"/>
      <c r="AW52" s="134"/>
      <c r="AX52" s="134"/>
      <c r="AY52" s="134"/>
      <c r="AZ52" s="134"/>
      <c r="BA52" s="134"/>
      <c r="BB52" s="134"/>
      <c r="BC52" s="134"/>
      <c r="BD52" s="134"/>
      <c r="BE52" s="134"/>
      <c r="BF52" s="134"/>
      <c r="BG52" s="134"/>
      <c r="BH52" s="134"/>
      <c r="BI52" s="134"/>
      <c r="BJ52" s="134"/>
      <c r="BK52" s="134"/>
      <c r="BL52" s="134"/>
      <c r="BM52" s="134"/>
      <c r="BN52" s="134"/>
      <c r="BO52" s="134"/>
      <c r="BP52" s="134"/>
      <c r="BQ52" s="134"/>
      <c r="BR52" s="134"/>
      <c r="BS52" s="134"/>
      <c r="BT52" s="134"/>
      <c r="BU52" s="134"/>
      <c r="BV52" s="134"/>
      <c r="BW52" s="134"/>
      <c r="BX52" s="134"/>
      <c r="BY52" s="134"/>
    </row>
    <row r="53" outlineLevel="1" ht="14.5">
      <c r="A53" s="174" t="s">
        <v>1047</v>
      </c>
      <c r="B53" s="190"/>
      <c r="C53" s="185"/>
      <c r="D53" s="186"/>
      <c r="E53" s="176"/>
      <c r="F53" s="191"/>
      <c r="G53" s="176"/>
      <c r="H53" s="176"/>
      <c r="I53" s="176"/>
      <c r="J53" s="179">
        <f>+C53+E53+H53+I53+G53</f>
        <v>0</v>
      </c>
      <c r="K53" s="170">
        <f t="shared" si="30"/>
        <v>0</v>
      </c>
      <c r="M53" s="170"/>
      <c r="P53" s="141">
        <f t="shared" si="31"/>
        <v>0</v>
      </c>
      <c r="R53" s="134"/>
      <c r="S53" s="134"/>
      <c r="T53" s="134"/>
      <c r="U53" s="134"/>
      <c r="V53" s="134"/>
      <c r="W53" s="134"/>
      <c r="X53" s="134"/>
      <c r="Y53" s="134"/>
      <c r="Z53" s="134"/>
      <c r="AA53" s="134"/>
      <c r="AB53" s="134"/>
      <c r="AC53" s="134"/>
      <c r="AD53" s="134"/>
      <c r="AE53" s="134"/>
      <c r="AF53" s="134"/>
      <c r="AG53" s="134"/>
      <c r="AH53" s="134"/>
      <c r="AI53" s="134"/>
      <c r="AJ53" s="134"/>
      <c r="AK53" s="134"/>
      <c r="AL53" s="134"/>
      <c r="AM53" s="134"/>
      <c r="AN53" s="134"/>
      <c r="AO53" s="134"/>
      <c r="AP53" s="134"/>
      <c r="AQ53" s="134"/>
      <c r="AR53" s="134"/>
      <c r="AS53" s="134"/>
      <c r="AT53" s="134"/>
      <c r="AU53" s="134"/>
      <c r="AV53" s="134"/>
      <c r="AW53" s="134"/>
      <c r="AX53" s="134"/>
      <c r="AY53" s="134"/>
      <c r="AZ53" s="134"/>
      <c r="BA53" s="134"/>
      <c r="BB53" s="134"/>
      <c r="BC53" s="134"/>
      <c r="BD53" s="134"/>
      <c r="BE53" s="134"/>
      <c r="BF53" s="134"/>
      <c r="BG53" s="134"/>
      <c r="BH53" s="134"/>
      <c r="BI53" s="134"/>
      <c r="BJ53" s="134"/>
      <c r="BK53" s="134"/>
      <c r="BL53" s="134"/>
      <c r="BM53" s="134"/>
      <c r="BN53" s="134"/>
      <c r="BO53" s="134"/>
      <c r="BP53" s="134"/>
      <c r="BQ53" s="134"/>
      <c r="BR53" s="134"/>
      <c r="BS53" s="134"/>
      <c r="BT53" s="134"/>
      <c r="BU53" s="134"/>
      <c r="BV53" s="134"/>
      <c r="BW53" s="134"/>
      <c r="BX53" s="134"/>
      <c r="BY53" s="134"/>
    </row>
    <row r="54" outlineLevel="1" ht="14.5">
      <c r="A54" s="174" t="s">
        <v>1027</v>
      </c>
      <c r="B54" s="190"/>
      <c r="C54" s="185"/>
      <c r="D54" s="186"/>
      <c r="E54" s="176"/>
      <c r="F54" s="191"/>
      <c r="G54" s="176"/>
      <c r="H54" s="176"/>
      <c r="I54" s="176"/>
      <c r="J54" s="179">
        <f>+C54+E54+H54+I54+G54</f>
        <v>0</v>
      </c>
      <c r="K54" s="170">
        <f t="shared" si="30"/>
        <v>0</v>
      </c>
      <c r="M54" s="170"/>
      <c r="R54" s="134"/>
      <c r="S54" s="134"/>
      <c r="T54" s="134"/>
      <c r="U54" s="134"/>
      <c r="V54" s="134"/>
      <c r="W54" s="134"/>
      <c r="X54" s="134"/>
      <c r="Y54" s="134"/>
      <c r="Z54" s="134"/>
      <c r="AA54" s="134"/>
      <c r="AB54" s="134"/>
      <c r="AC54" s="134"/>
      <c r="AD54" s="134"/>
      <c r="AE54" s="134"/>
      <c r="AF54" s="134"/>
      <c r="AG54" s="134"/>
      <c r="AH54" s="134"/>
      <c r="AI54" s="134"/>
      <c r="AJ54" s="134"/>
      <c r="AK54" s="134"/>
      <c r="AL54" s="134"/>
      <c r="AM54" s="134"/>
      <c r="AN54" s="134"/>
      <c r="AO54" s="134"/>
      <c r="AP54" s="134"/>
      <c r="AQ54" s="134"/>
      <c r="AR54" s="134"/>
      <c r="AS54" s="134"/>
      <c r="AT54" s="134"/>
      <c r="AU54" s="134"/>
      <c r="AV54" s="134"/>
      <c r="AW54" s="134"/>
      <c r="AX54" s="134"/>
      <c r="AY54" s="134"/>
      <c r="AZ54" s="134"/>
      <c r="BA54" s="134"/>
      <c r="BB54" s="134"/>
      <c r="BC54" s="134"/>
      <c r="BD54" s="134"/>
      <c r="BE54" s="134"/>
      <c r="BF54" s="134"/>
      <c r="BG54" s="134"/>
      <c r="BH54" s="134"/>
      <c r="BI54" s="134"/>
      <c r="BJ54" s="134"/>
      <c r="BK54" s="134"/>
      <c r="BL54" s="134"/>
      <c r="BM54" s="134"/>
      <c r="BN54" s="134"/>
      <c r="BO54" s="134"/>
      <c r="BP54" s="134"/>
      <c r="BQ54" s="134"/>
      <c r="BR54" s="134"/>
      <c r="BS54" s="134"/>
      <c r="BT54" s="134"/>
      <c r="BU54" s="134"/>
      <c r="BV54" s="134"/>
      <c r="BW54" s="134"/>
      <c r="BX54" s="134"/>
      <c r="BY54" s="134"/>
    </row>
    <row r="55" ht="14.5">
      <c r="A55" s="166" t="s">
        <v>847</v>
      </c>
      <c r="B55" s="167">
        <f>SUMIF(Raccordo!F:F,$A55,Raccordo!J:J)</f>
        <v>0</v>
      </c>
      <c r="C55" s="187"/>
      <c r="D55" s="188"/>
      <c r="E55" s="172">
        <f t="shared" ref="E55:J55" si="32">+SUM(E56:E58)</f>
        <v>0</v>
      </c>
      <c r="F55" s="173"/>
      <c r="G55" s="172">
        <f t="shared" si="32"/>
        <v>0</v>
      </c>
      <c r="H55" s="172">
        <f t="shared" si="32"/>
        <v>0</v>
      </c>
      <c r="I55" s="172">
        <f t="shared" si="32"/>
        <v>0</v>
      </c>
      <c r="J55" s="172">
        <f t="shared" si="32"/>
        <v>0</v>
      </c>
      <c r="K55" s="167">
        <f>+SUM(K56:K58)</f>
        <v>0</v>
      </c>
      <c r="L55" s="182"/>
      <c r="M55" s="170"/>
      <c r="P55" s="167">
        <f>+K55-SUM(R55:BY55)</f>
        <v>0</v>
      </c>
      <c r="R55" s="167">
        <f>+SUM(R56:R58)</f>
        <v>0</v>
      </c>
      <c r="S55" s="167">
        <f t="shared" ref="S55:BY55" si="33">+SUM(S56:S58)</f>
        <v>0</v>
      </c>
      <c r="T55" s="167">
        <f t="shared" si="33"/>
        <v>0</v>
      </c>
      <c r="U55" s="167">
        <f t="shared" si="33"/>
        <v>0</v>
      </c>
      <c r="V55" s="167">
        <f t="shared" si="33"/>
        <v>0</v>
      </c>
      <c r="W55" s="167">
        <f t="shared" si="33"/>
        <v>0</v>
      </c>
      <c r="X55" s="167">
        <f t="shared" si="33"/>
        <v>0</v>
      </c>
      <c r="Y55" s="167">
        <f t="shared" si="33"/>
        <v>0</v>
      </c>
      <c r="Z55" s="167">
        <f t="shared" si="33"/>
        <v>0</v>
      </c>
      <c r="AA55" s="167">
        <f t="shared" si="33"/>
        <v>0</v>
      </c>
      <c r="AB55" s="167">
        <f t="shared" si="33"/>
        <v>0</v>
      </c>
      <c r="AC55" s="167">
        <f t="shared" si="33"/>
        <v>0</v>
      </c>
      <c r="AD55" s="167">
        <f t="shared" si="33"/>
        <v>0</v>
      </c>
      <c r="AE55" s="167">
        <f t="shared" si="33"/>
        <v>0</v>
      </c>
      <c r="AF55" s="167">
        <f t="shared" si="33"/>
        <v>0</v>
      </c>
      <c r="AG55" s="167">
        <f t="shared" si="33"/>
        <v>0</v>
      </c>
      <c r="AH55" s="167">
        <f t="shared" si="33"/>
        <v>0</v>
      </c>
      <c r="AI55" s="167">
        <f t="shared" si="33"/>
        <v>0</v>
      </c>
      <c r="AJ55" s="167">
        <f t="shared" si="33"/>
        <v>0</v>
      </c>
      <c r="AK55" s="167">
        <f t="shared" si="33"/>
        <v>0</v>
      </c>
      <c r="AL55" s="167">
        <f t="shared" si="33"/>
        <v>0</v>
      </c>
      <c r="AM55" s="167">
        <f t="shared" si="33"/>
        <v>0</v>
      </c>
      <c r="AN55" s="167">
        <f t="shared" si="33"/>
        <v>0</v>
      </c>
      <c r="AO55" s="167">
        <f t="shared" si="33"/>
        <v>0</v>
      </c>
      <c r="AP55" s="167">
        <f t="shared" si="33"/>
        <v>0</v>
      </c>
      <c r="AQ55" s="167">
        <f t="shared" si="33"/>
        <v>0</v>
      </c>
      <c r="AR55" s="167">
        <f t="shared" si="33"/>
        <v>0</v>
      </c>
      <c r="AS55" s="167">
        <f t="shared" si="33"/>
        <v>0</v>
      </c>
      <c r="AT55" s="167">
        <f t="shared" si="33"/>
        <v>0</v>
      </c>
      <c r="AU55" s="167">
        <f t="shared" si="33"/>
        <v>0</v>
      </c>
      <c r="AV55" s="167">
        <f t="shared" si="33"/>
        <v>0</v>
      </c>
      <c r="AW55" s="167">
        <f t="shared" si="33"/>
        <v>0</v>
      </c>
      <c r="AX55" s="167">
        <f t="shared" si="33"/>
        <v>0</v>
      </c>
      <c r="AY55" s="167">
        <f t="shared" si="33"/>
        <v>0</v>
      </c>
      <c r="AZ55" s="167">
        <f t="shared" si="33"/>
        <v>0</v>
      </c>
      <c r="BA55" s="167">
        <f t="shared" si="33"/>
        <v>0</v>
      </c>
      <c r="BB55" s="167">
        <f t="shared" si="33"/>
        <v>0</v>
      </c>
      <c r="BC55" s="167">
        <f t="shared" si="33"/>
        <v>0</v>
      </c>
      <c r="BD55" s="167">
        <f t="shared" si="33"/>
        <v>0</v>
      </c>
      <c r="BE55" s="167">
        <f t="shared" si="33"/>
        <v>0</v>
      </c>
      <c r="BF55" s="167">
        <f t="shared" si="33"/>
        <v>0</v>
      </c>
      <c r="BG55" s="167">
        <f t="shared" si="33"/>
        <v>0</v>
      </c>
      <c r="BH55" s="167">
        <f t="shared" si="33"/>
        <v>0</v>
      </c>
      <c r="BI55" s="167">
        <f t="shared" si="33"/>
        <v>0</v>
      </c>
      <c r="BJ55" s="167">
        <f t="shared" si="33"/>
        <v>0</v>
      </c>
      <c r="BK55" s="167">
        <f t="shared" si="33"/>
        <v>0</v>
      </c>
      <c r="BL55" s="167">
        <f t="shared" si="33"/>
        <v>0</v>
      </c>
      <c r="BM55" s="167">
        <f t="shared" si="33"/>
        <v>0</v>
      </c>
      <c r="BN55" s="167">
        <f t="shared" si="33"/>
        <v>0</v>
      </c>
      <c r="BO55" s="167">
        <f t="shared" si="33"/>
        <v>0</v>
      </c>
      <c r="BP55" s="167">
        <f t="shared" si="33"/>
        <v>0</v>
      </c>
      <c r="BQ55" s="167">
        <f t="shared" si="33"/>
        <v>0</v>
      </c>
      <c r="BR55" s="167">
        <f t="shared" si="33"/>
        <v>0</v>
      </c>
      <c r="BS55" s="167">
        <f t="shared" si="33"/>
        <v>0</v>
      </c>
      <c r="BT55" s="167">
        <f t="shared" si="33"/>
        <v>0</v>
      </c>
      <c r="BU55" s="167">
        <f t="shared" si="33"/>
        <v>0</v>
      </c>
      <c r="BV55" s="167">
        <f t="shared" si="33"/>
        <v>0</v>
      </c>
      <c r="BW55" s="167">
        <f t="shared" si="33"/>
        <v>0</v>
      </c>
      <c r="BX55" s="167">
        <f t="shared" si="33"/>
        <v>0</v>
      </c>
      <c r="BY55" s="167">
        <f t="shared" si="33"/>
        <v>0</v>
      </c>
    </row>
    <row r="56" outlineLevel="1" ht="14.5">
      <c r="A56" s="174" t="s">
        <v>1048</v>
      </c>
      <c r="B56" s="190"/>
      <c r="C56" s="185"/>
      <c r="D56" s="186"/>
      <c r="E56" s="176"/>
      <c r="F56" s="191"/>
      <c r="G56" s="176"/>
      <c r="H56" s="176"/>
      <c r="I56" s="176"/>
      <c r="J56" s="179">
        <f>+C56+E56+H56+I56+G56</f>
        <v>0</v>
      </c>
      <c r="K56" s="170">
        <f t="shared" ref="K56:K58" si="34">+B56+J56</f>
        <v>0</v>
      </c>
      <c r="M56" s="170"/>
      <c r="P56" s="141">
        <f t="shared" ref="P56:P57" si="35">K56-SUM(R56:BY56)</f>
        <v>0</v>
      </c>
      <c r="R56" s="134"/>
      <c r="S56" s="134"/>
      <c r="T56" s="134"/>
      <c r="U56" s="134"/>
      <c r="V56" s="134"/>
      <c r="W56" s="134"/>
      <c r="X56" s="134"/>
      <c r="Y56" s="134"/>
      <c r="Z56" s="134"/>
      <c r="AA56" s="134"/>
      <c r="AB56" s="134"/>
      <c r="AC56" s="134"/>
      <c r="AD56" s="134"/>
      <c r="AE56" s="134"/>
      <c r="AF56" s="134"/>
      <c r="AG56" s="134"/>
      <c r="AH56" s="134"/>
      <c r="AI56" s="134"/>
      <c r="AJ56" s="134"/>
      <c r="AK56" s="134"/>
      <c r="AL56" s="134"/>
      <c r="AM56" s="134"/>
      <c r="AN56" s="134"/>
      <c r="AO56" s="134"/>
      <c r="AP56" s="134"/>
      <c r="AQ56" s="134"/>
      <c r="AR56" s="134"/>
      <c r="AS56" s="134"/>
      <c r="AT56" s="134"/>
      <c r="AU56" s="134"/>
      <c r="AV56" s="134"/>
      <c r="AW56" s="134"/>
      <c r="AX56" s="134"/>
      <c r="AY56" s="134"/>
      <c r="AZ56" s="134"/>
      <c r="BA56" s="134"/>
      <c r="BB56" s="134"/>
      <c r="BC56" s="134"/>
      <c r="BD56" s="134"/>
      <c r="BE56" s="134"/>
      <c r="BF56" s="134"/>
      <c r="BG56" s="134"/>
      <c r="BH56" s="134"/>
      <c r="BI56" s="134"/>
      <c r="BJ56" s="134"/>
      <c r="BK56" s="134"/>
      <c r="BL56" s="134"/>
      <c r="BM56" s="134"/>
      <c r="BN56" s="134"/>
      <c r="BO56" s="134"/>
      <c r="BP56" s="134"/>
      <c r="BQ56" s="134"/>
      <c r="BR56" s="134"/>
      <c r="BS56" s="134"/>
      <c r="BT56" s="134"/>
      <c r="BU56" s="134"/>
      <c r="BV56" s="134"/>
      <c r="BW56" s="134"/>
      <c r="BX56" s="134"/>
      <c r="BY56" s="134"/>
    </row>
    <row r="57" outlineLevel="1" ht="14.5">
      <c r="A57" s="174" t="s">
        <v>1049</v>
      </c>
      <c r="B57" s="190"/>
      <c r="C57" s="185"/>
      <c r="D57" s="186"/>
      <c r="E57" s="176"/>
      <c r="F57" s="191"/>
      <c r="G57" s="176"/>
      <c r="H57" s="176"/>
      <c r="I57" s="176"/>
      <c r="J57" s="179">
        <f>+C57+E57+H57+I57+G57</f>
        <v>0</v>
      </c>
      <c r="K57" s="170">
        <f t="shared" si="34"/>
        <v>0</v>
      </c>
      <c r="M57" s="170"/>
      <c r="P57" s="141">
        <f t="shared" si="35"/>
        <v>0</v>
      </c>
      <c r="R57" s="134"/>
      <c r="S57" s="134"/>
      <c r="T57" s="134"/>
      <c r="U57" s="134"/>
      <c r="V57" s="134"/>
      <c r="W57" s="134"/>
      <c r="X57" s="134"/>
      <c r="Y57" s="134"/>
      <c r="Z57" s="134"/>
      <c r="AA57" s="134"/>
      <c r="AB57" s="134"/>
      <c r="AC57" s="134"/>
      <c r="AD57" s="134"/>
      <c r="AE57" s="134"/>
      <c r="AF57" s="134"/>
      <c r="AG57" s="134"/>
      <c r="AH57" s="134"/>
      <c r="AI57" s="134"/>
      <c r="AJ57" s="134"/>
      <c r="AK57" s="134"/>
      <c r="AL57" s="134"/>
      <c r="AM57" s="134"/>
      <c r="AN57" s="134"/>
      <c r="AO57" s="134"/>
      <c r="AP57" s="134"/>
      <c r="AQ57" s="134"/>
      <c r="AR57" s="134"/>
      <c r="AS57" s="134"/>
      <c r="AT57" s="134"/>
      <c r="AU57" s="134"/>
      <c r="AV57" s="134"/>
      <c r="AW57" s="134"/>
      <c r="AX57" s="134"/>
      <c r="AY57" s="134"/>
      <c r="AZ57" s="134"/>
      <c r="BA57" s="134"/>
      <c r="BB57" s="134"/>
      <c r="BC57" s="134"/>
      <c r="BD57" s="134"/>
      <c r="BE57" s="134"/>
      <c r="BF57" s="134"/>
      <c r="BG57" s="134"/>
      <c r="BH57" s="134"/>
      <c r="BI57" s="134"/>
      <c r="BJ57" s="134"/>
      <c r="BK57" s="134"/>
      <c r="BL57" s="134"/>
      <c r="BM57" s="134"/>
      <c r="BN57" s="134"/>
      <c r="BO57" s="134"/>
      <c r="BP57" s="134"/>
      <c r="BQ57" s="134"/>
      <c r="BR57" s="134"/>
      <c r="BS57" s="134"/>
      <c r="BT57" s="134"/>
      <c r="BU57" s="134"/>
      <c r="BV57" s="134"/>
      <c r="BW57" s="134"/>
      <c r="BX57" s="134"/>
      <c r="BY57" s="134"/>
    </row>
    <row r="58" outlineLevel="1" ht="14.5">
      <c r="A58" s="174" t="s">
        <v>1027</v>
      </c>
      <c r="B58" s="190"/>
      <c r="C58" s="185"/>
      <c r="D58" s="186"/>
      <c r="E58" s="176"/>
      <c r="F58" s="191"/>
      <c r="G58" s="176"/>
      <c r="H58" s="176"/>
      <c r="I58" s="176"/>
      <c r="J58" s="179">
        <f>+C58+E58+H58+I58+G58</f>
        <v>0</v>
      </c>
      <c r="K58" s="170">
        <f t="shared" si="34"/>
        <v>0</v>
      </c>
      <c r="M58" s="170"/>
      <c r="R58" s="134"/>
      <c r="S58" s="134"/>
      <c r="T58" s="134"/>
      <c r="U58" s="134"/>
      <c r="V58" s="134"/>
      <c r="W58" s="134"/>
      <c r="X58" s="134"/>
      <c r="Y58" s="134"/>
      <c r="Z58" s="134"/>
      <c r="AA58" s="134"/>
      <c r="AB58" s="134"/>
      <c r="AC58" s="134"/>
      <c r="AD58" s="134"/>
      <c r="AE58" s="134"/>
      <c r="AF58" s="134"/>
      <c r="AG58" s="134"/>
      <c r="AH58" s="134"/>
      <c r="AI58" s="134"/>
      <c r="AJ58" s="134"/>
      <c r="AK58" s="134"/>
      <c r="AL58" s="134"/>
      <c r="AM58" s="134"/>
      <c r="AN58" s="134"/>
      <c r="AO58" s="134"/>
      <c r="AP58" s="134"/>
      <c r="AQ58" s="134"/>
      <c r="AR58" s="134"/>
      <c r="AS58" s="134"/>
      <c r="AT58" s="134"/>
      <c r="AU58" s="134"/>
      <c r="AV58" s="134"/>
      <c r="AW58" s="134"/>
      <c r="AX58" s="134"/>
      <c r="AY58" s="134"/>
      <c r="AZ58" s="134"/>
      <c r="BA58" s="134"/>
      <c r="BB58" s="134"/>
      <c r="BC58" s="134"/>
      <c r="BD58" s="134"/>
      <c r="BE58" s="134"/>
      <c r="BF58" s="134"/>
      <c r="BG58" s="134"/>
      <c r="BH58" s="134"/>
      <c r="BI58" s="134"/>
      <c r="BJ58" s="134"/>
      <c r="BK58" s="134"/>
      <c r="BL58" s="134"/>
      <c r="BM58" s="134"/>
      <c r="BN58" s="134"/>
      <c r="BO58" s="134"/>
      <c r="BP58" s="134"/>
      <c r="BQ58" s="134"/>
      <c r="BR58" s="134"/>
      <c r="BS58" s="134"/>
      <c r="BT58" s="134"/>
      <c r="BU58" s="134"/>
      <c r="BV58" s="134"/>
      <c r="BW58" s="134"/>
      <c r="BX58" s="134"/>
      <c r="BY58" s="134"/>
    </row>
    <row r="59" ht="14.5">
      <c r="A59" s="166" t="s">
        <v>848</v>
      </c>
      <c r="B59" s="167">
        <f>SUMIF(Raccordo!F:F,$A59,Raccordo!J:J)</f>
        <v>0</v>
      </c>
      <c r="C59" s="187"/>
      <c r="D59" s="188"/>
      <c r="E59" s="172">
        <f t="shared" ref="E59:K59" si="36">+SUM(E60:E62)</f>
        <v>0</v>
      </c>
      <c r="F59" s="173"/>
      <c r="G59" s="172">
        <f t="shared" si="36"/>
        <v>0</v>
      </c>
      <c r="H59" s="172">
        <f t="shared" si="36"/>
        <v>0</v>
      </c>
      <c r="I59" s="172">
        <f t="shared" si="36"/>
        <v>0</v>
      </c>
      <c r="J59" s="172">
        <f t="shared" si="36"/>
        <v>0</v>
      </c>
      <c r="K59" s="167">
        <f t="shared" si="36"/>
        <v>0</v>
      </c>
      <c r="L59" s="182"/>
      <c r="M59" s="170"/>
      <c r="P59" s="167">
        <f>+K59-SUM(R59:BY59)</f>
        <v>0</v>
      </c>
      <c r="R59" s="167">
        <f>+SUM(R60:R62)</f>
        <v>0</v>
      </c>
      <c r="S59" s="167">
        <f t="shared" ref="S59:BY59" si="37">+SUM(S60:S62)</f>
        <v>0</v>
      </c>
      <c r="T59" s="167">
        <f t="shared" si="37"/>
        <v>0</v>
      </c>
      <c r="U59" s="167">
        <f t="shared" si="37"/>
        <v>0</v>
      </c>
      <c r="V59" s="167">
        <f t="shared" si="37"/>
        <v>0</v>
      </c>
      <c r="W59" s="167">
        <f t="shared" si="37"/>
        <v>0</v>
      </c>
      <c r="X59" s="167">
        <f t="shared" si="37"/>
        <v>0</v>
      </c>
      <c r="Y59" s="167">
        <f t="shared" si="37"/>
        <v>0</v>
      </c>
      <c r="Z59" s="167">
        <f t="shared" si="37"/>
        <v>0</v>
      </c>
      <c r="AA59" s="167">
        <f t="shared" si="37"/>
        <v>0</v>
      </c>
      <c r="AB59" s="167">
        <f t="shared" si="37"/>
        <v>0</v>
      </c>
      <c r="AC59" s="167">
        <f t="shared" si="37"/>
        <v>0</v>
      </c>
      <c r="AD59" s="167">
        <f t="shared" si="37"/>
        <v>0</v>
      </c>
      <c r="AE59" s="167">
        <f t="shared" si="37"/>
        <v>0</v>
      </c>
      <c r="AF59" s="167">
        <f t="shared" si="37"/>
        <v>0</v>
      </c>
      <c r="AG59" s="167">
        <f t="shared" si="37"/>
        <v>0</v>
      </c>
      <c r="AH59" s="167">
        <f t="shared" si="37"/>
        <v>0</v>
      </c>
      <c r="AI59" s="167">
        <f t="shared" si="37"/>
        <v>0</v>
      </c>
      <c r="AJ59" s="167">
        <f t="shared" si="37"/>
        <v>0</v>
      </c>
      <c r="AK59" s="167">
        <f t="shared" si="37"/>
        <v>0</v>
      </c>
      <c r="AL59" s="167">
        <f t="shared" si="37"/>
        <v>0</v>
      </c>
      <c r="AM59" s="167">
        <f t="shared" si="37"/>
        <v>0</v>
      </c>
      <c r="AN59" s="167">
        <f t="shared" si="37"/>
        <v>0</v>
      </c>
      <c r="AO59" s="167">
        <f t="shared" si="37"/>
        <v>0</v>
      </c>
      <c r="AP59" s="167">
        <f t="shared" si="37"/>
        <v>0</v>
      </c>
      <c r="AQ59" s="167">
        <f t="shared" si="37"/>
        <v>0</v>
      </c>
      <c r="AR59" s="167">
        <f t="shared" si="37"/>
        <v>0</v>
      </c>
      <c r="AS59" s="167">
        <f t="shared" si="37"/>
        <v>0</v>
      </c>
      <c r="AT59" s="167">
        <f t="shared" si="37"/>
        <v>0</v>
      </c>
      <c r="AU59" s="167">
        <f t="shared" si="37"/>
        <v>0</v>
      </c>
      <c r="AV59" s="167">
        <f t="shared" si="37"/>
        <v>0</v>
      </c>
      <c r="AW59" s="167">
        <f t="shared" si="37"/>
        <v>0</v>
      </c>
      <c r="AX59" s="167">
        <f t="shared" si="37"/>
        <v>0</v>
      </c>
      <c r="AY59" s="167">
        <f t="shared" si="37"/>
        <v>0</v>
      </c>
      <c r="AZ59" s="167">
        <f t="shared" si="37"/>
        <v>0</v>
      </c>
      <c r="BA59" s="167">
        <f t="shared" si="37"/>
        <v>0</v>
      </c>
      <c r="BB59" s="167">
        <f t="shared" si="37"/>
        <v>0</v>
      </c>
      <c r="BC59" s="167">
        <f t="shared" si="37"/>
        <v>0</v>
      </c>
      <c r="BD59" s="167">
        <f t="shared" si="37"/>
        <v>0</v>
      </c>
      <c r="BE59" s="167">
        <f t="shared" si="37"/>
        <v>0</v>
      </c>
      <c r="BF59" s="167">
        <f t="shared" si="37"/>
        <v>0</v>
      </c>
      <c r="BG59" s="167">
        <f t="shared" si="37"/>
        <v>0</v>
      </c>
      <c r="BH59" s="167">
        <f t="shared" si="37"/>
        <v>0</v>
      </c>
      <c r="BI59" s="167">
        <f t="shared" si="37"/>
        <v>0</v>
      </c>
      <c r="BJ59" s="167">
        <f t="shared" si="37"/>
        <v>0</v>
      </c>
      <c r="BK59" s="167">
        <f t="shared" si="37"/>
        <v>0</v>
      </c>
      <c r="BL59" s="167">
        <f t="shared" si="37"/>
        <v>0</v>
      </c>
      <c r="BM59" s="167">
        <f t="shared" si="37"/>
        <v>0</v>
      </c>
      <c r="BN59" s="167">
        <f t="shared" si="37"/>
        <v>0</v>
      </c>
      <c r="BO59" s="167">
        <f t="shared" si="37"/>
        <v>0</v>
      </c>
      <c r="BP59" s="167">
        <f t="shared" si="37"/>
        <v>0</v>
      </c>
      <c r="BQ59" s="167">
        <f t="shared" si="37"/>
        <v>0</v>
      </c>
      <c r="BR59" s="167">
        <f t="shared" si="37"/>
        <v>0</v>
      </c>
      <c r="BS59" s="167">
        <f t="shared" si="37"/>
        <v>0</v>
      </c>
      <c r="BT59" s="167">
        <f t="shared" si="37"/>
        <v>0</v>
      </c>
      <c r="BU59" s="167">
        <f t="shared" si="37"/>
        <v>0</v>
      </c>
      <c r="BV59" s="167">
        <f t="shared" si="37"/>
        <v>0</v>
      </c>
      <c r="BW59" s="167">
        <f t="shared" si="37"/>
        <v>0</v>
      </c>
      <c r="BX59" s="167">
        <f t="shared" si="37"/>
        <v>0</v>
      </c>
      <c r="BY59" s="167">
        <f t="shared" si="37"/>
        <v>0</v>
      </c>
    </row>
    <row r="60" outlineLevel="1" ht="14.5">
      <c r="A60" s="174" t="s">
        <v>1050</v>
      </c>
      <c r="B60" s="190"/>
      <c r="C60" s="185"/>
      <c r="D60" s="186"/>
      <c r="E60" s="176"/>
      <c r="F60" s="191"/>
      <c r="G60" s="176"/>
      <c r="H60" s="176"/>
      <c r="I60" s="176"/>
      <c r="J60" s="179">
        <f>+C60+E60+H60+I60+G60</f>
        <v>0</v>
      </c>
      <c r="K60" s="170">
        <f t="shared" ref="K60:K62" si="38">+B60+J60</f>
        <v>0</v>
      </c>
      <c r="M60" s="170"/>
      <c r="P60" s="141">
        <f t="shared" ref="P60:P61" si="39">K60-SUM(R60:BY60)</f>
        <v>0</v>
      </c>
      <c r="R60" s="134"/>
      <c r="S60" s="134"/>
      <c r="T60" s="134"/>
      <c r="U60" s="134"/>
      <c r="V60" s="134"/>
      <c r="W60" s="134"/>
      <c r="X60" s="134"/>
      <c r="Y60" s="134"/>
      <c r="Z60" s="134"/>
      <c r="AA60" s="134"/>
      <c r="AB60" s="134"/>
      <c r="AC60" s="134"/>
      <c r="AD60" s="134"/>
      <c r="AE60" s="134"/>
      <c r="AF60" s="134"/>
      <c r="AG60" s="134"/>
      <c r="AH60" s="134"/>
      <c r="AI60" s="134"/>
      <c r="AJ60" s="134"/>
      <c r="AK60" s="134"/>
      <c r="AL60" s="134"/>
      <c r="AM60" s="134"/>
      <c r="AN60" s="134"/>
      <c r="AO60" s="134"/>
      <c r="AP60" s="134"/>
      <c r="AQ60" s="134"/>
      <c r="AR60" s="134"/>
      <c r="AS60" s="134"/>
      <c r="AT60" s="134"/>
      <c r="AU60" s="134"/>
      <c r="AV60" s="134"/>
      <c r="AW60" s="134"/>
      <c r="AX60" s="134"/>
      <c r="AY60" s="134"/>
      <c r="AZ60" s="134"/>
      <c r="BA60" s="134"/>
      <c r="BB60" s="134"/>
      <c r="BC60" s="134"/>
      <c r="BD60" s="134"/>
      <c r="BE60" s="134"/>
      <c r="BF60" s="134"/>
      <c r="BG60" s="134"/>
      <c r="BH60" s="134"/>
      <c r="BI60" s="134"/>
      <c r="BJ60" s="134"/>
      <c r="BK60" s="134"/>
      <c r="BL60" s="134"/>
      <c r="BM60" s="134"/>
      <c r="BN60" s="134"/>
      <c r="BO60" s="134"/>
      <c r="BP60" s="134"/>
      <c r="BQ60" s="134"/>
      <c r="BR60" s="134"/>
      <c r="BS60" s="134"/>
      <c r="BT60" s="134"/>
      <c r="BU60" s="134"/>
      <c r="BV60" s="134"/>
      <c r="BW60" s="134"/>
      <c r="BX60" s="134"/>
      <c r="BY60" s="134"/>
    </row>
    <row r="61" outlineLevel="1" ht="14.5">
      <c r="A61" s="174" t="s">
        <v>1051</v>
      </c>
      <c r="B61" s="190"/>
      <c r="C61" s="185"/>
      <c r="D61" s="186"/>
      <c r="E61" s="176"/>
      <c r="F61" s="191"/>
      <c r="G61" s="176"/>
      <c r="H61" s="176"/>
      <c r="I61" s="176"/>
      <c r="J61" s="179">
        <f>+C61+E61+H61+I61+G61</f>
        <v>0</v>
      </c>
      <c r="K61" s="170">
        <f t="shared" si="38"/>
        <v>0</v>
      </c>
      <c r="M61" s="170"/>
      <c r="P61" s="141">
        <f t="shared" si="39"/>
        <v>0</v>
      </c>
      <c r="R61" s="134"/>
      <c r="S61" s="134"/>
      <c r="T61" s="134"/>
      <c r="U61" s="134"/>
      <c r="V61" s="134"/>
      <c r="W61" s="134"/>
      <c r="X61" s="134"/>
      <c r="Y61" s="134"/>
      <c r="Z61" s="134"/>
      <c r="AA61" s="134"/>
      <c r="AB61" s="134"/>
      <c r="AC61" s="134"/>
      <c r="AD61" s="134"/>
      <c r="AE61" s="134"/>
      <c r="AF61" s="134"/>
      <c r="AG61" s="134"/>
      <c r="AH61" s="134"/>
      <c r="AI61" s="134"/>
      <c r="AJ61" s="134"/>
      <c r="AK61" s="134"/>
      <c r="AL61" s="134"/>
      <c r="AM61" s="134"/>
      <c r="AN61" s="134"/>
      <c r="AO61" s="134"/>
      <c r="AP61" s="134"/>
      <c r="AQ61" s="134"/>
      <c r="AR61" s="134"/>
      <c r="AS61" s="134"/>
      <c r="AT61" s="134"/>
      <c r="AU61" s="134"/>
      <c r="AV61" s="134"/>
      <c r="AW61" s="134"/>
      <c r="AX61" s="134"/>
      <c r="AY61" s="134"/>
      <c r="AZ61" s="134"/>
      <c r="BA61" s="134"/>
      <c r="BB61" s="134"/>
      <c r="BC61" s="134"/>
      <c r="BD61" s="134"/>
      <c r="BE61" s="134"/>
      <c r="BF61" s="134"/>
      <c r="BG61" s="134"/>
      <c r="BH61" s="134"/>
      <c r="BI61" s="134"/>
      <c r="BJ61" s="134"/>
      <c r="BK61" s="134"/>
      <c r="BL61" s="134"/>
      <c r="BM61" s="134"/>
      <c r="BN61" s="134"/>
      <c r="BO61" s="134"/>
      <c r="BP61" s="134"/>
      <c r="BQ61" s="134"/>
      <c r="BR61" s="134"/>
      <c r="BS61" s="134"/>
      <c r="BT61" s="134"/>
      <c r="BU61" s="134"/>
      <c r="BV61" s="134"/>
      <c r="BW61" s="134"/>
      <c r="BX61" s="134"/>
      <c r="BY61" s="134"/>
    </row>
    <row r="62" outlineLevel="1" ht="14.5">
      <c r="A62" s="174" t="s">
        <v>1027</v>
      </c>
      <c r="B62" s="190"/>
      <c r="C62" s="185"/>
      <c r="D62" s="186"/>
      <c r="E62" s="176"/>
      <c r="F62" s="191"/>
      <c r="G62" s="176"/>
      <c r="H62" s="176"/>
      <c r="I62" s="176"/>
      <c r="J62" s="179">
        <f>+C62+E62+H62+I62+G62</f>
        <v>0</v>
      </c>
      <c r="K62" s="170">
        <f t="shared" si="38"/>
        <v>0</v>
      </c>
      <c r="M62" s="170"/>
      <c r="R62" s="134"/>
      <c r="S62" s="134"/>
      <c r="T62" s="134"/>
      <c r="U62" s="134"/>
      <c r="V62" s="134"/>
      <c r="W62" s="134"/>
      <c r="X62" s="134"/>
      <c r="Y62" s="134"/>
      <c r="Z62" s="134"/>
      <c r="AA62" s="134"/>
      <c r="AB62" s="134"/>
      <c r="AC62" s="134"/>
      <c r="AD62" s="134"/>
      <c r="AE62" s="134"/>
      <c r="AF62" s="134"/>
      <c r="AG62" s="134"/>
      <c r="AH62" s="134"/>
      <c r="AI62" s="134"/>
      <c r="AJ62" s="134"/>
      <c r="AK62" s="134"/>
      <c r="AL62" s="134"/>
      <c r="AM62" s="134"/>
      <c r="AN62" s="134"/>
      <c r="AO62" s="134"/>
      <c r="AP62" s="134"/>
      <c r="AQ62" s="134"/>
      <c r="AR62" s="134"/>
      <c r="AS62" s="134"/>
      <c r="AT62" s="134"/>
      <c r="AU62" s="134"/>
      <c r="AV62" s="134"/>
      <c r="AW62" s="134"/>
      <c r="AX62" s="134"/>
      <c r="AY62" s="134"/>
      <c r="AZ62" s="134"/>
      <c r="BA62" s="134"/>
      <c r="BB62" s="134"/>
      <c r="BC62" s="134"/>
      <c r="BD62" s="134"/>
      <c r="BE62" s="134"/>
      <c r="BF62" s="134"/>
      <c r="BG62" s="134"/>
      <c r="BH62" s="134"/>
      <c r="BI62" s="134"/>
      <c r="BJ62" s="134"/>
      <c r="BK62" s="134"/>
      <c r="BL62" s="134"/>
      <c r="BM62" s="134"/>
      <c r="BN62" s="134"/>
      <c r="BO62" s="134"/>
      <c r="BP62" s="134"/>
      <c r="BQ62" s="134"/>
      <c r="BR62" s="134"/>
      <c r="BS62" s="134"/>
      <c r="BT62" s="134"/>
      <c r="BU62" s="134"/>
      <c r="BV62" s="134"/>
      <c r="BW62" s="134"/>
      <c r="BX62" s="134"/>
      <c r="BY62" s="134"/>
    </row>
    <row r="63" ht="14.5">
      <c r="A63" s="166" t="s">
        <v>212</v>
      </c>
      <c r="B63" s="167">
        <f>SUMIF(Raccordo!F:F,$A63,Raccordo!J:J)</f>
        <v>0</v>
      </c>
      <c r="C63" s="187"/>
      <c r="D63" s="188"/>
      <c r="E63" s="172">
        <f>+SUM(E64:E66)</f>
        <v>0</v>
      </c>
      <c r="F63" s="173"/>
      <c r="G63" s="172">
        <f>+SUM(G64:G66)</f>
        <v>0</v>
      </c>
      <c r="H63" s="172">
        <f>+SUM(H64:H66)</f>
        <v>0</v>
      </c>
      <c r="I63" s="172">
        <f>+SUM(I64:I66)</f>
        <v>0</v>
      </c>
      <c r="J63" s="172">
        <f>+SUM(J64:J66)</f>
        <v>0</v>
      </c>
      <c r="K63" s="167">
        <f>+SUM(K64:K66)</f>
        <v>0</v>
      </c>
      <c r="L63" s="182"/>
      <c r="M63" s="170"/>
      <c r="P63" s="167">
        <f>+K63-SUM(R63:BY63)</f>
        <v>0</v>
      </c>
      <c r="R63" s="167">
        <f>+SUM(R64:R66)</f>
        <v>0</v>
      </c>
      <c r="S63" s="167">
        <f t="shared" ref="S63:BY63" si="40">+SUM(S64:S66)</f>
        <v>0</v>
      </c>
      <c r="T63" s="167">
        <f t="shared" si="40"/>
        <v>0</v>
      </c>
      <c r="U63" s="167">
        <f t="shared" si="40"/>
        <v>0</v>
      </c>
      <c r="V63" s="167">
        <f t="shared" si="40"/>
        <v>0</v>
      </c>
      <c r="W63" s="167">
        <f t="shared" si="40"/>
        <v>0</v>
      </c>
      <c r="X63" s="167">
        <f t="shared" si="40"/>
        <v>0</v>
      </c>
      <c r="Y63" s="167">
        <f t="shared" si="40"/>
        <v>0</v>
      </c>
      <c r="Z63" s="167">
        <f t="shared" si="40"/>
        <v>0</v>
      </c>
      <c r="AA63" s="167">
        <f t="shared" si="40"/>
        <v>0</v>
      </c>
      <c r="AB63" s="167">
        <f t="shared" si="40"/>
        <v>0</v>
      </c>
      <c r="AC63" s="167">
        <f t="shared" si="40"/>
        <v>0</v>
      </c>
      <c r="AD63" s="167">
        <f t="shared" si="40"/>
        <v>0</v>
      </c>
      <c r="AE63" s="167">
        <f t="shared" si="40"/>
        <v>0</v>
      </c>
      <c r="AF63" s="167">
        <f t="shared" si="40"/>
        <v>0</v>
      </c>
      <c r="AG63" s="167">
        <f t="shared" si="40"/>
        <v>0</v>
      </c>
      <c r="AH63" s="167">
        <f t="shared" si="40"/>
        <v>0</v>
      </c>
      <c r="AI63" s="167">
        <f t="shared" si="40"/>
        <v>0</v>
      </c>
      <c r="AJ63" s="167">
        <f t="shared" si="40"/>
        <v>0</v>
      </c>
      <c r="AK63" s="167">
        <f t="shared" si="40"/>
        <v>0</v>
      </c>
      <c r="AL63" s="167">
        <f t="shared" si="40"/>
        <v>0</v>
      </c>
      <c r="AM63" s="167">
        <f t="shared" si="40"/>
        <v>0</v>
      </c>
      <c r="AN63" s="167">
        <f t="shared" si="40"/>
        <v>0</v>
      </c>
      <c r="AO63" s="167">
        <f t="shared" si="40"/>
        <v>0</v>
      </c>
      <c r="AP63" s="167">
        <f t="shared" si="40"/>
        <v>0</v>
      </c>
      <c r="AQ63" s="167">
        <f t="shared" si="40"/>
        <v>0</v>
      </c>
      <c r="AR63" s="167">
        <f t="shared" si="40"/>
        <v>0</v>
      </c>
      <c r="AS63" s="167">
        <f t="shared" si="40"/>
        <v>0</v>
      </c>
      <c r="AT63" s="167">
        <f t="shared" si="40"/>
        <v>0</v>
      </c>
      <c r="AU63" s="167">
        <f t="shared" si="40"/>
        <v>0</v>
      </c>
      <c r="AV63" s="167">
        <f t="shared" si="40"/>
        <v>0</v>
      </c>
      <c r="AW63" s="167">
        <f t="shared" si="40"/>
        <v>0</v>
      </c>
      <c r="AX63" s="167">
        <f t="shared" si="40"/>
        <v>0</v>
      </c>
      <c r="AY63" s="167">
        <f t="shared" si="40"/>
        <v>0</v>
      </c>
      <c r="AZ63" s="167">
        <f t="shared" si="40"/>
        <v>0</v>
      </c>
      <c r="BA63" s="167">
        <f t="shared" si="40"/>
        <v>0</v>
      </c>
      <c r="BB63" s="167">
        <f t="shared" si="40"/>
        <v>0</v>
      </c>
      <c r="BC63" s="167">
        <f t="shared" si="40"/>
        <v>0</v>
      </c>
      <c r="BD63" s="167">
        <f t="shared" si="40"/>
        <v>0</v>
      </c>
      <c r="BE63" s="167">
        <f t="shared" si="40"/>
        <v>0</v>
      </c>
      <c r="BF63" s="167">
        <f t="shared" si="40"/>
        <v>0</v>
      </c>
      <c r="BG63" s="167">
        <f t="shared" si="40"/>
        <v>0</v>
      </c>
      <c r="BH63" s="167">
        <f t="shared" si="40"/>
        <v>0</v>
      </c>
      <c r="BI63" s="167">
        <f t="shared" si="40"/>
        <v>0</v>
      </c>
      <c r="BJ63" s="167">
        <f t="shared" si="40"/>
        <v>0</v>
      </c>
      <c r="BK63" s="167">
        <f t="shared" si="40"/>
        <v>0</v>
      </c>
      <c r="BL63" s="167">
        <f t="shared" si="40"/>
        <v>0</v>
      </c>
      <c r="BM63" s="167">
        <f t="shared" si="40"/>
        <v>0</v>
      </c>
      <c r="BN63" s="167">
        <f t="shared" si="40"/>
        <v>0</v>
      </c>
      <c r="BO63" s="167">
        <f t="shared" si="40"/>
        <v>0</v>
      </c>
      <c r="BP63" s="167">
        <f t="shared" si="40"/>
        <v>0</v>
      </c>
      <c r="BQ63" s="167">
        <f t="shared" si="40"/>
        <v>0</v>
      </c>
      <c r="BR63" s="167">
        <f t="shared" si="40"/>
        <v>0</v>
      </c>
      <c r="BS63" s="167">
        <f t="shared" si="40"/>
        <v>0</v>
      </c>
      <c r="BT63" s="167">
        <f t="shared" si="40"/>
        <v>0</v>
      </c>
      <c r="BU63" s="167">
        <f t="shared" si="40"/>
        <v>0</v>
      </c>
      <c r="BV63" s="167">
        <f t="shared" si="40"/>
        <v>0</v>
      </c>
      <c r="BW63" s="167">
        <f t="shared" si="40"/>
        <v>0</v>
      </c>
      <c r="BX63" s="167">
        <f t="shared" si="40"/>
        <v>0</v>
      </c>
      <c r="BY63" s="167">
        <f t="shared" si="40"/>
        <v>0</v>
      </c>
    </row>
    <row r="64" outlineLevel="1" s="4" customFormat="1" ht="14.5">
      <c r="A64" s="174" t="s">
        <v>1052</v>
      </c>
      <c r="B64" s="189"/>
      <c r="C64" s="185"/>
      <c r="D64" s="186"/>
      <c r="E64" s="176">
        <f>-B64</f>
        <v>0</v>
      </c>
      <c r="F64" s="191"/>
      <c r="G64" s="176"/>
      <c r="H64" s="176"/>
      <c r="I64" s="176"/>
      <c r="J64" s="179">
        <f>+C64+E64+H64+I64+G64</f>
        <v>0</v>
      </c>
      <c r="K64" s="170">
        <f t="shared" ref="K64:K66" si="41">+B64+J64</f>
        <v>0</v>
      </c>
      <c r="L64"/>
      <c r="M64" s="170"/>
      <c r="N64"/>
      <c r="O64"/>
      <c r="P64" s="141">
        <f t="shared" ref="P64:P65" si="42">K64-SUM(R64:BY64)</f>
        <v>0</v>
      </c>
      <c r="Q64"/>
      <c r="R64" s="192"/>
      <c r="S64" s="192"/>
      <c r="T64" s="192"/>
      <c r="U64" s="192"/>
      <c r="V64" s="192"/>
      <c r="W64" s="192"/>
      <c r="X64" s="192"/>
      <c r="Y64" s="192"/>
      <c r="Z64" s="192"/>
      <c r="AA64" s="192"/>
      <c r="AB64" s="192"/>
      <c r="AC64" s="192"/>
      <c r="AD64" s="192"/>
      <c r="AE64" s="192"/>
      <c r="AF64" s="192"/>
      <c r="AG64" s="192"/>
      <c r="AH64" s="192"/>
      <c r="AI64" s="192"/>
      <c r="AJ64" s="192"/>
      <c r="AK64" s="192"/>
      <c r="AL64" s="192"/>
      <c r="AM64" s="192"/>
      <c r="AN64" s="192"/>
      <c r="AO64" s="192"/>
      <c r="AP64" s="192"/>
      <c r="AQ64" s="192"/>
      <c r="AR64" s="192"/>
      <c r="AS64" s="192"/>
      <c r="AT64" s="192"/>
      <c r="AU64" s="192"/>
      <c r="AV64" s="192"/>
      <c r="AW64" s="192"/>
      <c r="AX64" s="192"/>
      <c r="AY64" s="192"/>
      <c r="AZ64" s="192"/>
      <c r="BA64" s="192"/>
      <c r="BB64" s="192"/>
      <c r="BC64" s="192"/>
      <c r="BD64" s="192"/>
      <c r="BE64" s="192"/>
      <c r="BF64" s="192"/>
      <c r="BG64" s="192"/>
      <c r="BH64" s="192"/>
      <c r="BI64" s="192"/>
      <c r="BJ64" s="192"/>
      <c r="BK64" s="192"/>
      <c r="BL64" s="192"/>
      <c r="BM64" s="192"/>
      <c r="BN64" s="192"/>
      <c r="BO64" s="192"/>
      <c r="BP64" s="192"/>
      <c r="BQ64" s="192"/>
      <c r="BR64" s="192"/>
      <c r="BS64" s="192"/>
      <c r="BT64" s="192"/>
      <c r="BU64" s="192"/>
      <c r="BV64" s="192"/>
      <c r="BW64" s="192"/>
      <c r="BX64" s="192"/>
      <c r="BY64" s="192"/>
    </row>
    <row r="65" outlineLevel="1" ht="14.5">
      <c r="A65" s="174" t="s">
        <v>1053</v>
      </c>
      <c r="B65" s="190"/>
      <c r="C65" s="185"/>
      <c r="D65" s="186"/>
      <c r="E65" s="176"/>
      <c r="F65" s="191"/>
      <c r="G65" s="176"/>
      <c r="H65" s="176"/>
      <c r="I65" s="176"/>
      <c r="J65" s="179">
        <f>+C65+E65+H65+I65+G65</f>
        <v>0</v>
      </c>
      <c r="K65" s="170">
        <f t="shared" si="41"/>
        <v>0</v>
      </c>
      <c r="M65" s="170"/>
      <c r="P65" s="141">
        <f t="shared" si="42"/>
        <v>0</v>
      </c>
      <c r="R65" s="134"/>
      <c r="S65" s="134"/>
      <c r="T65" s="134"/>
      <c r="U65" s="134"/>
      <c r="V65" s="134"/>
      <c r="W65" s="134"/>
      <c r="X65" s="134"/>
      <c r="Y65" s="134"/>
      <c r="Z65" s="134"/>
      <c r="AA65" s="134"/>
      <c r="AB65" s="134"/>
      <c r="AC65" s="134"/>
      <c r="AD65" s="134"/>
      <c r="AE65" s="134"/>
      <c r="AF65" s="134"/>
      <c r="AG65" s="134"/>
      <c r="AH65" s="134"/>
      <c r="AI65" s="134"/>
      <c r="AJ65" s="134"/>
      <c r="AK65" s="134"/>
      <c r="AL65" s="134"/>
      <c r="AM65" s="134"/>
      <c r="AN65" s="134"/>
      <c r="AO65" s="134"/>
      <c r="AP65" s="134"/>
      <c r="AQ65" s="134"/>
      <c r="AR65" s="134"/>
      <c r="AS65" s="134"/>
      <c r="AT65" s="134"/>
      <c r="AU65" s="134"/>
      <c r="AV65" s="134"/>
      <c r="AW65" s="134"/>
      <c r="AX65" s="134"/>
      <c r="AY65" s="134"/>
      <c r="AZ65" s="134"/>
      <c r="BA65" s="134"/>
      <c r="BB65" s="134"/>
      <c r="BC65" s="134"/>
      <c r="BD65" s="134"/>
      <c r="BE65" s="134"/>
      <c r="BF65" s="134"/>
      <c r="BG65" s="134"/>
      <c r="BH65" s="134"/>
      <c r="BI65" s="134"/>
      <c r="BJ65" s="134"/>
      <c r="BK65" s="134"/>
      <c r="BL65" s="134"/>
      <c r="BM65" s="134"/>
      <c r="BN65" s="134"/>
      <c r="BO65" s="134"/>
      <c r="BP65" s="134"/>
      <c r="BQ65" s="134"/>
      <c r="BR65" s="134"/>
      <c r="BS65" s="134"/>
      <c r="BT65" s="134"/>
      <c r="BU65" s="134"/>
      <c r="BV65" s="134"/>
      <c r="BW65" s="134"/>
      <c r="BX65" s="134"/>
      <c r="BY65" s="134"/>
    </row>
    <row r="66" outlineLevel="1" ht="14.5">
      <c r="A66" s="174" t="s">
        <v>1027</v>
      </c>
      <c r="B66" s="190"/>
      <c r="C66" s="185"/>
      <c r="D66" s="186"/>
      <c r="E66" s="176"/>
      <c r="F66" s="191"/>
      <c r="G66" s="176"/>
      <c r="H66" s="176"/>
      <c r="I66" s="176"/>
      <c r="J66" s="179">
        <f>+C66+E66+H66+I66+G66</f>
        <v>0</v>
      </c>
      <c r="K66" s="170">
        <f t="shared" si="41"/>
        <v>0</v>
      </c>
      <c r="M66" s="170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4"/>
      <c r="AH66" s="134"/>
      <c r="AI66" s="134"/>
      <c r="AJ66" s="134"/>
      <c r="AK66" s="134"/>
      <c r="AL66" s="134"/>
      <c r="AM66" s="134"/>
      <c r="AN66" s="134"/>
      <c r="AO66" s="134"/>
      <c r="AP66" s="134"/>
      <c r="AQ66" s="134"/>
      <c r="AR66" s="134"/>
      <c r="AS66" s="134"/>
      <c r="AT66" s="134"/>
      <c r="AU66" s="134"/>
      <c r="AV66" s="134"/>
      <c r="AW66" s="134"/>
      <c r="AX66" s="134"/>
      <c r="AY66" s="134"/>
      <c r="AZ66" s="134"/>
      <c r="BA66" s="134"/>
      <c r="BB66" s="134"/>
      <c r="BC66" s="134"/>
      <c r="BD66" s="134"/>
      <c r="BE66" s="134"/>
      <c r="BF66" s="134"/>
      <c r="BG66" s="134"/>
      <c r="BH66" s="134"/>
      <c r="BI66" s="134"/>
      <c r="BJ66" s="134"/>
      <c r="BK66" s="134"/>
      <c r="BL66" s="134"/>
      <c r="BM66" s="134"/>
      <c r="BN66" s="134"/>
      <c r="BO66" s="134"/>
      <c r="BP66" s="134"/>
      <c r="BQ66" s="134"/>
      <c r="BR66" s="134"/>
      <c r="BS66" s="134"/>
      <c r="BT66" s="134"/>
      <c r="BU66" s="134"/>
      <c r="BV66" s="134"/>
      <c r="BW66" s="134"/>
      <c r="BX66" s="134"/>
      <c r="BY66" s="134"/>
    </row>
    <row r="67" ht="14.5">
      <c r="A67" s="166" t="s">
        <v>733</v>
      </c>
      <c r="B67" s="167">
        <f>SUMIF(Raccordo!F:F,$A67,Raccordo!J:J)</f>
        <v>0</v>
      </c>
      <c r="C67" s="187"/>
      <c r="D67" s="188"/>
      <c r="E67" s="172">
        <f t="shared" ref="E67:K67" si="43">+SUM(E68:E70)</f>
        <v>0</v>
      </c>
      <c r="F67" s="173"/>
      <c r="G67" s="172">
        <f t="shared" si="43"/>
        <v>0</v>
      </c>
      <c r="H67" s="172">
        <f t="shared" si="43"/>
        <v>0</v>
      </c>
      <c r="I67" s="172">
        <f t="shared" si="43"/>
        <v>0</v>
      </c>
      <c r="J67" s="172">
        <f t="shared" si="43"/>
        <v>0</v>
      </c>
      <c r="K67" s="167">
        <f t="shared" si="43"/>
        <v>0</v>
      </c>
      <c r="L67" s="182"/>
      <c r="M67" s="170"/>
      <c r="P67" s="167">
        <f>+K67-SUM(R67:BY67)</f>
        <v>0</v>
      </c>
      <c r="R67" s="167">
        <f>+SUM(R68:R70)</f>
        <v>0</v>
      </c>
      <c r="S67" s="167">
        <f t="shared" ref="S67:BY67" si="44">+SUM(S68:S70)</f>
        <v>0</v>
      </c>
      <c r="T67" s="167">
        <f t="shared" si="44"/>
        <v>0</v>
      </c>
      <c r="U67" s="167">
        <f t="shared" si="44"/>
        <v>0</v>
      </c>
      <c r="V67" s="167">
        <f t="shared" si="44"/>
        <v>0</v>
      </c>
      <c r="W67" s="167">
        <f t="shared" si="44"/>
        <v>0</v>
      </c>
      <c r="X67" s="167">
        <f t="shared" si="44"/>
        <v>0</v>
      </c>
      <c r="Y67" s="167">
        <f t="shared" si="44"/>
        <v>0</v>
      </c>
      <c r="Z67" s="167">
        <f t="shared" si="44"/>
        <v>0</v>
      </c>
      <c r="AA67" s="167">
        <f t="shared" si="44"/>
        <v>0</v>
      </c>
      <c r="AB67" s="167">
        <f t="shared" si="44"/>
        <v>0</v>
      </c>
      <c r="AC67" s="167">
        <f t="shared" si="44"/>
        <v>0</v>
      </c>
      <c r="AD67" s="167">
        <f t="shared" si="44"/>
        <v>0</v>
      </c>
      <c r="AE67" s="167">
        <f t="shared" si="44"/>
        <v>0</v>
      </c>
      <c r="AF67" s="167">
        <f t="shared" si="44"/>
        <v>0</v>
      </c>
      <c r="AG67" s="167">
        <f t="shared" si="44"/>
        <v>0</v>
      </c>
      <c r="AH67" s="167">
        <f t="shared" si="44"/>
        <v>0</v>
      </c>
      <c r="AI67" s="167">
        <f t="shared" si="44"/>
        <v>0</v>
      </c>
      <c r="AJ67" s="167">
        <f t="shared" si="44"/>
        <v>0</v>
      </c>
      <c r="AK67" s="167">
        <f t="shared" si="44"/>
        <v>0</v>
      </c>
      <c r="AL67" s="167">
        <f t="shared" si="44"/>
        <v>0</v>
      </c>
      <c r="AM67" s="167">
        <f t="shared" si="44"/>
        <v>0</v>
      </c>
      <c r="AN67" s="167">
        <f t="shared" si="44"/>
        <v>0</v>
      </c>
      <c r="AO67" s="167">
        <f t="shared" si="44"/>
        <v>0</v>
      </c>
      <c r="AP67" s="167">
        <f t="shared" si="44"/>
        <v>0</v>
      </c>
      <c r="AQ67" s="167">
        <f t="shared" si="44"/>
        <v>0</v>
      </c>
      <c r="AR67" s="167">
        <f t="shared" si="44"/>
        <v>0</v>
      </c>
      <c r="AS67" s="167">
        <f t="shared" si="44"/>
        <v>0</v>
      </c>
      <c r="AT67" s="167">
        <f t="shared" si="44"/>
        <v>0</v>
      </c>
      <c r="AU67" s="167">
        <f t="shared" si="44"/>
        <v>0</v>
      </c>
      <c r="AV67" s="167">
        <f t="shared" si="44"/>
        <v>0</v>
      </c>
      <c r="AW67" s="167">
        <f t="shared" si="44"/>
        <v>0</v>
      </c>
      <c r="AX67" s="167">
        <f t="shared" si="44"/>
        <v>0</v>
      </c>
      <c r="AY67" s="167">
        <f t="shared" si="44"/>
        <v>0</v>
      </c>
      <c r="AZ67" s="167">
        <f t="shared" si="44"/>
        <v>0</v>
      </c>
      <c r="BA67" s="167">
        <f t="shared" si="44"/>
        <v>0</v>
      </c>
      <c r="BB67" s="167">
        <f t="shared" si="44"/>
        <v>0</v>
      </c>
      <c r="BC67" s="167">
        <f t="shared" si="44"/>
        <v>0</v>
      </c>
      <c r="BD67" s="167">
        <f t="shared" si="44"/>
        <v>0</v>
      </c>
      <c r="BE67" s="167">
        <f t="shared" si="44"/>
        <v>0</v>
      </c>
      <c r="BF67" s="167">
        <f t="shared" si="44"/>
        <v>0</v>
      </c>
      <c r="BG67" s="167">
        <f t="shared" si="44"/>
        <v>0</v>
      </c>
      <c r="BH67" s="167">
        <f t="shared" si="44"/>
        <v>0</v>
      </c>
      <c r="BI67" s="167">
        <f t="shared" si="44"/>
        <v>0</v>
      </c>
      <c r="BJ67" s="167">
        <f t="shared" si="44"/>
        <v>0</v>
      </c>
      <c r="BK67" s="167">
        <f t="shared" si="44"/>
        <v>0</v>
      </c>
      <c r="BL67" s="167">
        <f t="shared" si="44"/>
        <v>0</v>
      </c>
      <c r="BM67" s="167">
        <f t="shared" si="44"/>
        <v>0</v>
      </c>
      <c r="BN67" s="167">
        <f t="shared" si="44"/>
        <v>0</v>
      </c>
      <c r="BO67" s="167">
        <f t="shared" si="44"/>
        <v>0</v>
      </c>
      <c r="BP67" s="167">
        <f t="shared" si="44"/>
        <v>0</v>
      </c>
      <c r="BQ67" s="167">
        <f t="shared" si="44"/>
        <v>0</v>
      </c>
      <c r="BR67" s="167">
        <f t="shared" si="44"/>
        <v>0</v>
      </c>
      <c r="BS67" s="167">
        <f t="shared" si="44"/>
        <v>0</v>
      </c>
      <c r="BT67" s="167">
        <f t="shared" si="44"/>
        <v>0</v>
      </c>
      <c r="BU67" s="167">
        <f t="shared" si="44"/>
        <v>0</v>
      </c>
      <c r="BV67" s="167">
        <f t="shared" si="44"/>
        <v>0</v>
      </c>
      <c r="BW67" s="167">
        <f t="shared" si="44"/>
        <v>0</v>
      </c>
      <c r="BX67" s="167">
        <f t="shared" si="44"/>
        <v>0</v>
      </c>
      <c r="BY67" s="167">
        <f t="shared" si="44"/>
        <v>0</v>
      </c>
    </row>
    <row r="68" outlineLevel="1" ht="14.5">
      <c r="A68" s="174" t="s">
        <v>1054</v>
      </c>
      <c r="B68" s="189"/>
      <c r="C68" s="185"/>
      <c r="D68" s="186"/>
      <c r="E68" s="176">
        <f>-B68</f>
        <v>0</v>
      </c>
      <c r="F68" s="191"/>
      <c r="G68" s="176"/>
      <c r="H68" s="176"/>
      <c r="I68" s="176"/>
      <c r="J68" s="193">
        <f>+C68+E68+H68+I68+G68</f>
        <v>0</v>
      </c>
      <c r="K68" s="191">
        <f t="shared" ref="K68:K70" si="45">+B68+J68</f>
        <v>0</v>
      </c>
      <c r="M68" s="170"/>
      <c r="P68" s="141">
        <f t="shared" ref="P68:P69" si="46">K68-SUM(R68:BY68)</f>
        <v>0</v>
      </c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4"/>
      <c r="AH68" s="134"/>
      <c r="AI68" s="134"/>
      <c r="AJ68" s="134"/>
      <c r="AK68" s="134"/>
      <c r="AL68" s="134"/>
      <c r="AM68" s="134"/>
      <c r="AN68" s="134"/>
      <c r="AO68" s="134"/>
      <c r="AP68" s="134"/>
      <c r="AQ68" s="134"/>
      <c r="AR68" s="134"/>
      <c r="AS68" s="134"/>
      <c r="AT68" s="134"/>
      <c r="AU68" s="134"/>
      <c r="AV68" s="134"/>
      <c r="AW68" s="134"/>
      <c r="AX68" s="134"/>
      <c r="AY68" s="134"/>
      <c r="AZ68" s="134"/>
      <c r="BA68" s="134"/>
      <c r="BB68" s="134"/>
      <c r="BC68" s="134"/>
      <c r="BD68" s="134"/>
      <c r="BE68" s="134"/>
      <c r="BF68" s="134"/>
      <c r="BG68" s="134"/>
      <c r="BH68" s="134"/>
      <c r="BI68" s="134"/>
      <c r="BJ68" s="134"/>
      <c r="BK68" s="134"/>
      <c r="BL68" s="134"/>
      <c r="BM68" s="134"/>
      <c r="BN68" s="134"/>
      <c r="BO68" s="134"/>
      <c r="BP68" s="134"/>
      <c r="BQ68" s="134"/>
      <c r="BR68" s="134"/>
      <c r="BS68" s="134"/>
      <c r="BT68" s="134"/>
      <c r="BU68" s="134"/>
      <c r="BV68" s="134"/>
      <c r="BW68" s="134"/>
      <c r="BX68" s="134"/>
      <c r="BY68" s="134"/>
    </row>
    <row r="69" outlineLevel="1" ht="14.5">
      <c r="A69" s="174"/>
      <c r="B69" s="190"/>
      <c r="C69" s="185"/>
      <c r="D69" s="186"/>
      <c r="E69" s="176"/>
      <c r="F69" s="191"/>
      <c r="G69" s="176"/>
      <c r="H69" s="176"/>
      <c r="I69" s="176"/>
      <c r="J69" s="193">
        <f>+C69+E69+H69+I69+G69</f>
        <v>0</v>
      </c>
      <c r="K69" s="191">
        <f t="shared" si="45"/>
        <v>0</v>
      </c>
      <c r="M69" s="170"/>
      <c r="P69" s="141">
        <f t="shared" si="46"/>
        <v>0</v>
      </c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4"/>
      <c r="AH69" s="134"/>
      <c r="AI69" s="134"/>
      <c r="AJ69" s="134"/>
      <c r="AK69" s="134"/>
      <c r="AL69" s="134"/>
      <c r="AM69" s="134"/>
      <c r="AN69" s="134"/>
      <c r="AO69" s="134"/>
      <c r="AP69" s="134"/>
      <c r="AQ69" s="134"/>
      <c r="AR69" s="134"/>
      <c r="AS69" s="134"/>
      <c r="AT69" s="134"/>
      <c r="AU69" s="134"/>
      <c r="AV69" s="134"/>
      <c r="AW69" s="134"/>
      <c r="AX69" s="134"/>
      <c r="AY69" s="134"/>
      <c r="AZ69" s="134"/>
      <c r="BA69" s="134"/>
      <c r="BB69" s="134"/>
      <c r="BC69" s="134"/>
      <c r="BD69" s="134"/>
      <c r="BE69" s="134"/>
      <c r="BF69" s="134"/>
      <c r="BG69" s="134"/>
      <c r="BH69" s="134"/>
      <c r="BI69" s="134"/>
      <c r="BJ69" s="134"/>
      <c r="BK69" s="134"/>
      <c r="BL69" s="134"/>
      <c r="BM69" s="134"/>
      <c r="BN69" s="134"/>
      <c r="BO69" s="134"/>
      <c r="BP69" s="134"/>
      <c r="BQ69" s="134"/>
      <c r="BR69" s="134"/>
      <c r="BS69" s="134"/>
      <c r="BT69" s="134"/>
      <c r="BU69" s="134"/>
      <c r="BV69" s="134"/>
      <c r="BW69" s="134"/>
      <c r="BX69" s="134"/>
      <c r="BY69" s="134"/>
    </row>
    <row r="70" outlineLevel="1" ht="14.5">
      <c r="A70" s="174" t="s">
        <v>1027</v>
      </c>
      <c r="B70" s="190"/>
      <c r="C70" s="185"/>
      <c r="D70" s="186"/>
      <c r="E70" s="176"/>
      <c r="F70" s="191"/>
      <c r="G70" s="176"/>
      <c r="H70" s="176"/>
      <c r="I70" s="176"/>
      <c r="J70" s="193">
        <f>+C70+E70+H70+I70+G70</f>
        <v>0</v>
      </c>
      <c r="K70" s="191">
        <f t="shared" si="45"/>
        <v>0</v>
      </c>
      <c r="M70" s="170"/>
      <c r="R70" s="134"/>
      <c r="S70" s="134"/>
      <c r="T70" s="134"/>
      <c r="U70" s="134"/>
      <c r="V70" s="134"/>
      <c r="W70" s="134"/>
      <c r="X70" s="134"/>
      <c r="Y70" s="134"/>
      <c r="Z70" s="134"/>
      <c r="AA70" s="134"/>
      <c r="AB70" s="134"/>
      <c r="AC70" s="134"/>
      <c r="AD70" s="134"/>
      <c r="AE70" s="134"/>
      <c r="AF70" s="134"/>
      <c r="AG70" s="134"/>
      <c r="AH70" s="134"/>
      <c r="AI70" s="134"/>
      <c r="AJ70" s="134"/>
      <c r="AK70" s="134"/>
      <c r="AL70" s="134"/>
      <c r="AM70" s="134"/>
      <c r="AN70" s="134"/>
      <c r="AO70" s="134"/>
      <c r="AP70" s="134"/>
      <c r="AQ70" s="134"/>
      <c r="AR70" s="134"/>
      <c r="AS70" s="134"/>
      <c r="AT70" s="134"/>
      <c r="AU70" s="134"/>
      <c r="AV70" s="134"/>
      <c r="AW70" s="134"/>
      <c r="AX70" s="134"/>
      <c r="AY70" s="134"/>
      <c r="AZ70" s="134"/>
      <c r="BA70" s="134"/>
      <c r="BB70" s="134"/>
      <c r="BC70" s="134"/>
      <c r="BD70" s="134"/>
      <c r="BE70" s="134"/>
      <c r="BF70" s="134"/>
      <c r="BG70" s="134"/>
      <c r="BH70" s="134"/>
      <c r="BI70" s="134"/>
      <c r="BJ70" s="134"/>
      <c r="BK70" s="134"/>
      <c r="BL70" s="134"/>
      <c r="BM70" s="134"/>
      <c r="BN70" s="134"/>
      <c r="BO70" s="134"/>
      <c r="BP70" s="134"/>
      <c r="BQ70" s="134"/>
      <c r="BR70" s="134"/>
      <c r="BS70" s="134"/>
      <c r="BT70" s="134"/>
      <c r="BU70" s="134"/>
      <c r="BV70" s="134"/>
      <c r="BW70" s="134"/>
      <c r="BX70" s="134"/>
      <c r="BY70" s="134"/>
    </row>
    <row r="71" ht="14.5">
      <c r="A71" s="166" t="s">
        <v>740</v>
      </c>
      <c r="B71" s="167">
        <f>SUMIF(Raccordo!F:F,$A71,Raccordo!J:J)</f>
        <v>0</v>
      </c>
      <c r="C71" s="187"/>
      <c r="D71" s="188"/>
      <c r="E71" s="172">
        <f t="shared" ref="E71:K71" si="47">+SUM(E72:E74)</f>
        <v>0</v>
      </c>
      <c r="F71" s="173"/>
      <c r="G71" s="172">
        <f t="shared" si="47"/>
        <v>0</v>
      </c>
      <c r="H71" s="172">
        <f t="shared" si="47"/>
        <v>0</v>
      </c>
      <c r="I71" s="172">
        <f t="shared" si="47"/>
        <v>0</v>
      </c>
      <c r="J71" s="172">
        <f t="shared" si="47"/>
        <v>0</v>
      </c>
      <c r="K71" s="167">
        <f t="shared" si="47"/>
        <v>0</v>
      </c>
      <c r="L71" s="182"/>
      <c r="M71" s="170"/>
      <c r="P71" s="167">
        <f>+K71-SUM(R71:BY71)</f>
        <v>0</v>
      </c>
      <c r="R71" s="167">
        <f>+SUM(R72:R74)</f>
        <v>0</v>
      </c>
      <c r="S71" s="167">
        <f t="shared" ref="S71:BY71" si="48">+SUM(S72:S74)</f>
        <v>0</v>
      </c>
      <c r="T71" s="167">
        <f t="shared" si="48"/>
        <v>0</v>
      </c>
      <c r="U71" s="167">
        <f t="shared" si="48"/>
        <v>0</v>
      </c>
      <c r="V71" s="167">
        <f t="shared" si="48"/>
        <v>0</v>
      </c>
      <c r="W71" s="167">
        <f t="shared" si="48"/>
        <v>0</v>
      </c>
      <c r="X71" s="167">
        <f t="shared" si="48"/>
        <v>0</v>
      </c>
      <c r="Y71" s="167">
        <f t="shared" si="48"/>
        <v>0</v>
      </c>
      <c r="Z71" s="167">
        <f t="shared" si="48"/>
        <v>0</v>
      </c>
      <c r="AA71" s="167">
        <f t="shared" si="48"/>
        <v>0</v>
      </c>
      <c r="AB71" s="167">
        <f t="shared" si="48"/>
        <v>0</v>
      </c>
      <c r="AC71" s="167">
        <f t="shared" si="48"/>
        <v>0</v>
      </c>
      <c r="AD71" s="167">
        <f t="shared" si="48"/>
        <v>0</v>
      </c>
      <c r="AE71" s="167">
        <f t="shared" si="48"/>
        <v>0</v>
      </c>
      <c r="AF71" s="167">
        <f t="shared" si="48"/>
        <v>0</v>
      </c>
      <c r="AG71" s="167">
        <f t="shared" si="48"/>
        <v>0</v>
      </c>
      <c r="AH71" s="167">
        <f t="shared" si="48"/>
        <v>0</v>
      </c>
      <c r="AI71" s="167">
        <f t="shared" si="48"/>
        <v>0</v>
      </c>
      <c r="AJ71" s="167">
        <f t="shared" si="48"/>
        <v>0</v>
      </c>
      <c r="AK71" s="167">
        <f t="shared" si="48"/>
        <v>0</v>
      </c>
      <c r="AL71" s="167">
        <f t="shared" si="48"/>
        <v>0</v>
      </c>
      <c r="AM71" s="167">
        <f t="shared" si="48"/>
        <v>0</v>
      </c>
      <c r="AN71" s="167">
        <f t="shared" si="48"/>
        <v>0</v>
      </c>
      <c r="AO71" s="167">
        <f t="shared" si="48"/>
        <v>0</v>
      </c>
      <c r="AP71" s="167">
        <f t="shared" si="48"/>
        <v>0</v>
      </c>
      <c r="AQ71" s="167">
        <f t="shared" si="48"/>
        <v>0</v>
      </c>
      <c r="AR71" s="167">
        <f t="shared" si="48"/>
        <v>0</v>
      </c>
      <c r="AS71" s="167">
        <f t="shared" si="48"/>
        <v>0</v>
      </c>
      <c r="AT71" s="167">
        <f t="shared" si="48"/>
        <v>0</v>
      </c>
      <c r="AU71" s="167">
        <f t="shared" si="48"/>
        <v>0</v>
      </c>
      <c r="AV71" s="167">
        <f t="shared" si="48"/>
        <v>0</v>
      </c>
      <c r="AW71" s="167">
        <f t="shared" si="48"/>
        <v>0</v>
      </c>
      <c r="AX71" s="167">
        <f t="shared" si="48"/>
        <v>0</v>
      </c>
      <c r="AY71" s="167">
        <f t="shared" si="48"/>
        <v>0</v>
      </c>
      <c r="AZ71" s="167">
        <f t="shared" si="48"/>
        <v>0</v>
      </c>
      <c r="BA71" s="167">
        <f t="shared" si="48"/>
        <v>0</v>
      </c>
      <c r="BB71" s="167">
        <f t="shared" si="48"/>
        <v>0</v>
      </c>
      <c r="BC71" s="167">
        <f t="shared" si="48"/>
        <v>0</v>
      </c>
      <c r="BD71" s="167">
        <f t="shared" si="48"/>
        <v>0</v>
      </c>
      <c r="BE71" s="167">
        <f t="shared" si="48"/>
        <v>0</v>
      </c>
      <c r="BF71" s="167">
        <f t="shared" si="48"/>
        <v>0</v>
      </c>
      <c r="BG71" s="167">
        <f t="shared" si="48"/>
        <v>0</v>
      </c>
      <c r="BH71" s="167">
        <f t="shared" si="48"/>
        <v>0</v>
      </c>
      <c r="BI71" s="167">
        <f t="shared" si="48"/>
        <v>0</v>
      </c>
      <c r="BJ71" s="167">
        <f t="shared" si="48"/>
        <v>0</v>
      </c>
      <c r="BK71" s="167">
        <f t="shared" si="48"/>
        <v>0</v>
      </c>
      <c r="BL71" s="167">
        <f t="shared" si="48"/>
        <v>0</v>
      </c>
      <c r="BM71" s="167">
        <f t="shared" si="48"/>
        <v>0</v>
      </c>
      <c r="BN71" s="167">
        <f t="shared" si="48"/>
        <v>0</v>
      </c>
      <c r="BO71" s="167">
        <f t="shared" si="48"/>
        <v>0</v>
      </c>
      <c r="BP71" s="167">
        <f t="shared" si="48"/>
        <v>0</v>
      </c>
      <c r="BQ71" s="167">
        <f t="shared" si="48"/>
        <v>0</v>
      </c>
      <c r="BR71" s="167">
        <f t="shared" si="48"/>
        <v>0</v>
      </c>
      <c r="BS71" s="167">
        <f t="shared" si="48"/>
        <v>0</v>
      </c>
      <c r="BT71" s="167">
        <f t="shared" si="48"/>
        <v>0</v>
      </c>
      <c r="BU71" s="167">
        <f t="shared" si="48"/>
        <v>0</v>
      </c>
      <c r="BV71" s="167">
        <f t="shared" si="48"/>
        <v>0</v>
      </c>
      <c r="BW71" s="167">
        <f t="shared" si="48"/>
        <v>0</v>
      </c>
      <c r="BX71" s="167">
        <f t="shared" si="48"/>
        <v>0</v>
      </c>
      <c r="BY71" s="167">
        <f t="shared" si="48"/>
        <v>0</v>
      </c>
    </row>
    <row r="72" outlineLevel="1" ht="14.5">
      <c r="A72" s="174" t="s">
        <v>1055</v>
      </c>
      <c r="B72" s="189"/>
      <c r="C72" s="185"/>
      <c r="D72" s="186"/>
      <c r="E72" s="176"/>
      <c r="F72" s="191"/>
      <c r="G72" s="176"/>
      <c r="H72" s="176"/>
      <c r="I72" s="176"/>
      <c r="J72" s="179">
        <f>+C72+E72+H72+I72+G72</f>
        <v>0</v>
      </c>
      <c r="K72" s="170">
        <f t="shared" ref="K72:K74" si="49">+B72+J72</f>
        <v>0</v>
      </c>
      <c r="M72" s="170"/>
      <c r="P72" s="141">
        <f t="shared" ref="P72:P73" si="50">K72-SUM(R72:BY72)</f>
        <v>0</v>
      </c>
      <c r="R72" s="134"/>
      <c r="S72" s="134"/>
      <c r="T72" s="134"/>
      <c r="U72" s="134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4"/>
      <c r="AH72" s="134"/>
      <c r="AI72" s="134"/>
      <c r="AJ72" s="134"/>
      <c r="AK72" s="134"/>
      <c r="AL72" s="134"/>
      <c r="AM72" s="134"/>
      <c r="AN72" s="134"/>
      <c r="AO72" s="134"/>
      <c r="AP72" s="134"/>
      <c r="AQ72" s="134"/>
      <c r="AR72" s="134"/>
      <c r="AS72" s="134"/>
      <c r="AT72" s="134"/>
      <c r="AU72" s="134"/>
      <c r="AV72" s="134"/>
      <c r="AW72" s="134"/>
      <c r="AX72" s="134"/>
      <c r="AY72" s="134"/>
      <c r="AZ72" s="134"/>
      <c r="BA72" s="134"/>
      <c r="BB72" s="134"/>
      <c r="BC72" s="134"/>
      <c r="BD72" s="134"/>
      <c r="BE72" s="134"/>
      <c r="BF72" s="134"/>
      <c r="BG72" s="134"/>
      <c r="BH72" s="134"/>
      <c r="BI72" s="134"/>
      <c r="BJ72" s="134"/>
      <c r="BK72" s="134"/>
      <c r="BL72" s="134"/>
      <c r="BM72" s="134"/>
      <c r="BN72" s="134"/>
      <c r="BO72" s="134"/>
      <c r="BP72" s="134"/>
      <c r="BQ72" s="134"/>
      <c r="BR72" s="134"/>
      <c r="BS72" s="134"/>
      <c r="BT72" s="134"/>
      <c r="BU72" s="134"/>
      <c r="BV72" s="134"/>
      <c r="BW72" s="134"/>
      <c r="BX72" s="134"/>
      <c r="BY72" s="134"/>
    </row>
    <row r="73" outlineLevel="1" ht="14.5">
      <c r="A73" s="174" t="s">
        <v>1056</v>
      </c>
      <c r="B73" s="189"/>
      <c r="C73" s="185"/>
      <c r="D73" s="186"/>
      <c r="E73" s="176"/>
      <c r="F73" s="191"/>
      <c r="G73" s="176"/>
      <c r="H73" s="176"/>
      <c r="I73" s="176"/>
      <c r="J73" s="179">
        <f>+C73+E73+H73+I73+G73</f>
        <v>0</v>
      </c>
      <c r="K73" s="170">
        <f t="shared" si="49"/>
        <v>0</v>
      </c>
      <c r="M73" s="170"/>
      <c r="P73" s="141">
        <f t="shared" si="50"/>
        <v>0</v>
      </c>
      <c r="R73" s="134"/>
      <c r="S73" s="134"/>
      <c r="T73" s="134"/>
      <c r="U73" s="134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4"/>
      <c r="AH73" s="134"/>
      <c r="AI73" s="134"/>
      <c r="AJ73" s="134"/>
      <c r="AK73" s="134"/>
      <c r="AL73" s="134"/>
      <c r="AM73" s="134"/>
      <c r="AN73" s="134"/>
      <c r="AO73" s="134"/>
      <c r="AP73" s="134"/>
      <c r="AQ73" s="134"/>
      <c r="AR73" s="134"/>
      <c r="AS73" s="134"/>
      <c r="AT73" s="134"/>
      <c r="AU73" s="134"/>
      <c r="AV73" s="134"/>
      <c r="AW73" s="134"/>
      <c r="AX73" s="134"/>
      <c r="AY73" s="134"/>
      <c r="AZ73" s="134"/>
      <c r="BA73" s="134"/>
      <c r="BB73" s="134"/>
      <c r="BC73" s="134"/>
      <c r="BD73" s="134"/>
      <c r="BE73" s="134"/>
      <c r="BF73" s="134"/>
      <c r="BG73" s="134"/>
      <c r="BH73" s="134"/>
      <c r="BI73" s="134"/>
      <c r="BJ73" s="134"/>
      <c r="BK73" s="134"/>
      <c r="BL73" s="134"/>
      <c r="BM73" s="134"/>
      <c r="BN73" s="134"/>
      <c r="BO73" s="134"/>
      <c r="BP73" s="134"/>
      <c r="BQ73" s="134"/>
      <c r="BR73" s="134"/>
      <c r="BS73" s="134"/>
      <c r="BT73" s="134"/>
      <c r="BU73" s="134"/>
      <c r="BV73" s="134"/>
      <c r="BW73" s="134"/>
      <c r="BX73" s="134"/>
      <c r="BY73" s="134"/>
    </row>
    <row r="74" outlineLevel="1" ht="14.5">
      <c r="A74" s="174" t="s">
        <v>1027</v>
      </c>
      <c r="B74" s="190"/>
      <c r="C74" s="185"/>
      <c r="D74" s="186"/>
      <c r="E74" s="176"/>
      <c r="F74" s="191"/>
      <c r="G74" s="176"/>
      <c r="H74" s="176"/>
      <c r="I74" s="176"/>
      <c r="J74" s="179">
        <f>+C74+E74+H74+I74+G74</f>
        <v>0</v>
      </c>
      <c r="K74" s="170">
        <f t="shared" si="49"/>
        <v>0</v>
      </c>
      <c r="M74" s="170"/>
      <c r="R74" s="134"/>
      <c r="S74" s="134"/>
      <c r="T74" s="134"/>
      <c r="U74" s="134"/>
      <c r="V74" s="134"/>
      <c r="W74" s="134"/>
      <c r="X74" s="134"/>
      <c r="Y74" s="134"/>
      <c r="Z74" s="134"/>
      <c r="AA74" s="134"/>
      <c r="AB74" s="134"/>
      <c r="AC74" s="134"/>
      <c r="AD74" s="134"/>
      <c r="AE74" s="134"/>
      <c r="AF74" s="134"/>
      <c r="AG74" s="134"/>
      <c r="AH74" s="134"/>
      <c r="AI74" s="134"/>
      <c r="AJ74" s="134"/>
      <c r="AK74" s="134"/>
      <c r="AL74" s="134"/>
      <c r="AM74" s="134"/>
      <c r="AN74" s="134"/>
      <c r="AO74" s="134"/>
      <c r="AP74" s="134"/>
      <c r="AQ74" s="134"/>
      <c r="AR74" s="134"/>
      <c r="AS74" s="134"/>
      <c r="AT74" s="134"/>
      <c r="AU74" s="134"/>
      <c r="AV74" s="134"/>
      <c r="AW74" s="134"/>
      <c r="AX74" s="134"/>
      <c r="AY74" s="134"/>
      <c r="AZ74" s="134"/>
      <c r="BA74" s="134"/>
      <c r="BB74" s="134"/>
      <c r="BC74" s="134"/>
      <c r="BD74" s="134"/>
      <c r="BE74" s="134"/>
      <c r="BF74" s="134"/>
      <c r="BG74" s="134"/>
      <c r="BH74" s="134"/>
      <c r="BI74" s="134"/>
      <c r="BJ74" s="134"/>
      <c r="BK74" s="134"/>
      <c r="BL74" s="134"/>
      <c r="BM74" s="134"/>
      <c r="BN74" s="134"/>
      <c r="BO74" s="134"/>
      <c r="BP74" s="134"/>
      <c r="BQ74" s="134"/>
      <c r="BR74" s="134"/>
      <c r="BS74" s="134"/>
      <c r="BT74" s="134"/>
      <c r="BU74" s="134"/>
      <c r="BV74" s="134"/>
      <c r="BW74" s="134"/>
      <c r="BX74" s="134"/>
      <c r="BY74" s="134"/>
    </row>
    <row r="75" ht="14.5">
      <c r="A75" s="166" t="s">
        <v>739</v>
      </c>
      <c r="B75" s="167">
        <f>SUMIF(Raccordo!F:F,$A75,Raccordo!J:J)</f>
        <v>0</v>
      </c>
      <c r="C75" s="187"/>
      <c r="D75" s="188"/>
      <c r="E75" s="172">
        <f t="shared" ref="E75:K75" si="51">+SUM(E76:E78)</f>
        <v>0</v>
      </c>
      <c r="F75" s="173"/>
      <c r="G75" s="172">
        <f t="shared" si="51"/>
        <v>0</v>
      </c>
      <c r="H75" s="172">
        <f t="shared" si="51"/>
        <v>0</v>
      </c>
      <c r="I75" s="172">
        <f t="shared" si="51"/>
        <v>0</v>
      </c>
      <c r="J75" s="172">
        <f t="shared" si="51"/>
        <v>0</v>
      </c>
      <c r="K75" s="167">
        <f t="shared" si="51"/>
        <v>0</v>
      </c>
      <c r="L75" s="182"/>
      <c r="M75" s="170"/>
      <c r="P75" s="167">
        <f>+K75-SUM(R75:BY75)</f>
        <v>0</v>
      </c>
      <c r="R75" s="167">
        <f>+SUM(R76:R78)</f>
        <v>0</v>
      </c>
      <c r="S75" s="167">
        <f t="shared" ref="S75:BY75" si="52">+SUM(S76:S78)</f>
        <v>0</v>
      </c>
      <c r="T75" s="167">
        <f t="shared" si="52"/>
        <v>0</v>
      </c>
      <c r="U75" s="167">
        <f t="shared" si="52"/>
        <v>0</v>
      </c>
      <c r="V75" s="167">
        <f t="shared" si="52"/>
        <v>0</v>
      </c>
      <c r="W75" s="167">
        <f t="shared" si="52"/>
        <v>0</v>
      </c>
      <c r="X75" s="167">
        <f t="shared" si="52"/>
        <v>0</v>
      </c>
      <c r="Y75" s="167">
        <f t="shared" si="52"/>
        <v>0</v>
      </c>
      <c r="Z75" s="167">
        <f t="shared" si="52"/>
        <v>0</v>
      </c>
      <c r="AA75" s="167">
        <f t="shared" si="52"/>
        <v>0</v>
      </c>
      <c r="AB75" s="167">
        <f t="shared" si="52"/>
        <v>0</v>
      </c>
      <c r="AC75" s="167">
        <f t="shared" si="52"/>
        <v>0</v>
      </c>
      <c r="AD75" s="167">
        <f t="shared" si="52"/>
        <v>0</v>
      </c>
      <c r="AE75" s="167">
        <f t="shared" si="52"/>
        <v>0</v>
      </c>
      <c r="AF75" s="167">
        <f t="shared" si="52"/>
        <v>0</v>
      </c>
      <c r="AG75" s="167">
        <f t="shared" si="52"/>
        <v>0</v>
      </c>
      <c r="AH75" s="167">
        <f t="shared" si="52"/>
        <v>0</v>
      </c>
      <c r="AI75" s="167">
        <f t="shared" si="52"/>
        <v>0</v>
      </c>
      <c r="AJ75" s="167">
        <f t="shared" si="52"/>
        <v>0</v>
      </c>
      <c r="AK75" s="167">
        <f t="shared" si="52"/>
        <v>0</v>
      </c>
      <c r="AL75" s="167">
        <f t="shared" si="52"/>
        <v>0</v>
      </c>
      <c r="AM75" s="167">
        <f t="shared" si="52"/>
        <v>0</v>
      </c>
      <c r="AN75" s="167">
        <f t="shared" si="52"/>
        <v>0</v>
      </c>
      <c r="AO75" s="167">
        <f t="shared" si="52"/>
        <v>0</v>
      </c>
      <c r="AP75" s="167">
        <f t="shared" si="52"/>
        <v>0</v>
      </c>
      <c r="AQ75" s="167">
        <f t="shared" si="52"/>
        <v>0</v>
      </c>
      <c r="AR75" s="167">
        <f t="shared" si="52"/>
        <v>0</v>
      </c>
      <c r="AS75" s="167">
        <f t="shared" si="52"/>
        <v>0</v>
      </c>
      <c r="AT75" s="167">
        <f t="shared" si="52"/>
        <v>0</v>
      </c>
      <c r="AU75" s="167">
        <f t="shared" si="52"/>
        <v>0</v>
      </c>
      <c r="AV75" s="167">
        <f t="shared" si="52"/>
        <v>0</v>
      </c>
      <c r="AW75" s="167">
        <f t="shared" si="52"/>
        <v>0</v>
      </c>
      <c r="AX75" s="167">
        <f t="shared" si="52"/>
        <v>0</v>
      </c>
      <c r="AY75" s="167">
        <f t="shared" si="52"/>
        <v>0</v>
      </c>
      <c r="AZ75" s="167">
        <f t="shared" si="52"/>
        <v>0</v>
      </c>
      <c r="BA75" s="167">
        <f t="shared" si="52"/>
        <v>0</v>
      </c>
      <c r="BB75" s="167">
        <f t="shared" si="52"/>
        <v>0</v>
      </c>
      <c r="BC75" s="167">
        <f t="shared" si="52"/>
        <v>0</v>
      </c>
      <c r="BD75" s="167">
        <f t="shared" si="52"/>
        <v>0</v>
      </c>
      <c r="BE75" s="167">
        <f t="shared" si="52"/>
        <v>0</v>
      </c>
      <c r="BF75" s="167">
        <f t="shared" si="52"/>
        <v>0</v>
      </c>
      <c r="BG75" s="167">
        <f t="shared" si="52"/>
        <v>0</v>
      </c>
      <c r="BH75" s="167">
        <f t="shared" si="52"/>
        <v>0</v>
      </c>
      <c r="BI75" s="167">
        <f t="shared" si="52"/>
        <v>0</v>
      </c>
      <c r="BJ75" s="167">
        <f t="shared" si="52"/>
        <v>0</v>
      </c>
      <c r="BK75" s="167">
        <f t="shared" si="52"/>
        <v>0</v>
      </c>
      <c r="BL75" s="167">
        <f t="shared" si="52"/>
        <v>0</v>
      </c>
      <c r="BM75" s="167">
        <f t="shared" si="52"/>
        <v>0</v>
      </c>
      <c r="BN75" s="167">
        <f t="shared" si="52"/>
        <v>0</v>
      </c>
      <c r="BO75" s="167">
        <f t="shared" si="52"/>
        <v>0</v>
      </c>
      <c r="BP75" s="167">
        <f t="shared" si="52"/>
        <v>0</v>
      </c>
      <c r="BQ75" s="167">
        <f t="shared" si="52"/>
        <v>0</v>
      </c>
      <c r="BR75" s="167">
        <f t="shared" si="52"/>
        <v>0</v>
      </c>
      <c r="BS75" s="167">
        <f t="shared" si="52"/>
        <v>0</v>
      </c>
      <c r="BT75" s="167">
        <f t="shared" si="52"/>
        <v>0</v>
      </c>
      <c r="BU75" s="167">
        <f t="shared" si="52"/>
        <v>0</v>
      </c>
      <c r="BV75" s="167">
        <f t="shared" si="52"/>
        <v>0</v>
      </c>
      <c r="BW75" s="167">
        <f t="shared" si="52"/>
        <v>0</v>
      </c>
      <c r="BX75" s="167">
        <f t="shared" si="52"/>
        <v>0</v>
      </c>
      <c r="BY75" s="167">
        <f t="shared" si="52"/>
        <v>0</v>
      </c>
    </row>
    <row r="76" outlineLevel="1" ht="14.5">
      <c r="A76" s="174" t="s">
        <v>1057</v>
      </c>
      <c r="B76" s="189"/>
      <c r="C76" s="185"/>
      <c r="D76" s="186"/>
      <c r="E76" s="176"/>
      <c r="F76" s="191"/>
      <c r="G76" s="176"/>
      <c r="H76" s="176"/>
      <c r="I76" s="176"/>
      <c r="J76" s="179">
        <f>+C76+E76+H76+I76+G76</f>
        <v>0</v>
      </c>
      <c r="K76" s="170">
        <f t="shared" ref="K76:K78" si="53">+B76+J76</f>
        <v>0</v>
      </c>
      <c r="M76" s="170"/>
      <c r="P76" s="141">
        <f t="shared" ref="P76:P77" si="54">K76-SUM(R76:BY76)</f>
        <v>0</v>
      </c>
      <c r="R76" s="134"/>
      <c r="S76" s="134"/>
      <c r="T76" s="134"/>
      <c r="U76" s="134"/>
      <c r="V76" s="134"/>
      <c r="W76" s="134"/>
      <c r="X76" s="134"/>
      <c r="Y76" s="134"/>
      <c r="Z76" s="134"/>
      <c r="AA76" s="134"/>
      <c r="AB76" s="134"/>
      <c r="AC76" s="134"/>
      <c r="AD76" s="134"/>
      <c r="AE76" s="134"/>
      <c r="AF76" s="134"/>
      <c r="AG76" s="134"/>
      <c r="AH76" s="134"/>
      <c r="AI76" s="134"/>
      <c r="AJ76" s="134"/>
      <c r="AK76" s="134"/>
      <c r="AL76" s="134"/>
      <c r="AM76" s="134"/>
      <c r="AN76" s="134"/>
      <c r="AO76" s="134"/>
      <c r="AP76" s="134"/>
      <c r="AQ76" s="134"/>
      <c r="AR76" s="134"/>
      <c r="AS76" s="134"/>
      <c r="AT76" s="134"/>
      <c r="AU76" s="134"/>
      <c r="AV76" s="134"/>
      <c r="AW76" s="134"/>
      <c r="AX76" s="134"/>
      <c r="AY76" s="134"/>
      <c r="AZ76" s="134"/>
      <c r="BA76" s="134"/>
      <c r="BB76" s="134"/>
      <c r="BC76" s="134"/>
      <c r="BD76" s="134"/>
      <c r="BE76" s="134"/>
      <c r="BF76" s="134"/>
      <c r="BG76" s="134"/>
      <c r="BH76" s="134"/>
      <c r="BI76" s="134"/>
      <c r="BJ76" s="134"/>
      <c r="BK76" s="134"/>
      <c r="BL76" s="134"/>
      <c r="BM76" s="134"/>
      <c r="BN76" s="134"/>
      <c r="BO76" s="134"/>
      <c r="BP76" s="134"/>
      <c r="BQ76" s="134"/>
      <c r="BR76" s="134"/>
      <c r="BS76" s="134"/>
      <c r="BT76" s="134"/>
      <c r="BU76" s="134"/>
      <c r="BV76" s="134"/>
      <c r="BW76" s="134"/>
      <c r="BX76" s="134"/>
      <c r="BY76" s="134"/>
    </row>
    <row r="77" outlineLevel="1" ht="14.5">
      <c r="A77" s="174" t="s">
        <v>1058</v>
      </c>
      <c r="B77" s="190"/>
      <c r="C77" s="185"/>
      <c r="D77" s="186"/>
      <c r="E77" s="176"/>
      <c r="F77" s="191"/>
      <c r="G77" s="176"/>
      <c r="H77" s="176"/>
      <c r="I77" s="176"/>
      <c r="J77" s="179">
        <f>+C77+E77+H77+I77+G77</f>
        <v>0</v>
      </c>
      <c r="K77" s="170">
        <f t="shared" si="53"/>
        <v>0</v>
      </c>
      <c r="M77" s="170"/>
      <c r="P77" s="141">
        <f t="shared" si="54"/>
        <v>0</v>
      </c>
      <c r="R77" s="134"/>
      <c r="S77" s="134"/>
      <c r="T77" s="134"/>
      <c r="U77" s="134"/>
      <c r="V77" s="134"/>
      <c r="W77" s="134"/>
      <c r="X77" s="134"/>
      <c r="Y77" s="134"/>
      <c r="Z77" s="134"/>
      <c r="AA77" s="134"/>
      <c r="AB77" s="134"/>
      <c r="AC77" s="134"/>
      <c r="AD77" s="134"/>
      <c r="AE77" s="134"/>
      <c r="AF77" s="134"/>
      <c r="AG77" s="134"/>
      <c r="AH77" s="134"/>
      <c r="AI77" s="134"/>
      <c r="AJ77" s="134"/>
      <c r="AK77" s="134"/>
      <c r="AL77" s="134"/>
      <c r="AM77" s="134"/>
      <c r="AN77" s="134"/>
      <c r="AO77" s="134"/>
      <c r="AP77" s="134"/>
      <c r="AQ77" s="134"/>
      <c r="AR77" s="134"/>
      <c r="AS77" s="134"/>
      <c r="AT77" s="134"/>
      <c r="AU77" s="134"/>
      <c r="AV77" s="134"/>
      <c r="AW77" s="134"/>
      <c r="AX77" s="134"/>
      <c r="AY77" s="134"/>
      <c r="AZ77" s="134"/>
      <c r="BA77" s="134"/>
      <c r="BB77" s="134"/>
      <c r="BC77" s="134"/>
      <c r="BD77" s="134"/>
      <c r="BE77" s="134"/>
      <c r="BF77" s="134"/>
      <c r="BG77" s="134"/>
      <c r="BH77" s="134"/>
      <c r="BI77" s="134"/>
      <c r="BJ77" s="134"/>
      <c r="BK77" s="134"/>
      <c r="BL77" s="134"/>
      <c r="BM77" s="134"/>
      <c r="BN77" s="134"/>
      <c r="BO77" s="134"/>
      <c r="BP77" s="134"/>
      <c r="BQ77" s="134"/>
      <c r="BR77" s="134"/>
      <c r="BS77" s="134"/>
      <c r="BT77" s="134"/>
      <c r="BU77" s="134"/>
      <c r="BV77" s="134"/>
      <c r="BW77" s="134"/>
      <c r="BX77" s="134"/>
      <c r="BY77" s="134"/>
    </row>
    <row r="78" outlineLevel="1" ht="14.5">
      <c r="A78" s="174" t="s">
        <v>1027</v>
      </c>
      <c r="B78" s="190"/>
      <c r="C78" s="185"/>
      <c r="D78" s="186"/>
      <c r="E78" s="176"/>
      <c r="F78" s="191"/>
      <c r="G78" s="176"/>
      <c r="H78" s="176"/>
      <c r="I78" s="176"/>
      <c r="J78" s="179">
        <f>+C78+E78+H78+I78+G78</f>
        <v>0</v>
      </c>
      <c r="K78" s="170">
        <f t="shared" si="53"/>
        <v>0</v>
      </c>
      <c r="M78" s="170"/>
      <c r="R78" s="134"/>
      <c r="S78" s="134"/>
      <c r="T78" s="134"/>
      <c r="U78" s="134"/>
      <c r="V78" s="134"/>
      <c r="W78" s="134"/>
      <c r="X78" s="134"/>
      <c r="Y78" s="134"/>
      <c r="Z78" s="134"/>
      <c r="AA78" s="134"/>
      <c r="AB78" s="134"/>
      <c r="AC78" s="134"/>
      <c r="AD78" s="134"/>
      <c r="AE78" s="134"/>
      <c r="AF78" s="134"/>
      <c r="AG78" s="134"/>
      <c r="AH78" s="134"/>
      <c r="AI78" s="134"/>
      <c r="AJ78" s="134"/>
      <c r="AK78" s="134"/>
      <c r="AL78" s="134"/>
      <c r="AM78" s="134"/>
      <c r="AN78" s="134"/>
      <c r="AO78" s="134"/>
      <c r="AP78" s="134"/>
      <c r="AQ78" s="134"/>
      <c r="AR78" s="134"/>
      <c r="AS78" s="134"/>
      <c r="AT78" s="134"/>
      <c r="AU78" s="134"/>
      <c r="AV78" s="134"/>
      <c r="AW78" s="134"/>
      <c r="AX78" s="134"/>
      <c r="AY78" s="134"/>
      <c r="AZ78" s="134"/>
      <c r="BA78" s="134"/>
      <c r="BB78" s="134"/>
      <c r="BC78" s="134"/>
      <c r="BD78" s="134"/>
      <c r="BE78" s="134"/>
      <c r="BF78" s="134"/>
      <c r="BG78" s="134"/>
      <c r="BH78" s="134"/>
      <c r="BI78" s="134"/>
      <c r="BJ78" s="134"/>
      <c r="BK78" s="134"/>
      <c r="BL78" s="134"/>
      <c r="BM78" s="134"/>
      <c r="BN78" s="134"/>
      <c r="BO78" s="134"/>
      <c r="BP78" s="134"/>
      <c r="BQ78" s="134"/>
      <c r="BR78" s="134"/>
      <c r="BS78" s="134"/>
      <c r="BT78" s="134"/>
      <c r="BU78" s="134"/>
      <c r="BV78" s="134"/>
      <c r="BW78" s="134"/>
      <c r="BX78" s="134"/>
      <c r="BY78" s="134"/>
    </row>
    <row r="79" ht="14.5">
      <c r="A79" s="166" t="s">
        <v>736</v>
      </c>
      <c r="B79" s="167">
        <f>SUMIF(Raccordo!F:F,$A79,Raccordo!J:J)</f>
        <v>0</v>
      </c>
      <c r="C79" s="187"/>
      <c r="D79" s="188"/>
      <c r="E79" s="172">
        <f t="shared" ref="E79:K79" si="55">+SUM(E80:E82)</f>
        <v>0</v>
      </c>
      <c r="F79" s="173"/>
      <c r="G79" s="172">
        <f t="shared" si="55"/>
        <v>0</v>
      </c>
      <c r="H79" s="172">
        <f t="shared" si="55"/>
        <v>0</v>
      </c>
      <c r="I79" s="172">
        <f t="shared" si="55"/>
        <v>0</v>
      </c>
      <c r="J79" s="172">
        <f t="shared" si="55"/>
        <v>0</v>
      </c>
      <c r="K79" s="167">
        <f t="shared" si="55"/>
        <v>0</v>
      </c>
      <c r="L79" s="182"/>
      <c r="M79" s="170"/>
      <c r="P79" s="167">
        <f>+K79-SUM(R79:BY79)</f>
        <v>0</v>
      </c>
      <c r="R79" s="167">
        <f>+SUM(R80:R82)</f>
        <v>0</v>
      </c>
      <c r="S79" s="167">
        <f t="shared" ref="S79:BY79" si="56">+SUM(S80:S82)</f>
        <v>0</v>
      </c>
      <c r="T79" s="167">
        <f t="shared" si="56"/>
        <v>0</v>
      </c>
      <c r="U79" s="167">
        <f t="shared" si="56"/>
        <v>0</v>
      </c>
      <c r="V79" s="167">
        <f t="shared" si="56"/>
        <v>0</v>
      </c>
      <c r="W79" s="167">
        <f t="shared" si="56"/>
        <v>0</v>
      </c>
      <c r="X79" s="167">
        <f t="shared" si="56"/>
        <v>0</v>
      </c>
      <c r="Y79" s="167">
        <f t="shared" si="56"/>
        <v>0</v>
      </c>
      <c r="Z79" s="167">
        <f t="shared" si="56"/>
        <v>0</v>
      </c>
      <c r="AA79" s="167">
        <f t="shared" si="56"/>
        <v>0</v>
      </c>
      <c r="AB79" s="167">
        <f t="shared" si="56"/>
        <v>0</v>
      </c>
      <c r="AC79" s="167">
        <f t="shared" si="56"/>
        <v>0</v>
      </c>
      <c r="AD79" s="167">
        <f t="shared" si="56"/>
        <v>0</v>
      </c>
      <c r="AE79" s="167">
        <f t="shared" si="56"/>
        <v>0</v>
      </c>
      <c r="AF79" s="167">
        <f t="shared" si="56"/>
        <v>0</v>
      </c>
      <c r="AG79" s="167">
        <f t="shared" si="56"/>
        <v>0</v>
      </c>
      <c r="AH79" s="167">
        <f t="shared" si="56"/>
        <v>0</v>
      </c>
      <c r="AI79" s="167">
        <f t="shared" si="56"/>
        <v>0</v>
      </c>
      <c r="AJ79" s="167">
        <f t="shared" si="56"/>
        <v>0</v>
      </c>
      <c r="AK79" s="167">
        <f t="shared" si="56"/>
        <v>0</v>
      </c>
      <c r="AL79" s="167">
        <f t="shared" si="56"/>
        <v>0</v>
      </c>
      <c r="AM79" s="167">
        <f t="shared" si="56"/>
        <v>0</v>
      </c>
      <c r="AN79" s="167">
        <f t="shared" si="56"/>
        <v>0</v>
      </c>
      <c r="AO79" s="167">
        <f t="shared" si="56"/>
        <v>0</v>
      </c>
      <c r="AP79" s="167">
        <f t="shared" si="56"/>
        <v>0</v>
      </c>
      <c r="AQ79" s="167">
        <f t="shared" si="56"/>
        <v>0</v>
      </c>
      <c r="AR79" s="167">
        <f t="shared" si="56"/>
        <v>0</v>
      </c>
      <c r="AS79" s="167">
        <f t="shared" si="56"/>
        <v>0</v>
      </c>
      <c r="AT79" s="167">
        <f t="shared" si="56"/>
        <v>0</v>
      </c>
      <c r="AU79" s="167">
        <f t="shared" si="56"/>
        <v>0</v>
      </c>
      <c r="AV79" s="167">
        <f t="shared" si="56"/>
        <v>0</v>
      </c>
      <c r="AW79" s="167">
        <f t="shared" si="56"/>
        <v>0</v>
      </c>
      <c r="AX79" s="167">
        <f t="shared" si="56"/>
        <v>0</v>
      </c>
      <c r="AY79" s="167">
        <f t="shared" si="56"/>
        <v>0</v>
      </c>
      <c r="AZ79" s="167">
        <f t="shared" si="56"/>
        <v>0</v>
      </c>
      <c r="BA79" s="167">
        <f t="shared" si="56"/>
        <v>0</v>
      </c>
      <c r="BB79" s="167">
        <f t="shared" si="56"/>
        <v>0</v>
      </c>
      <c r="BC79" s="167">
        <f t="shared" si="56"/>
        <v>0</v>
      </c>
      <c r="BD79" s="167">
        <f t="shared" si="56"/>
        <v>0</v>
      </c>
      <c r="BE79" s="167">
        <f t="shared" si="56"/>
        <v>0</v>
      </c>
      <c r="BF79" s="167">
        <f t="shared" si="56"/>
        <v>0</v>
      </c>
      <c r="BG79" s="167">
        <f t="shared" si="56"/>
        <v>0</v>
      </c>
      <c r="BH79" s="167">
        <f t="shared" si="56"/>
        <v>0</v>
      </c>
      <c r="BI79" s="167">
        <f t="shared" si="56"/>
        <v>0</v>
      </c>
      <c r="BJ79" s="167">
        <f t="shared" si="56"/>
        <v>0</v>
      </c>
      <c r="BK79" s="167">
        <f t="shared" si="56"/>
        <v>0</v>
      </c>
      <c r="BL79" s="167">
        <f t="shared" si="56"/>
        <v>0</v>
      </c>
      <c r="BM79" s="167">
        <f t="shared" si="56"/>
        <v>0</v>
      </c>
      <c r="BN79" s="167">
        <f t="shared" si="56"/>
        <v>0</v>
      </c>
      <c r="BO79" s="167">
        <f t="shared" si="56"/>
        <v>0</v>
      </c>
      <c r="BP79" s="167">
        <f t="shared" si="56"/>
        <v>0</v>
      </c>
      <c r="BQ79" s="167">
        <f t="shared" si="56"/>
        <v>0</v>
      </c>
      <c r="BR79" s="167">
        <f t="shared" si="56"/>
        <v>0</v>
      </c>
      <c r="BS79" s="167">
        <f t="shared" si="56"/>
        <v>0</v>
      </c>
      <c r="BT79" s="167">
        <f t="shared" si="56"/>
        <v>0</v>
      </c>
      <c r="BU79" s="167">
        <f t="shared" si="56"/>
        <v>0</v>
      </c>
      <c r="BV79" s="167">
        <f t="shared" si="56"/>
        <v>0</v>
      </c>
      <c r="BW79" s="167">
        <f t="shared" si="56"/>
        <v>0</v>
      </c>
      <c r="BX79" s="167">
        <f t="shared" si="56"/>
        <v>0</v>
      </c>
      <c r="BY79" s="167">
        <f t="shared" si="56"/>
        <v>0</v>
      </c>
    </row>
    <row r="80" outlineLevel="1" ht="14.5">
      <c r="A80" s="174" t="s">
        <v>1059</v>
      </c>
      <c r="B80" s="190"/>
      <c r="C80" s="185"/>
      <c r="D80" s="186"/>
      <c r="E80" s="176"/>
      <c r="F80" s="191"/>
      <c r="G80" s="176"/>
      <c r="H80" s="176"/>
      <c r="I80" s="176"/>
      <c r="J80" s="179">
        <f>+C80+E80+H80+I80+G80</f>
        <v>0</v>
      </c>
      <c r="K80" s="170">
        <f t="shared" ref="K80:K82" si="57">+B80+J80</f>
        <v>0</v>
      </c>
      <c r="M80" s="170"/>
      <c r="P80" s="141">
        <f>K80-SUM(R80:BY80)</f>
        <v>0</v>
      </c>
      <c r="R80" s="134"/>
      <c r="S80" s="134"/>
      <c r="T80" s="134"/>
      <c r="U80" s="134"/>
      <c r="V80" s="134"/>
      <c r="W80" s="134"/>
      <c r="X80" s="134"/>
      <c r="Y80" s="134"/>
      <c r="Z80" s="134"/>
      <c r="AA80" s="134"/>
      <c r="AB80" s="134"/>
      <c r="AC80" s="134"/>
      <c r="AD80" s="134"/>
      <c r="AE80" s="134"/>
      <c r="AF80" s="134"/>
      <c r="AG80" s="134"/>
      <c r="AH80" s="134"/>
      <c r="AI80" s="134"/>
      <c r="AJ80" s="134"/>
      <c r="AK80" s="134"/>
      <c r="AL80" s="134"/>
      <c r="AM80" s="134"/>
      <c r="AN80" s="134"/>
      <c r="AO80" s="134"/>
      <c r="AP80" s="134"/>
      <c r="AQ80" s="134"/>
      <c r="AR80" s="134"/>
      <c r="AS80" s="134"/>
      <c r="AT80" s="134"/>
      <c r="AU80" s="134"/>
      <c r="AV80" s="134"/>
      <c r="AW80" s="134"/>
      <c r="AX80" s="134"/>
      <c r="AY80" s="134"/>
      <c r="AZ80" s="134"/>
      <c r="BA80" s="134"/>
      <c r="BB80" s="134"/>
      <c r="BC80" s="134"/>
      <c r="BD80" s="134"/>
      <c r="BE80" s="134"/>
      <c r="BF80" s="134"/>
      <c r="BG80" s="134"/>
      <c r="BH80" s="134"/>
      <c r="BI80" s="134"/>
      <c r="BJ80" s="134"/>
      <c r="BK80" s="134"/>
      <c r="BL80" s="134"/>
      <c r="BM80" s="134"/>
      <c r="BN80" s="134"/>
      <c r="BO80" s="134"/>
      <c r="BP80" s="134"/>
      <c r="BQ80" s="134"/>
      <c r="BR80" s="134"/>
      <c r="BS80" s="134"/>
      <c r="BT80" s="134"/>
      <c r="BU80" s="134"/>
      <c r="BV80" s="134"/>
      <c r="BW80" s="134"/>
      <c r="BX80" s="134"/>
      <c r="BY80" s="134"/>
    </row>
    <row r="81" outlineLevel="1" ht="14.5">
      <c r="A81" s="174" t="s">
        <v>1060</v>
      </c>
      <c r="B81" s="190"/>
      <c r="C81" s="185"/>
      <c r="D81" s="186"/>
      <c r="E81" s="176"/>
      <c r="F81" s="191"/>
      <c r="G81" s="176"/>
      <c r="H81" s="176"/>
      <c r="I81" s="176"/>
      <c r="J81" s="179">
        <f>+C81+E81+H81+I81+G81</f>
        <v>0</v>
      </c>
      <c r="K81" s="170">
        <f t="shared" si="57"/>
        <v>0</v>
      </c>
      <c r="M81" s="170"/>
      <c r="P81" s="141">
        <f>K81-SUM(R81:BY81)</f>
        <v>0</v>
      </c>
      <c r="R81" s="134"/>
      <c r="S81" s="134"/>
      <c r="T81" s="134"/>
      <c r="U81" s="134"/>
      <c r="V81" s="134"/>
      <c r="W81" s="134"/>
      <c r="X81" s="134"/>
      <c r="Y81" s="134"/>
      <c r="Z81" s="134"/>
      <c r="AA81" s="134"/>
      <c r="AB81" s="134"/>
      <c r="AC81" s="134"/>
      <c r="AD81" s="134"/>
      <c r="AE81" s="134"/>
      <c r="AF81" s="134"/>
      <c r="AG81" s="134"/>
      <c r="AH81" s="134"/>
      <c r="AI81" s="134"/>
      <c r="AJ81" s="134"/>
      <c r="AK81" s="134"/>
      <c r="AL81" s="134"/>
      <c r="AM81" s="134"/>
      <c r="AN81" s="134"/>
      <c r="AO81" s="134"/>
      <c r="AP81" s="134"/>
      <c r="AQ81" s="134"/>
      <c r="AR81" s="134"/>
      <c r="AS81" s="134"/>
      <c r="AT81" s="134"/>
      <c r="AU81" s="134"/>
      <c r="AV81" s="134"/>
      <c r="AW81" s="134"/>
      <c r="AX81" s="134"/>
      <c r="AY81" s="134"/>
      <c r="AZ81" s="134"/>
      <c r="BA81" s="134"/>
      <c r="BB81" s="134"/>
      <c r="BC81" s="134"/>
      <c r="BD81" s="134"/>
      <c r="BE81" s="134"/>
      <c r="BF81" s="134"/>
      <c r="BG81" s="134"/>
      <c r="BH81" s="134"/>
      <c r="BI81" s="134"/>
      <c r="BJ81" s="134"/>
      <c r="BK81" s="134"/>
      <c r="BL81" s="134"/>
      <c r="BM81" s="134"/>
      <c r="BN81" s="134"/>
      <c r="BO81" s="134"/>
      <c r="BP81" s="134"/>
      <c r="BQ81" s="134"/>
      <c r="BR81" s="134"/>
      <c r="BS81" s="134"/>
      <c r="BT81" s="134"/>
      <c r="BU81" s="134"/>
      <c r="BV81" s="134"/>
      <c r="BW81" s="134"/>
      <c r="BX81" s="134"/>
      <c r="BY81" s="134"/>
    </row>
    <row r="82" outlineLevel="1" ht="14.5">
      <c r="A82" s="174" t="s">
        <v>1027</v>
      </c>
      <c r="B82" s="190"/>
      <c r="C82" s="185"/>
      <c r="D82" s="186"/>
      <c r="E82" s="176"/>
      <c r="F82" s="191"/>
      <c r="G82" s="176"/>
      <c r="H82" s="176"/>
      <c r="I82" s="176"/>
      <c r="J82" s="179">
        <f>+C82+E82+H82+I82+G82</f>
        <v>0</v>
      </c>
      <c r="K82" s="170">
        <f t="shared" si="57"/>
        <v>0</v>
      </c>
      <c r="M82" s="170"/>
      <c r="R82" s="134"/>
      <c r="S82" s="134"/>
      <c r="T82" s="134"/>
      <c r="U82" s="134"/>
      <c r="V82" s="134"/>
      <c r="W82" s="134"/>
      <c r="X82" s="134"/>
      <c r="Y82" s="134"/>
      <c r="Z82" s="134"/>
      <c r="AA82" s="134"/>
      <c r="AB82" s="134"/>
      <c r="AC82" s="134"/>
      <c r="AD82" s="134"/>
      <c r="AE82" s="134"/>
      <c r="AF82" s="134"/>
      <c r="AG82" s="134"/>
      <c r="AH82" s="134"/>
      <c r="AI82" s="134"/>
      <c r="AJ82" s="134"/>
      <c r="AK82" s="134"/>
      <c r="AL82" s="134"/>
      <c r="AM82" s="134"/>
      <c r="AN82" s="134"/>
      <c r="AO82" s="134"/>
      <c r="AP82" s="134"/>
      <c r="AQ82" s="134"/>
      <c r="AR82" s="134"/>
      <c r="AS82" s="134"/>
      <c r="AT82" s="134"/>
      <c r="AU82" s="134"/>
      <c r="AV82" s="134"/>
      <c r="AW82" s="134"/>
      <c r="AX82" s="134"/>
      <c r="AY82" s="134"/>
      <c r="AZ82" s="134"/>
      <c r="BA82" s="134"/>
      <c r="BB82" s="134"/>
      <c r="BC82" s="134"/>
      <c r="BD82" s="134"/>
      <c r="BE82" s="134"/>
      <c r="BF82" s="134"/>
      <c r="BG82" s="134"/>
      <c r="BH82" s="134"/>
      <c r="BI82" s="134"/>
      <c r="BJ82" s="134"/>
      <c r="BK82" s="134"/>
      <c r="BL82" s="134"/>
      <c r="BM82" s="134"/>
      <c r="BN82" s="134"/>
      <c r="BO82" s="134"/>
      <c r="BP82" s="134"/>
      <c r="BQ82" s="134"/>
      <c r="BR82" s="134"/>
      <c r="BS82" s="134"/>
      <c r="BT82" s="134"/>
      <c r="BU82" s="134"/>
      <c r="BV82" s="134"/>
      <c r="BW82" s="134"/>
      <c r="BX82" s="134"/>
      <c r="BY82" s="134"/>
    </row>
    <row r="83" ht="14.5">
      <c r="A83" s="166" t="s">
        <v>741</v>
      </c>
      <c r="B83" s="167">
        <f>SUMIF(Raccordo!F:F,$A83,Raccordo!J:J)</f>
        <v>0</v>
      </c>
      <c r="C83" s="185"/>
      <c r="D83" s="186"/>
      <c r="E83" s="194"/>
      <c r="F83" s="195"/>
      <c r="G83" s="172">
        <f t="shared" ref="G83:K83" si="58">+SUM(G84:G86)</f>
        <v>0</v>
      </c>
      <c r="H83" s="172">
        <f t="shared" si="58"/>
        <v>0</v>
      </c>
      <c r="I83" s="172">
        <f t="shared" si="58"/>
        <v>0</v>
      </c>
      <c r="J83" s="172">
        <f t="shared" si="58"/>
        <v>0</v>
      </c>
      <c r="K83" s="167">
        <f t="shared" si="58"/>
        <v>0</v>
      </c>
      <c r="L83" s="182"/>
      <c r="M83" s="170"/>
      <c r="P83" s="167">
        <f>+K83-SUM(R83:BY83)</f>
        <v>0</v>
      </c>
      <c r="R83" s="167">
        <f>+SUM(R84:R86)</f>
        <v>0</v>
      </c>
      <c r="S83" s="167">
        <f t="shared" ref="S83:BY83" si="59">+SUM(S84:S86)</f>
        <v>0</v>
      </c>
      <c r="T83" s="167">
        <f t="shared" si="59"/>
        <v>0</v>
      </c>
      <c r="U83" s="167">
        <f t="shared" si="59"/>
        <v>0</v>
      </c>
      <c r="V83" s="167">
        <f t="shared" si="59"/>
        <v>0</v>
      </c>
      <c r="W83" s="167">
        <f t="shared" si="59"/>
        <v>0</v>
      </c>
      <c r="X83" s="167">
        <f t="shared" si="59"/>
        <v>0</v>
      </c>
      <c r="Y83" s="167">
        <f t="shared" si="59"/>
        <v>0</v>
      </c>
      <c r="Z83" s="167">
        <f t="shared" si="59"/>
        <v>0</v>
      </c>
      <c r="AA83" s="167">
        <f t="shared" si="59"/>
        <v>0</v>
      </c>
      <c r="AB83" s="167">
        <f t="shared" si="59"/>
        <v>0</v>
      </c>
      <c r="AC83" s="167">
        <f t="shared" si="59"/>
        <v>0</v>
      </c>
      <c r="AD83" s="167">
        <f t="shared" si="59"/>
        <v>0</v>
      </c>
      <c r="AE83" s="167">
        <f t="shared" si="59"/>
        <v>0</v>
      </c>
      <c r="AF83" s="167">
        <f t="shared" si="59"/>
        <v>0</v>
      </c>
      <c r="AG83" s="167">
        <f t="shared" si="59"/>
        <v>0</v>
      </c>
      <c r="AH83" s="167">
        <f t="shared" si="59"/>
        <v>0</v>
      </c>
      <c r="AI83" s="167">
        <f t="shared" si="59"/>
        <v>0</v>
      </c>
      <c r="AJ83" s="167">
        <f t="shared" si="59"/>
        <v>0</v>
      </c>
      <c r="AK83" s="167">
        <f t="shared" si="59"/>
        <v>0</v>
      </c>
      <c r="AL83" s="167">
        <f t="shared" si="59"/>
        <v>0</v>
      </c>
      <c r="AM83" s="167">
        <f t="shared" si="59"/>
        <v>0</v>
      </c>
      <c r="AN83" s="167">
        <f t="shared" si="59"/>
        <v>0</v>
      </c>
      <c r="AO83" s="167">
        <f t="shared" si="59"/>
        <v>0</v>
      </c>
      <c r="AP83" s="167">
        <f t="shared" si="59"/>
        <v>0</v>
      </c>
      <c r="AQ83" s="167">
        <f t="shared" si="59"/>
        <v>0</v>
      </c>
      <c r="AR83" s="167">
        <f t="shared" si="59"/>
        <v>0</v>
      </c>
      <c r="AS83" s="167">
        <f t="shared" si="59"/>
        <v>0</v>
      </c>
      <c r="AT83" s="167">
        <f t="shared" si="59"/>
        <v>0</v>
      </c>
      <c r="AU83" s="167">
        <f t="shared" si="59"/>
        <v>0</v>
      </c>
      <c r="AV83" s="167">
        <f t="shared" si="59"/>
        <v>0</v>
      </c>
      <c r="AW83" s="167">
        <f t="shared" si="59"/>
        <v>0</v>
      </c>
      <c r="AX83" s="167">
        <f t="shared" si="59"/>
        <v>0</v>
      </c>
      <c r="AY83" s="167">
        <f t="shared" si="59"/>
        <v>0</v>
      </c>
      <c r="AZ83" s="167">
        <f t="shared" si="59"/>
        <v>0</v>
      </c>
      <c r="BA83" s="167">
        <f t="shared" si="59"/>
        <v>0</v>
      </c>
      <c r="BB83" s="167">
        <f t="shared" si="59"/>
        <v>0</v>
      </c>
      <c r="BC83" s="167">
        <f t="shared" si="59"/>
        <v>0</v>
      </c>
      <c r="BD83" s="167">
        <f t="shared" si="59"/>
        <v>0</v>
      </c>
      <c r="BE83" s="167">
        <f t="shared" si="59"/>
        <v>0</v>
      </c>
      <c r="BF83" s="167">
        <f t="shared" si="59"/>
        <v>0</v>
      </c>
      <c r="BG83" s="167">
        <f t="shared" si="59"/>
        <v>0</v>
      </c>
      <c r="BH83" s="167">
        <f t="shared" si="59"/>
        <v>0</v>
      </c>
      <c r="BI83" s="167">
        <f t="shared" si="59"/>
        <v>0</v>
      </c>
      <c r="BJ83" s="167">
        <f t="shared" si="59"/>
        <v>0</v>
      </c>
      <c r="BK83" s="167">
        <f t="shared" si="59"/>
        <v>0</v>
      </c>
      <c r="BL83" s="167">
        <f t="shared" si="59"/>
        <v>0</v>
      </c>
      <c r="BM83" s="167">
        <f t="shared" si="59"/>
        <v>0</v>
      </c>
      <c r="BN83" s="167">
        <f t="shared" si="59"/>
        <v>0</v>
      </c>
      <c r="BO83" s="167">
        <f t="shared" si="59"/>
        <v>0</v>
      </c>
      <c r="BP83" s="167">
        <f t="shared" si="59"/>
        <v>0</v>
      </c>
      <c r="BQ83" s="167">
        <f t="shared" si="59"/>
        <v>0</v>
      </c>
      <c r="BR83" s="167">
        <f t="shared" si="59"/>
        <v>0</v>
      </c>
      <c r="BS83" s="167">
        <f t="shared" si="59"/>
        <v>0</v>
      </c>
      <c r="BT83" s="167">
        <f t="shared" si="59"/>
        <v>0</v>
      </c>
      <c r="BU83" s="167">
        <f t="shared" si="59"/>
        <v>0</v>
      </c>
      <c r="BV83" s="167">
        <f t="shared" si="59"/>
        <v>0</v>
      </c>
      <c r="BW83" s="167">
        <f t="shared" si="59"/>
        <v>0</v>
      </c>
      <c r="BX83" s="167">
        <f t="shared" si="59"/>
        <v>0</v>
      </c>
      <c r="BY83" s="167">
        <f t="shared" si="59"/>
        <v>0</v>
      </c>
    </row>
    <row r="84" outlineLevel="1" ht="14.5">
      <c r="A84" s="174" t="s">
        <v>1061</v>
      </c>
      <c r="B84" s="190"/>
      <c r="C84" s="185"/>
      <c r="D84" s="186"/>
      <c r="E84" s="185"/>
      <c r="F84" s="186"/>
      <c r="G84" s="176"/>
      <c r="H84" s="176"/>
      <c r="I84" s="176"/>
      <c r="J84" s="179">
        <f>+C84+E84+H84+I84+G84</f>
        <v>0</v>
      </c>
      <c r="K84" s="170">
        <f t="shared" ref="K84:K86" si="60">+B84+J84</f>
        <v>0</v>
      </c>
      <c r="M84" s="170"/>
      <c r="P84" s="141">
        <f t="shared" ref="P84:P85" si="61">K84-SUM(R84:BY84)</f>
        <v>0</v>
      </c>
      <c r="R84" s="134"/>
      <c r="S84" s="134"/>
      <c r="T84" s="134"/>
      <c r="U84" s="134"/>
      <c r="V84" s="134"/>
      <c r="W84" s="134"/>
      <c r="X84" s="134"/>
      <c r="Y84" s="134"/>
      <c r="Z84" s="134"/>
      <c r="AA84" s="134"/>
      <c r="AB84" s="134"/>
      <c r="AC84" s="134"/>
      <c r="AD84" s="134"/>
      <c r="AE84" s="134"/>
      <c r="AF84" s="134"/>
      <c r="AG84" s="134"/>
      <c r="AH84" s="134"/>
      <c r="AI84" s="134"/>
      <c r="AJ84" s="134"/>
      <c r="AK84" s="134"/>
      <c r="AL84" s="134"/>
      <c r="AM84" s="134"/>
      <c r="AN84" s="134"/>
      <c r="AO84" s="134"/>
      <c r="AP84" s="134"/>
      <c r="AQ84" s="134"/>
      <c r="AR84" s="134"/>
      <c r="AS84" s="134"/>
      <c r="AT84" s="134"/>
      <c r="AU84" s="134"/>
      <c r="AV84" s="134"/>
      <c r="AW84" s="134"/>
      <c r="AX84" s="134"/>
      <c r="AY84" s="134"/>
      <c r="AZ84" s="134"/>
      <c r="BA84" s="134"/>
      <c r="BB84" s="134"/>
      <c r="BC84" s="134"/>
      <c r="BD84" s="134"/>
      <c r="BE84" s="134"/>
      <c r="BF84" s="134"/>
      <c r="BG84" s="134"/>
      <c r="BH84" s="134"/>
      <c r="BI84" s="134"/>
      <c r="BJ84" s="134"/>
      <c r="BK84" s="134"/>
      <c r="BL84" s="134"/>
      <c r="BM84" s="134"/>
      <c r="BN84" s="134"/>
      <c r="BO84" s="134"/>
      <c r="BP84" s="134"/>
      <c r="BQ84" s="134"/>
      <c r="BR84" s="134"/>
      <c r="BS84" s="134"/>
      <c r="BT84" s="134"/>
      <c r="BU84" s="134"/>
      <c r="BV84" s="134"/>
      <c r="BW84" s="134"/>
      <c r="BX84" s="134"/>
      <c r="BY84" s="134"/>
    </row>
    <row r="85" outlineLevel="1" ht="14.5">
      <c r="A85" s="174" t="s">
        <v>1062</v>
      </c>
      <c r="B85" s="190"/>
      <c r="C85" s="185"/>
      <c r="D85" s="186"/>
      <c r="E85" s="185"/>
      <c r="F85" s="186"/>
      <c r="G85" s="176"/>
      <c r="H85" s="176"/>
      <c r="I85" s="176"/>
      <c r="J85" s="179">
        <f>+C85+E85+H85+I85+G85</f>
        <v>0</v>
      </c>
      <c r="K85" s="170">
        <f t="shared" si="60"/>
        <v>0</v>
      </c>
      <c r="M85" s="170"/>
      <c r="P85" s="141">
        <f t="shared" si="61"/>
        <v>0</v>
      </c>
      <c r="R85" s="134"/>
      <c r="S85" s="134"/>
      <c r="T85" s="134"/>
      <c r="U85" s="134"/>
      <c r="V85" s="134"/>
      <c r="W85" s="134"/>
      <c r="X85" s="134"/>
      <c r="Y85" s="134"/>
      <c r="Z85" s="134"/>
      <c r="AA85" s="134"/>
      <c r="AB85" s="134"/>
      <c r="AC85" s="134"/>
      <c r="AD85" s="134"/>
      <c r="AE85" s="134"/>
      <c r="AF85" s="134"/>
      <c r="AG85" s="134"/>
      <c r="AH85" s="134"/>
      <c r="AI85" s="134"/>
      <c r="AJ85" s="134"/>
      <c r="AK85" s="134"/>
      <c r="AL85" s="134"/>
      <c r="AM85" s="134"/>
      <c r="AN85" s="134"/>
      <c r="AO85" s="134"/>
      <c r="AP85" s="134"/>
      <c r="AQ85" s="134"/>
      <c r="AR85" s="134"/>
      <c r="AS85" s="134"/>
      <c r="AT85" s="134"/>
      <c r="AU85" s="134"/>
      <c r="AV85" s="134"/>
      <c r="AW85" s="134"/>
      <c r="AX85" s="134"/>
      <c r="AY85" s="134"/>
      <c r="AZ85" s="134"/>
      <c r="BA85" s="134"/>
      <c r="BB85" s="134"/>
      <c r="BC85" s="134"/>
      <c r="BD85" s="134"/>
      <c r="BE85" s="134"/>
      <c r="BF85" s="134"/>
      <c r="BG85" s="134"/>
      <c r="BH85" s="134"/>
      <c r="BI85" s="134"/>
      <c r="BJ85" s="134"/>
      <c r="BK85" s="134"/>
      <c r="BL85" s="134"/>
      <c r="BM85" s="134"/>
      <c r="BN85" s="134"/>
      <c r="BO85" s="134"/>
      <c r="BP85" s="134"/>
      <c r="BQ85" s="134"/>
      <c r="BR85" s="134"/>
      <c r="BS85" s="134"/>
      <c r="BT85" s="134"/>
      <c r="BU85" s="134"/>
      <c r="BV85" s="134"/>
      <c r="BW85" s="134"/>
      <c r="BX85" s="134"/>
      <c r="BY85" s="134"/>
    </row>
    <row r="86" outlineLevel="1" ht="14.5">
      <c r="A86" s="174" t="s">
        <v>1027</v>
      </c>
      <c r="B86" s="190"/>
      <c r="C86" s="185"/>
      <c r="D86" s="186"/>
      <c r="E86" s="185"/>
      <c r="F86" s="186"/>
      <c r="G86" s="176"/>
      <c r="H86" s="176"/>
      <c r="I86" s="176"/>
      <c r="J86" s="179">
        <f>+C86+E86+H86+I86+G86</f>
        <v>0</v>
      </c>
      <c r="K86" s="170">
        <f t="shared" si="60"/>
        <v>0</v>
      </c>
      <c r="M86" s="170"/>
      <c r="R86" s="134"/>
      <c r="S86" s="134"/>
      <c r="T86" s="134"/>
      <c r="U86" s="134"/>
      <c r="V86" s="134"/>
      <c r="W86" s="134"/>
      <c r="X86" s="134"/>
      <c r="Y86" s="134"/>
      <c r="Z86" s="134"/>
      <c r="AA86" s="134"/>
      <c r="AB86" s="134"/>
      <c r="AC86" s="134"/>
      <c r="AD86" s="134"/>
      <c r="AE86" s="134"/>
      <c r="AF86" s="134"/>
      <c r="AG86" s="134"/>
      <c r="AH86" s="134"/>
      <c r="AI86" s="134"/>
      <c r="AJ86" s="134"/>
      <c r="AK86" s="134"/>
      <c r="AL86" s="134"/>
      <c r="AM86" s="134"/>
      <c r="AN86" s="134"/>
      <c r="AO86" s="134"/>
      <c r="AP86" s="134"/>
      <c r="AQ86" s="134"/>
      <c r="AR86" s="134"/>
      <c r="AS86" s="134"/>
      <c r="AT86" s="134"/>
      <c r="AU86" s="134"/>
      <c r="AV86" s="134"/>
      <c r="AW86" s="134"/>
      <c r="AX86" s="134"/>
      <c r="AY86" s="134"/>
      <c r="AZ86" s="134"/>
      <c r="BA86" s="134"/>
      <c r="BB86" s="134"/>
      <c r="BC86" s="134"/>
      <c r="BD86" s="134"/>
      <c r="BE86" s="134"/>
      <c r="BF86" s="134"/>
      <c r="BG86" s="134"/>
      <c r="BH86" s="134"/>
      <c r="BI86" s="134"/>
      <c r="BJ86" s="134"/>
      <c r="BK86" s="134"/>
      <c r="BL86" s="134"/>
      <c r="BM86" s="134"/>
      <c r="BN86" s="134"/>
      <c r="BO86" s="134"/>
      <c r="BP86" s="134"/>
      <c r="BQ86" s="134"/>
      <c r="BR86" s="134"/>
      <c r="BS86" s="134"/>
      <c r="BT86" s="134"/>
      <c r="BU86" s="134"/>
      <c r="BV86" s="134"/>
      <c r="BW86" s="134"/>
      <c r="BX86" s="134"/>
      <c r="BY86" s="134"/>
    </row>
    <row r="87" ht="14.5">
      <c r="A87" s="166" t="s">
        <v>742</v>
      </c>
      <c r="B87" s="167">
        <f>SUMIF(Raccordo!F:F,$A87,Raccordo!J:J)</f>
        <v>0</v>
      </c>
      <c r="C87" s="185"/>
      <c r="D87" s="196"/>
      <c r="E87" s="185"/>
      <c r="F87" s="186"/>
      <c r="G87" s="172">
        <f>+SUM(G88:G90)</f>
        <v>0</v>
      </c>
      <c r="H87" s="172">
        <f>+SUM(H88:H90)</f>
        <v>0</v>
      </c>
      <c r="I87" s="172">
        <f>+SUM(I88:I90)</f>
        <v>0</v>
      </c>
      <c r="J87" s="172">
        <f t="shared" ref="J87" si="62">+SUM(J88:J90)</f>
        <v>0</v>
      </c>
      <c r="K87" s="167">
        <f>+SUM(K88:K90)</f>
        <v>0</v>
      </c>
      <c r="L87" s="182"/>
      <c r="M87" s="170"/>
      <c r="P87" s="167">
        <f>+K87-SUM(R87:BY87)</f>
        <v>0</v>
      </c>
      <c r="R87" s="167">
        <f>+SUM(R88:R90)</f>
        <v>0</v>
      </c>
      <c r="S87" s="167">
        <f t="shared" ref="S87:BY87" si="63">+SUM(S88:S90)</f>
        <v>0</v>
      </c>
      <c r="T87" s="167">
        <f t="shared" si="63"/>
        <v>0</v>
      </c>
      <c r="U87" s="167">
        <f t="shared" si="63"/>
        <v>0</v>
      </c>
      <c r="V87" s="167">
        <f t="shared" si="63"/>
        <v>0</v>
      </c>
      <c r="W87" s="167">
        <f t="shared" si="63"/>
        <v>0</v>
      </c>
      <c r="X87" s="167">
        <f t="shared" si="63"/>
        <v>0</v>
      </c>
      <c r="Y87" s="167">
        <f t="shared" si="63"/>
        <v>0</v>
      </c>
      <c r="Z87" s="167">
        <f t="shared" si="63"/>
        <v>0</v>
      </c>
      <c r="AA87" s="167">
        <f t="shared" si="63"/>
        <v>0</v>
      </c>
      <c r="AB87" s="167">
        <f t="shared" si="63"/>
        <v>0</v>
      </c>
      <c r="AC87" s="167">
        <f t="shared" si="63"/>
        <v>0</v>
      </c>
      <c r="AD87" s="167">
        <f t="shared" si="63"/>
        <v>0</v>
      </c>
      <c r="AE87" s="167">
        <f t="shared" si="63"/>
        <v>0</v>
      </c>
      <c r="AF87" s="167">
        <f t="shared" si="63"/>
        <v>0</v>
      </c>
      <c r="AG87" s="167">
        <f t="shared" si="63"/>
        <v>0</v>
      </c>
      <c r="AH87" s="167">
        <f t="shared" si="63"/>
        <v>0</v>
      </c>
      <c r="AI87" s="167">
        <f t="shared" si="63"/>
        <v>0</v>
      </c>
      <c r="AJ87" s="167">
        <f t="shared" si="63"/>
        <v>0</v>
      </c>
      <c r="AK87" s="167">
        <f t="shared" si="63"/>
        <v>0</v>
      </c>
      <c r="AL87" s="167">
        <f t="shared" si="63"/>
        <v>0</v>
      </c>
      <c r="AM87" s="167">
        <f t="shared" si="63"/>
        <v>0</v>
      </c>
      <c r="AN87" s="167">
        <f t="shared" si="63"/>
        <v>0</v>
      </c>
      <c r="AO87" s="167">
        <f t="shared" si="63"/>
        <v>0</v>
      </c>
      <c r="AP87" s="167">
        <f t="shared" si="63"/>
        <v>0</v>
      </c>
      <c r="AQ87" s="167">
        <f t="shared" si="63"/>
        <v>0</v>
      </c>
      <c r="AR87" s="167">
        <f t="shared" si="63"/>
        <v>0</v>
      </c>
      <c r="AS87" s="167">
        <f t="shared" si="63"/>
        <v>0</v>
      </c>
      <c r="AT87" s="167">
        <f t="shared" si="63"/>
        <v>0</v>
      </c>
      <c r="AU87" s="167">
        <f t="shared" si="63"/>
        <v>0</v>
      </c>
      <c r="AV87" s="167">
        <f t="shared" si="63"/>
        <v>0</v>
      </c>
      <c r="AW87" s="167">
        <f t="shared" si="63"/>
        <v>0</v>
      </c>
      <c r="AX87" s="167">
        <f t="shared" si="63"/>
        <v>0</v>
      </c>
      <c r="AY87" s="167">
        <f t="shared" si="63"/>
        <v>0</v>
      </c>
      <c r="AZ87" s="167">
        <f t="shared" si="63"/>
        <v>0</v>
      </c>
      <c r="BA87" s="167">
        <f t="shared" si="63"/>
        <v>0</v>
      </c>
      <c r="BB87" s="167">
        <f t="shared" si="63"/>
        <v>0</v>
      </c>
      <c r="BC87" s="167">
        <f t="shared" si="63"/>
        <v>0</v>
      </c>
      <c r="BD87" s="167">
        <f t="shared" si="63"/>
        <v>0</v>
      </c>
      <c r="BE87" s="167">
        <f t="shared" si="63"/>
        <v>0</v>
      </c>
      <c r="BF87" s="167">
        <f t="shared" si="63"/>
        <v>0</v>
      </c>
      <c r="BG87" s="167">
        <f t="shared" si="63"/>
        <v>0</v>
      </c>
      <c r="BH87" s="167">
        <f t="shared" si="63"/>
        <v>0</v>
      </c>
      <c r="BI87" s="167">
        <f t="shared" si="63"/>
        <v>0</v>
      </c>
      <c r="BJ87" s="167">
        <f t="shared" si="63"/>
        <v>0</v>
      </c>
      <c r="BK87" s="167">
        <f t="shared" si="63"/>
        <v>0</v>
      </c>
      <c r="BL87" s="167">
        <f t="shared" si="63"/>
        <v>0</v>
      </c>
      <c r="BM87" s="167">
        <f t="shared" si="63"/>
        <v>0</v>
      </c>
      <c r="BN87" s="167">
        <f t="shared" si="63"/>
        <v>0</v>
      </c>
      <c r="BO87" s="167">
        <f t="shared" si="63"/>
        <v>0</v>
      </c>
      <c r="BP87" s="167">
        <f t="shared" si="63"/>
        <v>0</v>
      </c>
      <c r="BQ87" s="167">
        <f t="shared" si="63"/>
        <v>0</v>
      </c>
      <c r="BR87" s="167">
        <f t="shared" si="63"/>
        <v>0</v>
      </c>
      <c r="BS87" s="167">
        <f t="shared" si="63"/>
        <v>0</v>
      </c>
      <c r="BT87" s="167">
        <f t="shared" si="63"/>
        <v>0</v>
      </c>
      <c r="BU87" s="167">
        <f t="shared" si="63"/>
        <v>0</v>
      </c>
      <c r="BV87" s="167">
        <f t="shared" si="63"/>
        <v>0</v>
      </c>
      <c r="BW87" s="167">
        <f t="shared" si="63"/>
        <v>0</v>
      </c>
      <c r="BX87" s="167">
        <f t="shared" si="63"/>
        <v>0</v>
      </c>
      <c r="BY87" s="167">
        <f t="shared" si="63"/>
        <v>0</v>
      </c>
    </row>
    <row r="88" outlineLevel="1" ht="14.5">
      <c r="A88" s="174" t="s">
        <v>1063</v>
      </c>
      <c r="B88" s="189"/>
      <c r="C88" s="185"/>
      <c r="D88" s="196"/>
      <c r="E88" s="185"/>
      <c r="F88" s="186"/>
      <c r="G88" s="176"/>
      <c r="H88" s="176"/>
      <c r="I88" s="176"/>
      <c r="J88" s="179">
        <f>+C88+E88+H88+I88+G88</f>
        <v>0</v>
      </c>
      <c r="K88" s="170">
        <f t="shared" ref="K88:K90" si="64">+B88+J88</f>
        <v>0</v>
      </c>
      <c r="M88" s="170"/>
      <c r="P88" s="141">
        <f t="shared" ref="P88:P89" si="65">K88-SUM(R88:BY88)</f>
        <v>0</v>
      </c>
      <c r="R88" s="134"/>
      <c r="S88" s="134"/>
      <c r="T88" s="134"/>
      <c r="U88" s="134"/>
      <c r="V88" s="134"/>
      <c r="W88" s="134"/>
      <c r="X88" s="134"/>
      <c r="Y88" s="134"/>
      <c r="Z88" s="134"/>
      <c r="AA88" s="134"/>
      <c r="AB88" s="134"/>
      <c r="AC88" s="134"/>
      <c r="AD88" s="134"/>
      <c r="AE88" s="134"/>
      <c r="AF88" s="134"/>
      <c r="AG88" s="134"/>
      <c r="AH88" s="134"/>
      <c r="AI88" s="134"/>
      <c r="AJ88" s="134"/>
      <c r="AK88" s="134"/>
      <c r="AL88" s="134"/>
      <c r="AM88" s="134"/>
      <c r="AN88" s="134"/>
      <c r="AO88" s="134"/>
      <c r="AP88" s="134"/>
      <c r="AQ88" s="134"/>
      <c r="AR88" s="134"/>
      <c r="AS88" s="134"/>
      <c r="AT88" s="134"/>
      <c r="AU88" s="134"/>
      <c r="AV88" s="134"/>
      <c r="AW88" s="134"/>
      <c r="AX88" s="134"/>
      <c r="AY88" s="134"/>
      <c r="AZ88" s="134"/>
      <c r="BA88" s="134"/>
      <c r="BB88" s="134"/>
      <c r="BC88" s="134"/>
      <c r="BD88" s="134"/>
      <c r="BE88" s="134"/>
      <c r="BF88" s="134"/>
      <c r="BG88" s="134"/>
      <c r="BH88" s="134"/>
      <c r="BI88" s="134"/>
      <c r="BJ88" s="134"/>
      <c r="BK88" s="134"/>
      <c r="BL88" s="134"/>
      <c r="BM88" s="134"/>
      <c r="BN88" s="134"/>
      <c r="BO88" s="134"/>
      <c r="BP88" s="134"/>
      <c r="BQ88" s="134"/>
      <c r="BR88" s="134"/>
      <c r="BS88" s="134"/>
      <c r="BT88" s="134"/>
      <c r="BU88" s="134"/>
      <c r="BV88" s="134"/>
      <c r="BW88" s="134"/>
      <c r="BX88" s="134"/>
      <c r="BY88" s="134"/>
    </row>
    <row r="89" outlineLevel="1" ht="14.5">
      <c r="A89" s="174" t="s">
        <v>1064</v>
      </c>
      <c r="B89" s="189"/>
      <c r="C89" s="185"/>
      <c r="D89" s="196"/>
      <c r="E89" s="185"/>
      <c r="F89" s="186"/>
      <c r="G89" s="176"/>
      <c r="H89" s="176"/>
      <c r="I89" s="176"/>
      <c r="J89" s="179">
        <f>+C89+E89+H89+I89+G89</f>
        <v>0</v>
      </c>
      <c r="K89" s="170">
        <f t="shared" si="64"/>
        <v>0</v>
      </c>
      <c r="M89" s="170"/>
      <c r="P89" s="141">
        <f t="shared" si="65"/>
        <v>0</v>
      </c>
      <c r="R89" s="134"/>
      <c r="S89" s="134"/>
      <c r="T89" s="134"/>
      <c r="U89" s="134"/>
      <c r="V89" s="134"/>
      <c r="W89" s="134"/>
      <c r="X89" s="134"/>
      <c r="Y89" s="134"/>
      <c r="Z89" s="134"/>
      <c r="AA89" s="134"/>
      <c r="AB89" s="134"/>
      <c r="AC89" s="134"/>
      <c r="AD89" s="134"/>
      <c r="AE89" s="134"/>
      <c r="AF89" s="134"/>
      <c r="AG89" s="134"/>
      <c r="AH89" s="134"/>
      <c r="AI89" s="134"/>
      <c r="AJ89" s="134"/>
      <c r="AK89" s="134"/>
      <c r="AL89" s="134"/>
      <c r="AM89" s="134"/>
      <c r="AN89" s="134"/>
      <c r="AO89" s="134"/>
      <c r="AP89" s="134"/>
      <c r="AQ89" s="134"/>
      <c r="AR89" s="134"/>
      <c r="AS89" s="134"/>
      <c r="AT89" s="134"/>
      <c r="AU89" s="134"/>
      <c r="AV89" s="134"/>
      <c r="AW89" s="134"/>
      <c r="AX89" s="134"/>
      <c r="AY89" s="134"/>
      <c r="AZ89" s="134"/>
      <c r="BA89" s="134"/>
      <c r="BB89" s="134"/>
      <c r="BC89" s="134"/>
      <c r="BD89" s="134"/>
      <c r="BE89" s="134"/>
      <c r="BF89" s="134"/>
      <c r="BG89" s="134"/>
      <c r="BH89" s="134"/>
      <c r="BI89" s="134"/>
      <c r="BJ89" s="134"/>
      <c r="BK89" s="134"/>
      <c r="BL89" s="134"/>
      <c r="BM89" s="134"/>
      <c r="BN89" s="134"/>
      <c r="BO89" s="134"/>
      <c r="BP89" s="134"/>
      <c r="BQ89" s="134"/>
      <c r="BR89" s="134"/>
      <c r="BS89" s="134"/>
      <c r="BT89" s="134"/>
      <c r="BU89" s="134"/>
      <c r="BV89" s="134"/>
      <c r="BW89" s="134"/>
      <c r="BX89" s="134"/>
      <c r="BY89" s="134"/>
    </row>
    <row r="90" outlineLevel="1" ht="14.5">
      <c r="A90" s="174" t="s">
        <v>1027</v>
      </c>
      <c r="B90" s="190"/>
      <c r="C90" s="185"/>
      <c r="D90" s="196"/>
      <c r="E90" s="185"/>
      <c r="F90" s="196"/>
      <c r="G90" s="176"/>
      <c r="H90" s="176"/>
      <c r="I90" s="176"/>
      <c r="J90" s="179">
        <f t="shared" ref="J90" si="66">+C90+E90+H90+I90+G90</f>
        <v>0</v>
      </c>
      <c r="K90" s="170">
        <f t="shared" si="64"/>
        <v>0</v>
      </c>
      <c r="M90" s="170"/>
      <c r="R90" s="134"/>
      <c r="S90" s="134"/>
      <c r="T90" s="134"/>
      <c r="U90" s="134"/>
      <c r="V90" s="134"/>
      <c r="W90" s="134"/>
      <c r="X90" s="134"/>
      <c r="Y90" s="134"/>
      <c r="Z90" s="134"/>
      <c r="AA90" s="134"/>
      <c r="AB90" s="134"/>
      <c r="AC90" s="134"/>
      <c r="AD90" s="134"/>
      <c r="AE90" s="134"/>
      <c r="AF90" s="134"/>
      <c r="AG90" s="134"/>
      <c r="AH90" s="134"/>
      <c r="AI90" s="134"/>
      <c r="AJ90" s="134"/>
      <c r="AK90" s="134"/>
      <c r="AL90" s="134"/>
      <c r="AM90" s="134"/>
      <c r="AN90" s="134"/>
      <c r="AO90" s="134"/>
      <c r="AP90" s="134"/>
      <c r="AQ90" s="134"/>
      <c r="AR90" s="134"/>
      <c r="AS90" s="134"/>
      <c r="AT90" s="134"/>
      <c r="AU90" s="134"/>
      <c r="AV90" s="134"/>
      <c r="AW90" s="134"/>
      <c r="AX90" s="134"/>
      <c r="AY90" s="134"/>
      <c r="AZ90" s="134"/>
      <c r="BA90" s="134"/>
      <c r="BB90" s="134"/>
      <c r="BC90" s="134"/>
      <c r="BD90" s="134"/>
      <c r="BE90" s="134"/>
      <c r="BF90" s="134"/>
      <c r="BG90" s="134"/>
      <c r="BH90" s="134"/>
      <c r="BI90" s="134"/>
      <c r="BJ90" s="134"/>
      <c r="BK90" s="134"/>
      <c r="BL90" s="134"/>
      <c r="BM90" s="134"/>
      <c r="BN90" s="134"/>
      <c r="BO90" s="134"/>
      <c r="BP90" s="134"/>
      <c r="BQ90" s="134"/>
      <c r="BR90" s="134"/>
      <c r="BS90" s="134"/>
      <c r="BT90" s="134"/>
      <c r="BU90" s="134"/>
      <c r="BV90" s="134"/>
      <c r="BW90" s="134"/>
      <c r="BX90" s="134"/>
      <c r="BY90" s="134"/>
    </row>
    <row r="91" ht="14.5">
      <c r="A91" s="197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9"/>
      <c r="M91" s="198"/>
      <c r="R91" s="200">
        <f>+R87+R83+R79+R75+R71+R67+R63+R59+R55+R51+R47+R43+R39+R28+R18+R8</f>
        <v>0</v>
      </c>
      <c r="S91" s="200">
        <f t="shared" ref="S91:BY91" si="67">+S87+S83+S79+S75+S71+S67+S63+S59+S55+S51+S47+S43+S39+S28+S18+S8</f>
        <v>0</v>
      </c>
      <c r="T91" s="200">
        <f t="shared" si="67"/>
        <v>0</v>
      </c>
      <c r="U91" s="200">
        <f t="shared" si="67"/>
        <v>0</v>
      </c>
      <c r="V91" s="200">
        <f t="shared" si="67"/>
        <v>0</v>
      </c>
      <c r="W91" s="200">
        <f t="shared" si="67"/>
        <v>0</v>
      </c>
      <c r="X91" s="200">
        <f t="shared" si="67"/>
        <v>0</v>
      </c>
      <c r="Y91" s="200">
        <f t="shared" si="67"/>
        <v>0</v>
      </c>
      <c r="Z91" s="200">
        <f t="shared" si="67"/>
        <v>0</v>
      </c>
      <c r="AA91" s="200">
        <f t="shared" si="67"/>
        <v>0</v>
      </c>
      <c r="AB91" s="200">
        <f t="shared" si="67"/>
        <v>0</v>
      </c>
      <c r="AC91" s="200">
        <f t="shared" si="67"/>
        <v>0</v>
      </c>
      <c r="AD91" s="200">
        <f t="shared" si="67"/>
        <v>0</v>
      </c>
      <c r="AE91" s="200">
        <f t="shared" si="67"/>
        <v>0</v>
      </c>
      <c r="AF91" s="200">
        <f t="shared" si="67"/>
        <v>0</v>
      </c>
      <c r="AG91" s="200">
        <f t="shared" si="67"/>
        <v>0</v>
      </c>
      <c r="AH91" s="200">
        <f t="shared" si="67"/>
        <v>0</v>
      </c>
      <c r="AI91" s="200">
        <f t="shared" si="67"/>
        <v>0</v>
      </c>
      <c r="AJ91" s="200">
        <f t="shared" si="67"/>
        <v>0</v>
      </c>
      <c r="AK91" s="200">
        <f t="shared" si="67"/>
        <v>0</v>
      </c>
      <c r="AL91" s="200">
        <f t="shared" si="67"/>
        <v>0</v>
      </c>
      <c r="AM91" s="200">
        <f t="shared" si="67"/>
        <v>0</v>
      </c>
      <c r="AN91" s="200">
        <f t="shared" si="67"/>
        <v>0</v>
      </c>
      <c r="AO91" s="200">
        <f t="shared" si="67"/>
        <v>0</v>
      </c>
      <c r="AP91" s="200">
        <f t="shared" si="67"/>
        <v>0</v>
      </c>
      <c r="AQ91" s="200">
        <f t="shared" si="67"/>
        <v>0</v>
      </c>
      <c r="AR91" s="200">
        <f t="shared" si="67"/>
        <v>0</v>
      </c>
      <c r="AS91" s="200">
        <f t="shared" si="67"/>
        <v>0</v>
      </c>
      <c r="AT91" s="200">
        <f t="shared" si="67"/>
        <v>0</v>
      </c>
      <c r="AU91" s="200">
        <f t="shared" si="67"/>
        <v>0</v>
      </c>
      <c r="AV91" s="200">
        <f t="shared" si="67"/>
        <v>0</v>
      </c>
      <c r="AW91" s="200">
        <f t="shared" si="67"/>
        <v>0</v>
      </c>
      <c r="AX91" s="200">
        <f t="shared" si="67"/>
        <v>0</v>
      </c>
      <c r="AY91" s="200">
        <f t="shared" si="67"/>
        <v>0</v>
      </c>
      <c r="AZ91" s="200">
        <f t="shared" si="67"/>
        <v>0</v>
      </c>
      <c r="BA91" s="200">
        <f t="shared" si="67"/>
        <v>0</v>
      </c>
      <c r="BB91" s="200">
        <f t="shared" si="67"/>
        <v>0</v>
      </c>
      <c r="BC91" s="200">
        <f t="shared" si="67"/>
        <v>0</v>
      </c>
      <c r="BD91" s="200">
        <f t="shared" si="67"/>
        <v>0</v>
      </c>
      <c r="BE91" s="200">
        <f t="shared" si="67"/>
        <v>0</v>
      </c>
      <c r="BF91" s="200">
        <f t="shared" si="67"/>
        <v>0</v>
      </c>
      <c r="BG91" s="200">
        <f t="shared" si="67"/>
        <v>0</v>
      </c>
      <c r="BH91" s="200">
        <f t="shared" si="67"/>
        <v>0</v>
      </c>
      <c r="BI91" s="200">
        <f t="shared" si="67"/>
        <v>0</v>
      </c>
      <c r="BJ91" s="200">
        <f t="shared" si="67"/>
        <v>0</v>
      </c>
      <c r="BK91" s="200">
        <f t="shared" si="67"/>
        <v>0</v>
      </c>
      <c r="BL91" s="200">
        <f t="shared" si="67"/>
        <v>0</v>
      </c>
      <c r="BM91" s="200">
        <f t="shared" si="67"/>
        <v>0</v>
      </c>
      <c r="BN91" s="200">
        <f t="shared" si="67"/>
        <v>0</v>
      </c>
      <c r="BO91" s="200">
        <f t="shared" si="67"/>
        <v>0</v>
      </c>
      <c r="BP91" s="200">
        <f t="shared" si="67"/>
        <v>0</v>
      </c>
      <c r="BQ91" s="200">
        <f t="shared" si="67"/>
        <v>0</v>
      </c>
      <c r="BR91" s="200">
        <f t="shared" si="67"/>
        <v>0</v>
      </c>
      <c r="BS91" s="200">
        <f t="shared" si="67"/>
        <v>0</v>
      </c>
      <c r="BT91" s="200">
        <f t="shared" si="67"/>
        <v>0</v>
      </c>
      <c r="BU91" s="200">
        <f t="shared" si="67"/>
        <v>0</v>
      </c>
      <c r="BV91" s="200">
        <f t="shared" si="67"/>
        <v>0</v>
      </c>
      <c r="BW91" s="200">
        <f t="shared" si="67"/>
        <v>0</v>
      </c>
      <c r="BX91" s="200">
        <f t="shared" si="67"/>
        <v>0</v>
      </c>
      <c r="BY91" s="200">
        <f t="shared" si="67"/>
        <v>0</v>
      </c>
    </row>
    <row r="92" ht="14.5">
      <c r="A92" s="166" t="s">
        <v>732</v>
      </c>
      <c r="B92" s="167">
        <f>SUMIF(Raccordo!F:F,$A92,Raccordo!J:J)</f>
        <v>0</v>
      </c>
      <c r="C92" s="194"/>
      <c r="D92" s="201"/>
      <c r="E92" s="194"/>
      <c r="F92" s="201"/>
      <c r="G92" s="172">
        <f>+SUM(G93:G97)</f>
        <v>0</v>
      </c>
      <c r="H92" s="167">
        <f>+SUM(H93:H97)</f>
        <v>0</v>
      </c>
      <c r="I92" s="172">
        <f>+SUM(I93:I97)</f>
        <v>0</v>
      </c>
      <c r="J92" s="172">
        <f>+SUM(J93:J97)</f>
        <v>0</v>
      </c>
      <c r="K92" s="167">
        <f>+SUM(K93:K97)</f>
        <v>0</v>
      </c>
      <c r="L92" s="159" t="s">
        <v>1065</v>
      </c>
      <c r="M92" s="202">
        <f t="shared" ref="M92" si="68">+SUM(M93:M94)</f>
        <v>0</v>
      </c>
      <c r="P92" s="167">
        <f>+K92-SUM(R92:BY92)</f>
        <v>0</v>
      </c>
      <c r="Q92" s="173" t="s">
        <v>1066</v>
      </c>
      <c r="R92" s="167">
        <f t="shared" ref="R92:AW92" si="69">+SUM(R93:R97)</f>
        <v>0</v>
      </c>
      <c r="S92" s="167">
        <f t="shared" si="69"/>
        <v>0</v>
      </c>
      <c r="T92" s="167">
        <f t="shared" si="69"/>
        <v>0</v>
      </c>
      <c r="U92" s="167">
        <f t="shared" si="69"/>
        <v>0</v>
      </c>
      <c r="V92" s="167">
        <f t="shared" si="69"/>
        <v>0</v>
      </c>
      <c r="W92" s="167">
        <f t="shared" si="69"/>
        <v>0</v>
      </c>
      <c r="X92" s="167">
        <f t="shared" si="69"/>
        <v>0</v>
      </c>
      <c r="Y92" s="167">
        <f t="shared" si="69"/>
        <v>0</v>
      </c>
      <c r="Z92" s="167">
        <f t="shared" si="69"/>
        <v>0</v>
      </c>
      <c r="AA92" s="167">
        <f t="shared" si="69"/>
        <v>0</v>
      </c>
      <c r="AB92" s="167">
        <f t="shared" si="69"/>
        <v>0</v>
      </c>
      <c r="AC92" s="167">
        <f t="shared" si="69"/>
        <v>0</v>
      </c>
      <c r="AD92" s="167">
        <f t="shared" si="69"/>
        <v>0</v>
      </c>
      <c r="AE92" s="167">
        <f t="shared" si="69"/>
        <v>0</v>
      </c>
      <c r="AF92" s="167">
        <f t="shared" si="69"/>
        <v>0</v>
      </c>
      <c r="AG92" s="167">
        <f t="shared" si="69"/>
        <v>0</v>
      </c>
      <c r="AH92" s="167">
        <f t="shared" si="69"/>
        <v>0</v>
      </c>
      <c r="AI92" s="167">
        <f t="shared" si="69"/>
        <v>0</v>
      </c>
      <c r="AJ92" s="167">
        <f t="shared" si="69"/>
        <v>0</v>
      </c>
      <c r="AK92" s="167">
        <f t="shared" si="69"/>
        <v>0</v>
      </c>
      <c r="AL92" s="167">
        <f t="shared" si="69"/>
        <v>0</v>
      </c>
      <c r="AM92" s="167">
        <f t="shared" si="69"/>
        <v>0</v>
      </c>
      <c r="AN92" s="167">
        <f t="shared" si="69"/>
        <v>0</v>
      </c>
      <c r="AO92" s="167">
        <f t="shared" si="69"/>
        <v>0</v>
      </c>
      <c r="AP92" s="167">
        <f t="shared" si="69"/>
        <v>0</v>
      </c>
      <c r="AQ92" s="167">
        <f t="shared" si="69"/>
        <v>0</v>
      </c>
      <c r="AR92" s="167">
        <f t="shared" si="69"/>
        <v>0</v>
      </c>
      <c r="AS92" s="167">
        <f t="shared" si="69"/>
        <v>0</v>
      </c>
      <c r="AT92" s="167">
        <f t="shared" si="69"/>
        <v>0</v>
      </c>
      <c r="AU92" s="167">
        <f t="shared" si="69"/>
        <v>0</v>
      </c>
      <c r="AV92" s="167">
        <f t="shared" si="69"/>
        <v>0</v>
      </c>
      <c r="AW92" s="167">
        <f t="shared" si="69"/>
        <v>0</v>
      </c>
      <c r="AX92" s="167">
        <f t="shared" ref="AX92:BY92" si="70">+SUM(AX93:AX97)</f>
        <v>0</v>
      </c>
      <c r="AY92" s="167">
        <f t="shared" si="70"/>
        <v>0</v>
      </c>
      <c r="AZ92" s="167">
        <f t="shared" si="70"/>
        <v>0</v>
      </c>
      <c r="BA92" s="167">
        <f t="shared" si="70"/>
        <v>0</v>
      </c>
      <c r="BB92" s="167">
        <f t="shared" si="70"/>
        <v>0</v>
      </c>
      <c r="BC92" s="167">
        <f t="shared" si="70"/>
        <v>0</v>
      </c>
      <c r="BD92" s="167">
        <f t="shared" si="70"/>
        <v>0</v>
      </c>
      <c r="BE92" s="167">
        <f t="shared" si="70"/>
        <v>0</v>
      </c>
      <c r="BF92" s="167">
        <f t="shared" si="70"/>
        <v>0</v>
      </c>
      <c r="BG92" s="167">
        <f t="shared" si="70"/>
        <v>0</v>
      </c>
      <c r="BH92" s="167">
        <f t="shared" si="70"/>
        <v>0</v>
      </c>
      <c r="BI92" s="167">
        <f t="shared" si="70"/>
        <v>0</v>
      </c>
      <c r="BJ92" s="167">
        <f t="shared" si="70"/>
        <v>0</v>
      </c>
      <c r="BK92" s="167">
        <f t="shared" si="70"/>
        <v>0</v>
      </c>
      <c r="BL92" s="167">
        <f t="shared" si="70"/>
        <v>0</v>
      </c>
      <c r="BM92" s="167">
        <f t="shared" si="70"/>
        <v>0</v>
      </c>
      <c r="BN92" s="167">
        <f t="shared" si="70"/>
        <v>0</v>
      </c>
      <c r="BO92" s="167">
        <f t="shared" si="70"/>
        <v>0</v>
      </c>
      <c r="BP92" s="167">
        <f t="shared" si="70"/>
        <v>0</v>
      </c>
      <c r="BQ92" s="167">
        <f t="shared" si="70"/>
        <v>0</v>
      </c>
      <c r="BR92" s="167">
        <f t="shared" si="70"/>
        <v>0</v>
      </c>
      <c r="BS92" s="167">
        <f t="shared" si="70"/>
        <v>0</v>
      </c>
      <c r="BT92" s="167">
        <f t="shared" si="70"/>
        <v>0</v>
      </c>
      <c r="BU92" s="167">
        <f t="shared" si="70"/>
        <v>0</v>
      </c>
      <c r="BV92" s="167">
        <f t="shared" si="70"/>
        <v>0</v>
      </c>
      <c r="BW92" s="167">
        <f t="shared" si="70"/>
        <v>0</v>
      </c>
      <c r="BX92" s="167">
        <f t="shared" si="70"/>
        <v>0</v>
      </c>
      <c r="BY92" s="167">
        <f t="shared" si="70"/>
        <v>0</v>
      </c>
    </row>
    <row r="93" outlineLevel="1" ht="14.5">
      <c r="A93" s="174" t="s">
        <v>1067</v>
      </c>
      <c r="B93" s="177"/>
      <c r="C93" s="185"/>
      <c r="D93" s="196"/>
      <c r="E93" s="185"/>
      <c r="F93" s="196"/>
      <c r="G93" s="176"/>
      <c r="H93" s="177"/>
      <c r="I93" s="176"/>
      <c r="J93" s="179">
        <f t="shared" ref="J93:J97" si="71">+C93+E93+H93+I93+G93</f>
        <v>0</v>
      </c>
      <c r="K93" s="134">
        <f>+(B93+J93)*(1+Q93)</f>
        <v>0</v>
      </c>
      <c r="L93" s="134"/>
      <c r="M93" s="170"/>
      <c r="N93" s="141">
        <f>K93-K93/(1+Q93)</f>
        <v>0</v>
      </c>
      <c r="P93" s="141">
        <f t="shared" ref="P93:P97" si="72">IF(L93="Continuità","",K93-SUM(R93:BY93))</f>
        <v>0</v>
      </c>
      <c r="Q93" s="203"/>
      <c r="R93" s="134"/>
      <c r="S93" s="134"/>
      <c r="T93" s="134"/>
      <c r="U93" s="134"/>
      <c r="V93" s="134"/>
      <c r="W93" s="134"/>
      <c r="X93" s="134"/>
      <c r="Y93" s="134"/>
      <c r="Z93" s="134"/>
      <c r="AA93" s="134"/>
      <c r="AB93" s="134"/>
      <c r="AC93" s="134"/>
      <c r="AD93" s="134"/>
      <c r="AE93" s="134"/>
      <c r="AF93" s="134"/>
      <c r="AG93" s="134"/>
      <c r="AH93" s="134"/>
      <c r="AI93" s="134"/>
      <c r="AJ93" s="134"/>
      <c r="AK93" s="134"/>
      <c r="AL93" s="134"/>
      <c r="AM93" s="134"/>
      <c r="AN93" s="134"/>
      <c r="AO93" s="134"/>
      <c r="AP93" s="134"/>
      <c r="AQ93" s="134"/>
      <c r="AR93" s="134"/>
      <c r="AS93" s="134"/>
      <c r="AT93" s="134"/>
      <c r="AU93" s="134"/>
      <c r="AV93" s="134"/>
      <c r="AW93" s="134"/>
      <c r="AX93" s="134"/>
      <c r="AY93" s="134"/>
      <c r="AZ93" s="134"/>
      <c r="BA93" s="134"/>
      <c r="BB93" s="134"/>
      <c r="BC93" s="134"/>
      <c r="BD93" s="134"/>
      <c r="BE93" s="134"/>
      <c r="BF93" s="134"/>
      <c r="BG93" s="134"/>
      <c r="BH93" s="134"/>
      <c r="BI93" s="134"/>
      <c r="BJ93" s="134"/>
      <c r="BK93" s="134"/>
      <c r="BL93" s="134"/>
      <c r="BM93" s="134"/>
      <c r="BN93" s="134"/>
      <c r="BO93" s="134"/>
      <c r="BP93" s="134"/>
      <c r="BQ93" s="134"/>
      <c r="BR93" s="134"/>
      <c r="BS93" s="134"/>
      <c r="BT93" s="134"/>
      <c r="BU93" s="134"/>
      <c r="BV93" s="134"/>
      <c r="BW93" s="134"/>
      <c r="BX93" s="134"/>
      <c r="BY93" s="134"/>
    </row>
    <row r="94" outlineLevel="1" ht="14.5">
      <c r="A94" s="174" t="s">
        <v>1068</v>
      </c>
      <c r="B94" s="177"/>
      <c r="C94" s="185"/>
      <c r="D94" s="196"/>
      <c r="E94" s="185"/>
      <c r="F94" s="196"/>
      <c r="G94" s="176"/>
      <c r="H94" s="177"/>
      <c r="I94" s="176"/>
      <c r="J94" s="179">
        <f t="shared" si="71"/>
        <v>0</v>
      </c>
      <c r="K94" s="134">
        <f>+(B94+J94)*(1+Q94)</f>
        <v>0</v>
      </c>
      <c r="L94" s="134"/>
      <c r="M94" s="170"/>
      <c r="N94" s="141">
        <f>K94-K94/(1+Q94)</f>
        <v>0</v>
      </c>
      <c r="P94" s="141">
        <f t="shared" si="72"/>
        <v>0</v>
      </c>
      <c r="Q94" s="203"/>
      <c r="R94" s="134"/>
      <c r="S94" s="134"/>
      <c r="T94" s="134"/>
      <c r="U94" s="134"/>
      <c r="V94" s="134"/>
      <c r="W94" s="134"/>
      <c r="X94" s="134"/>
      <c r="Y94" s="134"/>
      <c r="Z94" s="134"/>
      <c r="AA94" s="134"/>
      <c r="AB94" s="134"/>
      <c r="AC94" s="134"/>
      <c r="AD94" s="134"/>
      <c r="AE94" s="134"/>
      <c r="AF94" s="134"/>
      <c r="AG94" s="134"/>
      <c r="AH94" s="134"/>
      <c r="AI94" s="134"/>
      <c r="AJ94" s="134"/>
      <c r="AK94" s="134"/>
      <c r="AL94" s="134"/>
      <c r="AM94" s="134"/>
      <c r="AN94" s="134"/>
      <c r="AO94" s="134"/>
      <c r="AP94" s="134"/>
      <c r="AQ94" s="134"/>
      <c r="AR94" s="134"/>
      <c r="AS94" s="134"/>
      <c r="AT94" s="134"/>
      <c r="AU94" s="134"/>
      <c r="AV94" s="134"/>
      <c r="AW94" s="134"/>
      <c r="AX94" s="134"/>
      <c r="AY94" s="134"/>
      <c r="AZ94" s="134"/>
      <c r="BA94" s="134"/>
      <c r="BB94" s="134"/>
      <c r="BC94" s="134"/>
      <c r="BD94" s="134"/>
      <c r="BE94" s="134"/>
      <c r="BF94" s="134"/>
      <c r="BG94" s="134"/>
      <c r="BH94" s="134"/>
      <c r="BI94" s="134"/>
      <c r="BJ94" s="134"/>
      <c r="BK94" s="134"/>
      <c r="BL94" s="134"/>
      <c r="BM94" s="134"/>
      <c r="BN94" s="134"/>
      <c r="BO94" s="134"/>
      <c r="BP94" s="134"/>
      <c r="BQ94" s="134"/>
      <c r="BR94" s="134"/>
      <c r="BS94" s="134"/>
      <c r="BT94" s="134"/>
      <c r="BU94" s="134"/>
      <c r="BV94" s="134"/>
      <c r="BW94" s="134"/>
      <c r="BX94" s="134"/>
      <c r="BY94" s="134"/>
    </row>
    <row r="95" outlineLevel="1" ht="14.5">
      <c r="A95" s="174" t="s">
        <v>1069</v>
      </c>
      <c r="B95" s="177"/>
      <c r="C95" s="185"/>
      <c r="D95" s="196"/>
      <c r="E95" s="185"/>
      <c r="F95" s="196"/>
      <c r="G95" s="176"/>
      <c r="H95" s="177"/>
      <c r="I95" s="176"/>
      <c r="J95" s="179">
        <f t="shared" si="71"/>
        <v>0</v>
      </c>
      <c r="K95" s="134">
        <f>+(B95+J95)*(1+Q95)</f>
        <v>0</v>
      </c>
      <c r="L95" s="134"/>
      <c r="M95" s="170"/>
      <c r="N95" s="141">
        <f t="shared" ref="N95:N97" si="73">K95-K95/(1+Q95)</f>
        <v>0</v>
      </c>
      <c r="P95" s="141">
        <f t="shared" si="72"/>
        <v>0</v>
      </c>
      <c r="Q95" s="203"/>
      <c r="R95" s="134"/>
      <c r="S95" s="134"/>
      <c r="T95" s="134"/>
      <c r="U95" s="134"/>
      <c r="V95" s="134"/>
      <c r="W95" s="134"/>
      <c r="X95" s="134"/>
      <c r="Y95" s="134"/>
      <c r="Z95" s="134"/>
      <c r="AA95" s="134"/>
      <c r="AB95" s="134"/>
      <c r="AC95" s="134"/>
      <c r="AD95" s="134"/>
      <c r="AE95" s="134"/>
      <c r="AF95" s="134"/>
      <c r="AG95" s="134"/>
      <c r="AH95" s="134"/>
      <c r="AI95" s="134"/>
      <c r="AJ95" s="134"/>
      <c r="AK95" s="134"/>
      <c r="AL95" s="134"/>
      <c r="AM95" s="134"/>
      <c r="AN95" s="134"/>
      <c r="AO95" s="134"/>
      <c r="AP95" s="134"/>
      <c r="AQ95" s="134"/>
      <c r="AR95" s="134"/>
      <c r="AS95" s="134"/>
      <c r="AT95" s="134"/>
      <c r="AU95" s="134"/>
      <c r="AV95" s="134"/>
      <c r="AW95" s="134"/>
      <c r="AX95" s="134"/>
      <c r="AY95" s="134"/>
      <c r="AZ95" s="134"/>
      <c r="BA95" s="134"/>
      <c r="BB95" s="134"/>
      <c r="BC95" s="134"/>
      <c r="BD95" s="134"/>
      <c r="BE95" s="134"/>
      <c r="BF95" s="134"/>
      <c r="BG95" s="134"/>
      <c r="BH95" s="134"/>
      <c r="BI95" s="134"/>
      <c r="BJ95" s="134"/>
      <c r="BK95" s="134"/>
      <c r="BL95" s="134"/>
      <c r="BM95" s="134"/>
      <c r="BN95" s="134"/>
      <c r="BO95" s="134"/>
      <c r="BP95" s="134"/>
      <c r="BQ95" s="134"/>
      <c r="BR95" s="134"/>
      <c r="BS95" s="134"/>
      <c r="BT95" s="134"/>
      <c r="BU95" s="134"/>
      <c r="BV95" s="134"/>
      <c r="BW95" s="134"/>
      <c r="BX95" s="134"/>
      <c r="BY95" s="134"/>
    </row>
    <row r="96" outlineLevel="1" ht="14.5">
      <c r="A96" s="174" t="s">
        <v>1070</v>
      </c>
      <c r="B96" s="177"/>
      <c r="C96" s="185"/>
      <c r="D96" s="196"/>
      <c r="E96" s="185"/>
      <c r="F96" s="196"/>
      <c r="G96" s="176"/>
      <c r="H96" s="177"/>
      <c r="I96" s="176"/>
      <c r="J96" s="179">
        <f t="shared" si="71"/>
        <v>0</v>
      </c>
      <c r="K96" s="134">
        <f>+(B96+J96)*(1+Q96)</f>
        <v>0</v>
      </c>
      <c r="L96" s="134"/>
      <c r="M96" s="170"/>
      <c r="N96" s="141">
        <f t="shared" si="73"/>
        <v>0</v>
      </c>
      <c r="P96" s="141">
        <f t="shared" si="72"/>
        <v>0</v>
      </c>
      <c r="Q96" s="203"/>
      <c r="R96" s="134"/>
      <c r="S96" s="134"/>
      <c r="T96" s="134"/>
      <c r="U96" s="134"/>
      <c r="V96" s="134">
        <f>+K96</f>
        <v>0</v>
      </c>
      <c r="W96" s="134"/>
      <c r="X96" s="134"/>
      <c r="Y96" s="134"/>
      <c r="Z96" s="134"/>
      <c r="AA96" s="134"/>
      <c r="AB96" s="134"/>
      <c r="AC96" s="134"/>
      <c r="AD96" s="134"/>
      <c r="AE96" s="134"/>
      <c r="AF96" s="134"/>
      <c r="AG96" s="134"/>
      <c r="AH96" s="134"/>
      <c r="AI96" s="134"/>
      <c r="AJ96" s="134"/>
      <c r="AK96" s="134"/>
      <c r="AL96" s="134"/>
      <c r="AM96" s="134"/>
      <c r="AN96" s="134"/>
      <c r="AO96" s="134"/>
      <c r="AP96" s="134"/>
      <c r="AQ96" s="134"/>
      <c r="AR96" s="134"/>
      <c r="AS96" s="134"/>
      <c r="AT96" s="134"/>
      <c r="AU96" s="134"/>
      <c r="AV96" s="134"/>
      <c r="AW96" s="134"/>
      <c r="AX96" s="134"/>
      <c r="AY96" s="134"/>
      <c r="AZ96" s="134"/>
      <c r="BA96" s="134"/>
      <c r="BB96" s="134"/>
      <c r="BC96" s="134"/>
      <c r="BD96" s="134"/>
      <c r="BE96" s="134"/>
      <c r="BF96" s="134"/>
      <c r="BG96" s="134"/>
      <c r="BH96" s="134"/>
      <c r="BI96" s="134"/>
      <c r="BJ96" s="134"/>
      <c r="BK96" s="134"/>
      <c r="BL96" s="134"/>
      <c r="BM96" s="134"/>
      <c r="BN96" s="134"/>
      <c r="BO96" s="134"/>
      <c r="BP96" s="134"/>
      <c r="BQ96" s="134"/>
      <c r="BR96" s="134"/>
      <c r="BS96" s="134"/>
      <c r="BT96" s="134"/>
      <c r="BU96" s="134"/>
      <c r="BV96" s="134"/>
      <c r="BW96" s="134"/>
      <c r="BX96" s="134"/>
      <c r="BY96" s="134"/>
    </row>
    <row r="97" outlineLevel="1" ht="14.5">
      <c r="A97" s="174"/>
      <c r="B97" s="174"/>
      <c r="C97" s="204"/>
      <c r="D97" s="205"/>
      <c r="E97" s="204"/>
      <c r="F97" s="205"/>
      <c r="G97" s="176"/>
      <c r="H97" s="177"/>
      <c r="I97" s="176"/>
      <c r="J97" s="179">
        <f t="shared" si="71"/>
        <v>0</v>
      </c>
      <c r="K97" s="134">
        <f t="shared" ref="K97" si="74">+(B97+J97)*(1+Q97)</f>
        <v>0</v>
      </c>
      <c r="L97" s="134"/>
      <c r="M97" s="170"/>
      <c r="N97" s="141">
        <f t="shared" si="73"/>
        <v>0</v>
      </c>
      <c r="P97" s="141">
        <f t="shared" si="72"/>
        <v>0</v>
      </c>
      <c r="Q97" s="203"/>
      <c r="R97" s="134"/>
      <c r="S97" s="134"/>
      <c r="T97" s="134"/>
      <c r="U97" s="134"/>
      <c r="V97" s="134"/>
      <c r="W97" s="134"/>
      <c r="X97" s="134"/>
      <c r="Y97" s="134"/>
      <c r="Z97" s="134"/>
      <c r="AA97" s="134"/>
      <c r="AB97" s="134"/>
      <c r="AC97" s="134"/>
      <c r="AD97" s="134"/>
      <c r="AE97" s="134"/>
      <c r="AF97" s="134"/>
      <c r="AG97" s="134"/>
      <c r="AH97" s="134"/>
      <c r="AI97" s="134"/>
      <c r="AJ97" s="134"/>
      <c r="AK97" s="134"/>
      <c r="AL97" s="134"/>
      <c r="AM97" s="134"/>
      <c r="AN97" s="134"/>
      <c r="AO97" s="134"/>
      <c r="AP97" s="134"/>
      <c r="AQ97" s="134"/>
      <c r="AR97" s="134"/>
      <c r="AS97" s="134"/>
      <c r="AT97" s="134"/>
      <c r="AU97" s="134"/>
      <c r="AV97" s="134"/>
      <c r="AW97" s="134"/>
      <c r="AX97" s="134"/>
      <c r="AY97" s="134"/>
      <c r="AZ97" s="134"/>
      <c r="BA97" s="134"/>
      <c r="BB97" s="134"/>
      <c r="BC97" s="134"/>
      <c r="BD97" s="134"/>
      <c r="BE97" s="134"/>
      <c r="BF97" s="134"/>
      <c r="BG97" s="134"/>
      <c r="BH97" s="134"/>
      <c r="BI97" s="134"/>
      <c r="BJ97" s="134"/>
      <c r="BK97" s="134"/>
      <c r="BL97" s="134"/>
      <c r="BM97" s="134"/>
      <c r="BN97" s="134"/>
      <c r="BO97" s="134"/>
      <c r="BP97" s="134"/>
      <c r="BQ97" s="134"/>
      <c r="BR97" s="134"/>
      <c r="BS97" s="134"/>
      <c r="BT97" s="134"/>
      <c r="BU97" s="134"/>
      <c r="BV97" s="134"/>
      <c r="BW97" s="134"/>
      <c r="BX97" s="134"/>
      <c r="BY97" s="134"/>
    </row>
    <row r="98" ht="14.5">
      <c r="A98" s="197"/>
      <c r="B98" s="198"/>
      <c r="C98" s="198"/>
      <c r="D98" s="198"/>
      <c r="E98" s="198"/>
      <c r="F98" s="198"/>
      <c r="G98" s="198"/>
      <c r="H98" s="198"/>
      <c r="I98" s="198"/>
      <c r="J98" s="198"/>
      <c r="K98" s="198"/>
      <c r="L98" s="199"/>
      <c r="M98" s="198"/>
      <c r="R98" s="200">
        <f t="shared" ref="R98:AW98" si="75">SUM(R93:R97)</f>
        <v>0</v>
      </c>
      <c r="S98" s="200">
        <f t="shared" si="75"/>
        <v>0</v>
      </c>
      <c r="T98" s="200">
        <f t="shared" si="75"/>
        <v>0</v>
      </c>
      <c r="U98" s="200">
        <f t="shared" si="75"/>
        <v>0</v>
      </c>
      <c r="V98" s="200">
        <f t="shared" si="75"/>
        <v>0</v>
      </c>
      <c r="W98" s="200">
        <f t="shared" si="75"/>
        <v>0</v>
      </c>
      <c r="X98" s="200">
        <f t="shared" si="75"/>
        <v>0</v>
      </c>
      <c r="Y98" s="200">
        <f t="shared" si="75"/>
        <v>0</v>
      </c>
      <c r="Z98" s="200">
        <f t="shared" si="75"/>
        <v>0</v>
      </c>
      <c r="AA98" s="200">
        <f t="shared" si="75"/>
        <v>0</v>
      </c>
      <c r="AB98" s="200">
        <f t="shared" si="75"/>
        <v>0</v>
      </c>
      <c r="AC98" s="200">
        <f t="shared" si="75"/>
        <v>0</v>
      </c>
      <c r="AD98" s="200">
        <f t="shared" si="75"/>
        <v>0</v>
      </c>
      <c r="AE98" s="200">
        <f t="shared" si="75"/>
        <v>0</v>
      </c>
      <c r="AF98" s="200">
        <f t="shared" si="75"/>
        <v>0</v>
      </c>
      <c r="AG98" s="200">
        <f t="shared" si="75"/>
        <v>0</v>
      </c>
      <c r="AH98" s="200">
        <f t="shared" si="75"/>
        <v>0</v>
      </c>
      <c r="AI98" s="200">
        <f t="shared" si="75"/>
        <v>0</v>
      </c>
      <c r="AJ98" s="200">
        <f t="shared" si="75"/>
        <v>0</v>
      </c>
      <c r="AK98" s="200">
        <f t="shared" si="75"/>
        <v>0</v>
      </c>
      <c r="AL98" s="200">
        <f t="shared" si="75"/>
        <v>0</v>
      </c>
      <c r="AM98" s="200">
        <f t="shared" si="75"/>
        <v>0</v>
      </c>
      <c r="AN98" s="200">
        <f t="shared" si="75"/>
        <v>0</v>
      </c>
      <c r="AO98" s="200">
        <f t="shared" si="75"/>
        <v>0</v>
      </c>
      <c r="AP98" s="200">
        <f t="shared" si="75"/>
        <v>0</v>
      </c>
      <c r="AQ98" s="200">
        <f t="shared" si="75"/>
        <v>0</v>
      </c>
      <c r="AR98" s="200">
        <f t="shared" si="75"/>
        <v>0</v>
      </c>
      <c r="AS98" s="200">
        <f t="shared" si="75"/>
        <v>0</v>
      </c>
      <c r="AT98" s="200">
        <f t="shared" si="75"/>
        <v>0</v>
      </c>
      <c r="AU98" s="200">
        <f t="shared" si="75"/>
        <v>0</v>
      </c>
      <c r="AV98" s="200">
        <f t="shared" si="75"/>
        <v>0</v>
      </c>
      <c r="AW98" s="200">
        <f t="shared" si="75"/>
        <v>0</v>
      </c>
      <c r="AX98" s="200">
        <f t="shared" ref="AX98:BY98" si="76">SUM(AX93:AX97)</f>
        <v>0</v>
      </c>
      <c r="AY98" s="200">
        <f t="shared" si="76"/>
        <v>0</v>
      </c>
      <c r="AZ98" s="200">
        <f t="shared" si="76"/>
        <v>0</v>
      </c>
      <c r="BA98" s="200">
        <f t="shared" si="76"/>
        <v>0</v>
      </c>
      <c r="BB98" s="200">
        <f t="shared" si="76"/>
        <v>0</v>
      </c>
      <c r="BC98" s="200">
        <f t="shared" si="76"/>
        <v>0</v>
      </c>
      <c r="BD98" s="200">
        <f t="shared" si="76"/>
        <v>0</v>
      </c>
      <c r="BE98" s="200">
        <f t="shared" si="76"/>
        <v>0</v>
      </c>
      <c r="BF98" s="200">
        <f t="shared" si="76"/>
        <v>0</v>
      </c>
      <c r="BG98" s="200">
        <f t="shared" si="76"/>
        <v>0</v>
      </c>
      <c r="BH98" s="200">
        <f t="shared" si="76"/>
        <v>0</v>
      </c>
      <c r="BI98" s="200">
        <f t="shared" si="76"/>
        <v>0</v>
      </c>
      <c r="BJ98" s="200">
        <f t="shared" si="76"/>
        <v>0</v>
      </c>
      <c r="BK98" s="200">
        <f t="shared" si="76"/>
        <v>0</v>
      </c>
      <c r="BL98" s="200">
        <f t="shared" si="76"/>
        <v>0</v>
      </c>
      <c r="BM98" s="200">
        <f t="shared" si="76"/>
        <v>0</v>
      </c>
      <c r="BN98" s="200">
        <f t="shared" si="76"/>
        <v>0</v>
      </c>
      <c r="BO98" s="200">
        <f t="shared" si="76"/>
        <v>0</v>
      </c>
      <c r="BP98" s="200">
        <f t="shared" si="76"/>
        <v>0</v>
      </c>
      <c r="BQ98" s="200">
        <f t="shared" si="76"/>
        <v>0</v>
      </c>
      <c r="BR98" s="200">
        <f t="shared" si="76"/>
        <v>0</v>
      </c>
      <c r="BS98" s="200">
        <f t="shared" si="76"/>
        <v>0</v>
      </c>
      <c r="BT98" s="200">
        <f t="shared" si="76"/>
        <v>0</v>
      </c>
      <c r="BU98" s="200">
        <f t="shared" si="76"/>
        <v>0</v>
      </c>
      <c r="BV98" s="200">
        <f t="shared" si="76"/>
        <v>0</v>
      </c>
      <c r="BW98" s="200">
        <f t="shared" si="76"/>
        <v>0</v>
      </c>
      <c r="BX98" s="200">
        <f t="shared" si="76"/>
        <v>0</v>
      </c>
      <c r="BY98" s="200">
        <f t="shared" si="76"/>
        <v>0</v>
      </c>
    </row>
    <row r="99" ht="14.5">
      <c r="A99" s="166" t="s">
        <v>730</v>
      </c>
      <c r="B99" s="167">
        <f>SUMIF(Raccordo!F:F,$A99,Raccordo!J:J)</f>
        <v>0</v>
      </c>
      <c r="C99" s="194"/>
      <c r="D99" s="195"/>
      <c r="E99" s="194"/>
      <c r="F99" s="201"/>
      <c r="G99" s="172">
        <f>+SUM(G100:G104)</f>
        <v>0</v>
      </c>
      <c r="H99" s="172">
        <f>+SUM(H100:H104)</f>
        <v>0</v>
      </c>
      <c r="I99" s="172">
        <f>+SUM(I100:I104)</f>
        <v>0</v>
      </c>
      <c r="J99" s="172">
        <f>+SUM(J100:J104)</f>
        <v>0</v>
      </c>
      <c r="K99" s="167">
        <f>+SUM(K100:K104)</f>
        <v>0</v>
      </c>
      <c r="L99" s="159" t="s">
        <v>1065</v>
      </c>
      <c r="M99" s="202">
        <f>SUM(M100:M104)</f>
        <v>0</v>
      </c>
      <c r="Q99" s="173" t="s">
        <v>1066</v>
      </c>
      <c r="R99" s="167">
        <f t="shared" ref="R99:AW99" si="77">+SUM(R100:R104)</f>
        <v>0</v>
      </c>
      <c r="S99" s="167">
        <f t="shared" si="77"/>
        <v>0</v>
      </c>
      <c r="T99" s="167">
        <f t="shared" si="77"/>
        <v>0</v>
      </c>
      <c r="U99" s="167">
        <f t="shared" si="77"/>
        <v>0</v>
      </c>
      <c r="V99" s="167">
        <f t="shared" si="77"/>
        <v>0</v>
      </c>
      <c r="W99" s="167">
        <f t="shared" si="77"/>
        <v>0</v>
      </c>
      <c r="X99" s="167">
        <f t="shared" si="77"/>
        <v>0</v>
      </c>
      <c r="Y99" s="167">
        <f t="shared" si="77"/>
        <v>0</v>
      </c>
      <c r="Z99" s="167">
        <f t="shared" si="77"/>
        <v>0</v>
      </c>
      <c r="AA99" s="167">
        <f t="shared" si="77"/>
        <v>0</v>
      </c>
      <c r="AB99" s="167">
        <f t="shared" si="77"/>
        <v>0</v>
      </c>
      <c r="AC99" s="167">
        <f t="shared" si="77"/>
        <v>0</v>
      </c>
      <c r="AD99" s="167">
        <f t="shared" si="77"/>
        <v>0</v>
      </c>
      <c r="AE99" s="167">
        <f t="shared" si="77"/>
        <v>0</v>
      </c>
      <c r="AF99" s="167">
        <f t="shared" si="77"/>
        <v>0</v>
      </c>
      <c r="AG99" s="167">
        <f t="shared" si="77"/>
        <v>0</v>
      </c>
      <c r="AH99" s="167">
        <f t="shared" si="77"/>
        <v>0</v>
      </c>
      <c r="AI99" s="167">
        <f t="shared" si="77"/>
        <v>0</v>
      </c>
      <c r="AJ99" s="167">
        <f t="shared" si="77"/>
        <v>0</v>
      </c>
      <c r="AK99" s="167">
        <f t="shared" si="77"/>
        <v>0</v>
      </c>
      <c r="AL99" s="167">
        <f t="shared" si="77"/>
        <v>0</v>
      </c>
      <c r="AM99" s="167">
        <f t="shared" si="77"/>
        <v>0</v>
      </c>
      <c r="AN99" s="167">
        <f t="shared" si="77"/>
        <v>0</v>
      </c>
      <c r="AO99" s="167">
        <f t="shared" si="77"/>
        <v>0</v>
      </c>
      <c r="AP99" s="167">
        <f t="shared" si="77"/>
        <v>0</v>
      </c>
      <c r="AQ99" s="167">
        <f t="shared" si="77"/>
        <v>0</v>
      </c>
      <c r="AR99" s="167">
        <f t="shared" si="77"/>
        <v>0</v>
      </c>
      <c r="AS99" s="167">
        <f t="shared" si="77"/>
        <v>0</v>
      </c>
      <c r="AT99" s="167">
        <f t="shared" si="77"/>
        <v>0</v>
      </c>
      <c r="AU99" s="167">
        <f t="shared" si="77"/>
        <v>0</v>
      </c>
      <c r="AV99" s="167">
        <f t="shared" si="77"/>
        <v>0</v>
      </c>
      <c r="AW99" s="167">
        <f t="shared" si="77"/>
        <v>0</v>
      </c>
      <c r="AX99" s="167">
        <f t="shared" ref="AX99:BY99" si="78">+SUM(AX100:AX104)</f>
        <v>0</v>
      </c>
      <c r="AY99" s="167">
        <f t="shared" si="78"/>
        <v>0</v>
      </c>
      <c r="AZ99" s="167">
        <f t="shared" si="78"/>
        <v>0</v>
      </c>
      <c r="BA99" s="167">
        <f t="shared" si="78"/>
        <v>0</v>
      </c>
      <c r="BB99" s="167">
        <f t="shared" si="78"/>
        <v>0</v>
      </c>
      <c r="BC99" s="167">
        <f t="shared" si="78"/>
        <v>0</v>
      </c>
      <c r="BD99" s="167">
        <f t="shared" si="78"/>
        <v>0</v>
      </c>
      <c r="BE99" s="167">
        <f t="shared" si="78"/>
        <v>0</v>
      </c>
      <c r="BF99" s="167">
        <f t="shared" si="78"/>
        <v>0</v>
      </c>
      <c r="BG99" s="167">
        <f t="shared" si="78"/>
        <v>0</v>
      </c>
      <c r="BH99" s="167">
        <f t="shared" si="78"/>
        <v>0</v>
      </c>
      <c r="BI99" s="167">
        <f t="shared" si="78"/>
        <v>0</v>
      </c>
      <c r="BJ99" s="167">
        <f t="shared" si="78"/>
        <v>0</v>
      </c>
      <c r="BK99" s="167">
        <f t="shared" si="78"/>
        <v>0</v>
      </c>
      <c r="BL99" s="167">
        <f t="shared" si="78"/>
        <v>0</v>
      </c>
      <c r="BM99" s="167">
        <f t="shared" si="78"/>
        <v>0</v>
      </c>
      <c r="BN99" s="167">
        <f t="shared" si="78"/>
        <v>0</v>
      </c>
      <c r="BO99" s="167">
        <f t="shared" si="78"/>
        <v>0</v>
      </c>
      <c r="BP99" s="167">
        <f t="shared" si="78"/>
        <v>0</v>
      </c>
      <c r="BQ99" s="167">
        <f t="shared" si="78"/>
        <v>0</v>
      </c>
      <c r="BR99" s="167">
        <f t="shared" si="78"/>
        <v>0</v>
      </c>
      <c r="BS99" s="167">
        <f t="shared" si="78"/>
        <v>0</v>
      </c>
      <c r="BT99" s="167">
        <f t="shared" si="78"/>
        <v>0</v>
      </c>
      <c r="BU99" s="167">
        <f t="shared" si="78"/>
        <v>0</v>
      </c>
      <c r="BV99" s="167">
        <f t="shared" si="78"/>
        <v>0</v>
      </c>
      <c r="BW99" s="167">
        <f t="shared" si="78"/>
        <v>0</v>
      </c>
      <c r="BX99" s="167">
        <f t="shared" si="78"/>
        <v>0</v>
      </c>
      <c r="BY99" s="167">
        <f t="shared" si="78"/>
        <v>0</v>
      </c>
    </row>
    <row r="100" outlineLevel="1" ht="14.5">
      <c r="A100" s="174" t="s">
        <v>1071</v>
      </c>
      <c r="B100" s="189"/>
      <c r="C100" s="185"/>
      <c r="D100" s="186"/>
      <c r="E100" s="185"/>
      <c r="F100" s="196"/>
      <c r="G100" s="176"/>
      <c r="H100" s="176">
        <f>-B100</f>
        <v>0</v>
      </c>
      <c r="I100" s="176"/>
      <c r="J100" s="179">
        <f t="shared" ref="J100:J104" si="79">+C100+E100+H100+I100+G100</f>
        <v>0</v>
      </c>
      <c r="K100" s="134">
        <f t="shared" ref="K100:K119" si="80">+(B100+J100)*(1+Q100)</f>
        <v>0</v>
      </c>
      <c r="L100" s="134"/>
      <c r="M100" s="170"/>
      <c r="N100" s="141">
        <f t="shared" ref="N100:N104" si="81">K100-K100/(1+Q100)</f>
        <v>0</v>
      </c>
      <c r="P100" s="141">
        <f t="shared" ref="P100:P104" si="82">IF(L100="Continuità","",K100-SUM(R100:BY100))</f>
        <v>0</v>
      </c>
      <c r="Q100" s="203"/>
      <c r="R100" s="134"/>
      <c r="S100" s="134"/>
      <c r="T100" s="134"/>
      <c r="U100" s="134"/>
      <c r="V100" s="134"/>
      <c r="W100" s="134"/>
      <c r="X100" s="134"/>
      <c r="Y100" s="134"/>
      <c r="Z100" s="134"/>
      <c r="AA100" s="134"/>
      <c r="AB100" s="134"/>
      <c r="AC100" s="134"/>
      <c r="AD100" s="134"/>
      <c r="AE100" s="134"/>
      <c r="AF100" s="134"/>
      <c r="AG100" s="134"/>
      <c r="AH100" s="134"/>
      <c r="AI100" s="134"/>
      <c r="AJ100" s="134"/>
      <c r="AK100" s="134"/>
      <c r="AL100" s="134"/>
      <c r="AM100" s="134"/>
      <c r="AN100" s="134"/>
      <c r="AO100" s="134"/>
      <c r="AP100" s="134"/>
      <c r="AQ100" s="134"/>
      <c r="AR100" s="134"/>
      <c r="AS100" s="134"/>
      <c r="AT100" s="134"/>
      <c r="AU100" s="134"/>
      <c r="AV100" s="134"/>
      <c r="AW100" s="134"/>
      <c r="AX100" s="134"/>
      <c r="AY100" s="134"/>
      <c r="AZ100" s="134"/>
      <c r="BA100" s="134"/>
      <c r="BB100" s="134"/>
      <c r="BC100" s="134"/>
      <c r="BD100" s="134"/>
      <c r="BE100" s="134"/>
      <c r="BF100" s="134"/>
      <c r="BG100" s="134"/>
      <c r="BH100" s="134"/>
      <c r="BI100" s="134"/>
      <c r="BJ100" s="134"/>
      <c r="BK100" s="134"/>
      <c r="BL100" s="134"/>
      <c r="BM100" s="134"/>
      <c r="BN100" s="134"/>
      <c r="BO100" s="134"/>
      <c r="BP100" s="134"/>
      <c r="BQ100" s="134"/>
      <c r="BR100" s="134"/>
      <c r="BS100" s="134"/>
      <c r="BT100" s="134"/>
      <c r="BU100" s="134"/>
      <c r="BV100" s="134"/>
      <c r="BW100" s="134"/>
      <c r="BX100" s="134"/>
      <c r="BY100" s="134"/>
    </row>
    <row r="101" outlineLevel="1" ht="14.5">
      <c r="A101" s="174" t="s">
        <v>1072</v>
      </c>
      <c r="B101" s="189"/>
      <c r="C101" s="185"/>
      <c r="D101" s="186"/>
      <c r="E101" s="185"/>
      <c r="F101" s="196"/>
      <c r="G101" s="176"/>
      <c r="H101" s="176">
        <f>-B101</f>
        <v>0</v>
      </c>
      <c r="I101" s="176"/>
      <c r="J101" s="179">
        <f t="shared" si="79"/>
        <v>0</v>
      </c>
      <c r="K101" s="134">
        <f t="shared" si="80"/>
        <v>0</v>
      </c>
      <c r="L101" s="134"/>
      <c r="M101" s="170"/>
      <c r="N101" s="141">
        <f t="shared" si="81"/>
        <v>0</v>
      </c>
      <c r="P101" s="141">
        <f t="shared" si="82"/>
        <v>0</v>
      </c>
      <c r="Q101" s="203"/>
      <c r="R101" s="134"/>
      <c r="S101" s="134"/>
      <c r="T101" s="134"/>
      <c r="U101" s="134"/>
      <c r="V101" s="134"/>
      <c r="W101" s="134"/>
      <c r="X101" s="134"/>
      <c r="Y101" s="134"/>
      <c r="Z101" s="134"/>
      <c r="AA101" s="134"/>
      <c r="AB101" s="134"/>
      <c r="AC101" s="134"/>
      <c r="AD101" s="134"/>
      <c r="AE101" s="134"/>
      <c r="AF101" s="134"/>
      <c r="AG101" s="134"/>
      <c r="AH101" s="134"/>
      <c r="AI101" s="134"/>
      <c r="AJ101" s="134"/>
      <c r="AK101" s="134"/>
      <c r="AL101" s="134"/>
      <c r="AM101" s="134"/>
      <c r="AN101" s="134"/>
      <c r="AO101" s="134"/>
      <c r="AP101" s="134"/>
      <c r="AQ101" s="134"/>
      <c r="AR101" s="134"/>
      <c r="AS101" s="134"/>
      <c r="AT101" s="134"/>
      <c r="AU101" s="134"/>
      <c r="AV101" s="134"/>
      <c r="AW101" s="134"/>
      <c r="AX101" s="134"/>
      <c r="AY101" s="134"/>
      <c r="AZ101" s="134"/>
      <c r="BA101" s="134"/>
      <c r="BB101" s="134"/>
      <c r="BC101" s="134"/>
      <c r="BD101" s="134"/>
      <c r="BE101" s="134"/>
      <c r="BF101" s="134"/>
      <c r="BG101" s="134"/>
      <c r="BH101" s="134"/>
      <c r="BI101" s="134"/>
      <c r="BJ101" s="134"/>
      <c r="BK101" s="134"/>
      <c r="BL101" s="134"/>
      <c r="BM101" s="134"/>
      <c r="BN101" s="134"/>
      <c r="BO101" s="134"/>
      <c r="BP101" s="134"/>
      <c r="BQ101" s="134"/>
      <c r="BR101" s="134"/>
      <c r="BS101" s="134"/>
      <c r="BT101" s="134"/>
      <c r="BU101" s="134"/>
      <c r="BV101" s="134"/>
      <c r="BW101" s="134"/>
      <c r="BX101" s="134"/>
      <c r="BY101" s="134"/>
    </row>
    <row r="102" outlineLevel="1" ht="14.5">
      <c r="A102" s="174" t="s">
        <v>1073</v>
      </c>
      <c r="B102" s="189"/>
      <c r="C102" s="185"/>
      <c r="D102" s="186"/>
      <c r="E102" s="185"/>
      <c r="F102" s="186"/>
      <c r="G102" s="176"/>
      <c r="H102" s="176"/>
      <c r="I102" s="176"/>
      <c r="J102" s="179">
        <f t="shared" si="79"/>
        <v>0</v>
      </c>
      <c r="K102" s="134">
        <f>+(B102+J102)*(1+Q102)</f>
        <v>0</v>
      </c>
      <c r="L102" s="134"/>
      <c r="M102" s="170"/>
      <c r="N102" s="141">
        <f t="shared" si="81"/>
        <v>0</v>
      </c>
      <c r="P102" s="141">
        <f t="shared" si="82"/>
        <v>0</v>
      </c>
      <c r="Q102" s="203"/>
      <c r="R102" s="134"/>
      <c r="S102" s="134"/>
      <c r="T102" s="134"/>
      <c r="U102" s="134"/>
      <c r="V102" s="134"/>
      <c r="W102" s="134"/>
      <c r="X102" s="134"/>
      <c r="Y102" s="134"/>
      <c r="Z102" s="134"/>
      <c r="AA102" s="134"/>
      <c r="AB102" s="134"/>
      <c r="AC102" s="134"/>
      <c r="AD102" s="134"/>
      <c r="AE102" s="134"/>
      <c r="AF102" s="134"/>
      <c r="AG102" s="134"/>
      <c r="AH102" s="134"/>
      <c r="AI102" s="134"/>
      <c r="AJ102" s="134"/>
      <c r="AK102" s="134"/>
      <c r="AL102" s="134"/>
      <c r="AM102" s="134"/>
      <c r="AN102" s="134"/>
      <c r="AO102" s="134"/>
      <c r="AP102" s="134"/>
      <c r="AQ102" s="134"/>
      <c r="AR102" s="134"/>
      <c r="AS102" s="134"/>
      <c r="AT102" s="134"/>
      <c r="AU102" s="134"/>
      <c r="AV102" s="134"/>
      <c r="AW102" s="134"/>
      <c r="AX102" s="134"/>
      <c r="AY102" s="134"/>
      <c r="AZ102" s="134"/>
      <c r="BA102" s="134"/>
      <c r="BB102" s="134"/>
      <c r="BC102" s="134"/>
      <c r="BD102" s="134"/>
      <c r="BE102" s="134"/>
      <c r="BF102" s="134"/>
      <c r="BG102" s="134"/>
      <c r="BH102" s="134"/>
      <c r="BI102" s="134"/>
      <c r="BJ102" s="134"/>
      <c r="BK102" s="134"/>
      <c r="BL102" s="134"/>
      <c r="BM102" s="134"/>
      <c r="BN102" s="134"/>
      <c r="BO102" s="134"/>
      <c r="BP102" s="134"/>
      <c r="BQ102" s="134"/>
      <c r="BR102" s="134"/>
      <c r="BS102" s="134"/>
      <c r="BT102" s="134"/>
      <c r="BU102" s="134"/>
      <c r="BV102" s="134"/>
      <c r="BW102" s="134"/>
      <c r="BX102" s="134"/>
      <c r="BY102" s="134"/>
    </row>
    <row r="103" outlineLevel="1" ht="14.5">
      <c r="A103" s="174" t="s">
        <v>1074</v>
      </c>
      <c r="B103" s="189"/>
      <c r="C103" s="185"/>
      <c r="D103" s="186"/>
      <c r="E103" s="185"/>
      <c r="F103" s="186"/>
      <c r="G103" s="176"/>
      <c r="H103" s="176">
        <f>-B103</f>
        <v>0</v>
      </c>
      <c r="I103" s="176"/>
      <c r="J103" s="179">
        <f t="shared" si="79"/>
        <v>0</v>
      </c>
      <c r="K103" s="134">
        <f t="shared" si="80"/>
        <v>0</v>
      </c>
      <c r="L103" s="134"/>
      <c r="M103" s="170"/>
      <c r="N103" s="141">
        <f t="shared" si="81"/>
        <v>0</v>
      </c>
      <c r="P103" s="141">
        <f t="shared" si="82"/>
        <v>0</v>
      </c>
      <c r="Q103" s="203"/>
      <c r="R103" s="134"/>
      <c r="S103" s="134"/>
      <c r="T103" s="134"/>
      <c r="U103" s="134"/>
      <c r="V103" s="134"/>
      <c r="W103" s="134"/>
      <c r="X103" s="134"/>
      <c r="Y103" s="134"/>
      <c r="Z103" s="134"/>
      <c r="AA103" s="134"/>
      <c r="AB103" s="134"/>
      <c r="AC103" s="134"/>
      <c r="AD103" s="134"/>
      <c r="AE103" s="134"/>
      <c r="AF103" s="134"/>
      <c r="AG103" s="134"/>
      <c r="AH103" s="134"/>
      <c r="AI103" s="134"/>
      <c r="AJ103" s="134"/>
      <c r="AK103" s="134"/>
      <c r="AL103" s="134"/>
      <c r="AM103" s="134"/>
      <c r="AN103" s="134"/>
      <c r="AO103" s="134"/>
      <c r="AP103" s="134"/>
      <c r="AQ103" s="134"/>
      <c r="AR103" s="134"/>
      <c r="AS103" s="134"/>
      <c r="AT103" s="134"/>
      <c r="AU103" s="134"/>
      <c r="AV103" s="134"/>
      <c r="AW103" s="134"/>
      <c r="AX103" s="134"/>
      <c r="AY103" s="134"/>
      <c r="AZ103" s="134"/>
      <c r="BA103" s="134"/>
      <c r="BB103" s="134"/>
      <c r="BC103" s="134"/>
      <c r="BD103" s="134"/>
      <c r="BE103" s="134"/>
      <c r="BF103" s="134"/>
      <c r="BG103" s="134"/>
      <c r="BH103" s="134"/>
      <c r="BI103" s="134"/>
      <c r="BJ103" s="134"/>
      <c r="BK103" s="134"/>
      <c r="BL103" s="134"/>
      <c r="BM103" s="134"/>
      <c r="BN103" s="134"/>
      <c r="BO103" s="134"/>
      <c r="BP103" s="134"/>
      <c r="BQ103" s="134"/>
      <c r="BR103" s="134"/>
      <c r="BS103" s="134"/>
      <c r="BT103" s="134"/>
      <c r="BU103" s="134"/>
      <c r="BV103" s="134"/>
      <c r="BW103" s="134"/>
      <c r="BX103" s="134"/>
      <c r="BY103" s="134"/>
    </row>
    <row r="104" outlineLevel="1" ht="14.5">
      <c r="A104" s="174" t="s">
        <v>1027</v>
      </c>
      <c r="B104" s="189"/>
      <c r="C104" s="185"/>
      <c r="D104" s="186"/>
      <c r="E104" s="185"/>
      <c r="F104" s="186"/>
      <c r="G104" s="176"/>
      <c r="H104" s="176"/>
      <c r="I104" s="176"/>
      <c r="J104" s="179">
        <f t="shared" si="79"/>
        <v>0</v>
      </c>
      <c r="K104" s="134">
        <f t="shared" si="80"/>
        <v>0</v>
      </c>
      <c r="L104" s="134"/>
      <c r="M104" s="170"/>
      <c r="N104" s="141">
        <f t="shared" si="81"/>
        <v>0</v>
      </c>
      <c r="P104" s="141">
        <f t="shared" si="82"/>
        <v>0</v>
      </c>
      <c r="Q104" s="203"/>
      <c r="R104" s="134"/>
      <c r="S104" s="134"/>
      <c r="T104" s="134"/>
      <c r="U104" s="134"/>
      <c r="V104" s="134"/>
      <c r="W104" s="134"/>
      <c r="X104" s="134"/>
      <c r="Y104" s="134"/>
      <c r="Z104" s="134"/>
      <c r="AA104" s="134"/>
      <c r="AB104" s="134"/>
      <c r="AC104" s="134"/>
      <c r="AD104" s="134"/>
      <c r="AE104" s="134"/>
      <c r="AF104" s="134"/>
      <c r="AG104" s="134"/>
      <c r="AH104" s="134"/>
      <c r="AI104" s="134"/>
      <c r="AJ104" s="134"/>
      <c r="AK104" s="134"/>
      <c r="AL104" s="134"/>
      <c r="AM104" s="134"/>
      <c r="AN104" s="134"/>
      <c r="AO104" s="134"/>
      <c r="AP104" s="134"/>
      <c r="AQ104" s="134"/>
      <c r="AR104" s="134"/>
      <c r="AS104" s="134"/>
      <c r="AT104" s="134"/>
      <c r="AU104" s="134"/>
      <c r="AV104" s="134"/>
      <c r="AW104" s="134"/>
      <c r="AX104" s="134"/>
      <c r="AY104" s="134"/>
      <c r="AZ104" s="134"/>
      <c r="BA104" s="134"/>
      <c r="BB104" s="134"/>
      <c r="BC104" s="134"/>
      <c r="BD104" s="134"/>
      <c r="BE104" s="134"/>
      <c r="BF104" s="134"/>
      <c r="BG104" s="134"/>
      <c r="BH104" s="134"/>
      <c r="BI104" s="134"/>
      <c r="BJ104" s="134"/>
      <c r="BK104" s="134"/>
      <c r="BL104" s="134"/>
      <c r="BM104" s="134"/>
      <c r="BN104" s="134"/>
      <c r="BO104" s="134"/>
      <c r="BP104" s="134"/>
      <c r="BQ104" s="134"/>
      <c r="BR104" s="134"/>
      <c r="BS104" s="134"/>
      <c r="BT104" s="134"/>
      <c r="BU104" s="134"/>
      <c r="BV104" s="134"/>
      <c r="BW104" s="134"/>
      <c r="BX104" s="134"/>
      <c r="BY104" s="134"/>
    </row>
    <row r="105" ht="14.5">
      <c r="A105" s="166" t="s">
        <v>731</v>
      </c>
      <c r="B105" s="167">
        <f>SUMIF(Raccordo!F:F,$A105,Raccordo!J:J)</f>
        <v>0</v>
      </c>
      <c r="C105" s="185"/>
      <c r="D105" s="186"/>
      <c r="E105" s="185"/>
      <c r="F105" s="186"/>
      <c r="G105" s="172">
        <f>+SUM(G106:G113)</f>
        <v>0</v>
      </c>
      <c r="H105" s="172">
        <f>+SUM(H106:H113)</f>
        <v>0</v>
      </c>
      <c r="I105" s="172">
        <f>+SUM(I106:I113)</f>
        <v>0</v>
      </c>
      <c r="J105" s="172">
        <f>+SUM(J106:J111)</f>
        <v>0</v>
      </c>
      <c r="K105" s="167">
        <f>+SUM(K106:K113)</f>
        <v>0</v>
      </c>
      <c r="L105" s="159" t="s">
        <v>1065</v>
      </c>
      <c r="M105" s="202">
        <f>SUM(M106:M113)</f>
        <v>0</v>
      </c>
      <c r="Q105" s="173" t="s">
        <v>1066</v>
      </c>
      <c r="R105" s="167">
        <f t="shared" ref="R105:AW105" si="83">+SUM(R106:R113)</f>
        <v>0</v>
      </c>
      <c r="S105" s="167">
        <f t="shared" si="83"/>
        <v>0</v>
      </c>
      <c r="T105" s="167">
        <f t="shared" si="83"/>
        <v>0</v>
      </c>
      <c r="U105" s="167">
        <f t="shared" si="83"/>
        <v>0</v>
      </c>
      <c r="V105" s="167">
        <f t="shared" si="83"/>
        <v>0</v>
      </c>
      <c r="W105" s="167">
        <f t="shared" si="83"/>
        <v>0</v>
      </c>
      <c r="X105" s="167">
        <f t="shared" si="83"/>
        <v>0</v>
      </c>
      <c r="Y105" s="167">
        <f t="shared" si="83"/>
        <v>0</v>
      </c>
      <c r="Z105" s="167">
        <f t="shared" si="83"/>
        <v>0</v>
      </c>
      <c r="AA105" s="167">
        <f t="shared" si="83"/>
        <v>0</v>
      </c>
      <c r="AB105" s="167">
        <f t="shared" si="83"/>
        <v>0</v>
      </c>
      <c r="AC105" s="167">
        <f t="shared" si="83"/>
        <v>0</v>
      </c>
      <c r="AD105" s="167">
        <f t="shared" si="83"/>
        <v>0</v>
      </c>
      <c r="AE105" s="167">
        <f t="shared" si="83"/>
        <v>0</v>
      </c>
      <c r="AF105" s="167">
        <f t="shared" si="83"/>
        <v>0</v>
      </c>
      <c r="AG105" s="167">
        <f t="shared" si="83"/>
        <v>0</v>
      </c>
      <c r="AH105" s="167">
        <f t="shared" si="83"/>
        <v>0</v>
      </c>
      <c r="AI105" s="167">
        <f t="shared" si="83"/>
        <v>0</v>
      </c>
      <c r="AJ105" s="167">
        <f t="shared" si="83"/>
        <v>0</v>
      </c>
      <c r="AK105" s="167">
        <f t="shared" si="83"/>
        <v>0</v>
      </c>
      <c r="AL105" s="167">
        <f t="shared" si="83"/>
        <v>0</v>
      </c>
      <c r="AM105" s="167">
        <f t="shared" si="83"/>
        <v>0</v>
      </c>
      <c r="AN105" s="167">
        <f t="shared" si="83"/>
        <v>0</v>
      </c>
      <c r="AO105" s="167">
        <f t="shared" si="83"/>
        <v>0</v>
      </c>
      <c r="AP105" s="167">
        <f t="shared" si="83"/>
        <v>0</v>
      </c>
      <c r="AQ105" s="167">
        <f t="shared" si="83"/>
        <v>0</v>
      </c>
      <c r="AR105" s="167">
        <f t="shared" si="83"/>
        <v>0</v>
      </c>
      <c r="AS105" s="167">
        <f t="shared" si="83"/>
        <v>0</v>
      </c>
      <c r="AT105" s="167">
        <f t="shared" si="83"/>
        <v>0</v>
      </c>
      <c r="AU105" s="167">
        <f t="shared" si="83"/>
        <v>0</v>
      </c>
      <c r="AV105" s="167">
        <f t="shared" si="83"/>
        <v>0</v>
      </c>
      <c r="AW105" s="167">
        <f t="shared" si="83"/>
        <v>0</v>
      </c>
      <c r="AX105" s="167">
        <f t="shared" ref="AX105:BY105" si="84">+SUM(AX106:AX113)</f>
        <v>0</v>
      </c>
      <c r="AY105" s="167">
        <f t="shared" si="84"/>
        <v>0</v>
      </c>
      <c r="AZ105" s="167">
        <f t="shared" si="84"/>
        <v>0</v>
      </c>
      <c r="BA105" s="167">
        <f t="shared" si="84"/>
        <v>0</v>
      </c>
      <c r="BB105" s="167">
        <f t="shared" si="84"/>
        <v>0</v>
      </c>
      <c r="BC105" s="167">
        <f t="shared" si="84"/>
        <v>0</v>
      </c>
      <c r="BD105" s="167">
        <f t="shared" si="84"/>
        <v>0</v>
      </c>
      <c r="BE105" s="167">
        <f t="shared" si="84"/>
        <v>0</v>
      </c>
      <c r="BF105" s="167">
        <f t="shared" si="84"/>
        <v>0</v>
      </c>
      <c r="BG105" s="167">
        <f t="shared" si="84"/>
        <v>0</v>
      </c>
      <c r="BH105" s="167">
        <f t="shared" si="84"/>
        <v>0</v>
      </c>
      <c r="BI105" s="167">
        <f t="shared" si="84"/>
        <v>0</v>
      </c>
      <c r="BJ105" s="167">
        <f t="shared" si="84"/>
        <v>0</v>
      </c>
      <c r="BK105" s="167">
        <f t="shared" si="84"/>
        <v>0</v>
      </c>
      <c r="BL105" s="167">
        <f t="shared" si="84"/>
        <v>0</v>
      </c>
      <c r="BM105" s="167">
        <f t="shared" si="84"/>
        <v>0</v>
      </c>
      <c r="BN105" s="167">
        <f t="shared" si="84"/>
        <v>0</v>
      </c>
      <c r="BO105" s="167">
        <f t="shared" si="84"/>
        <v>0</v>
      </c>
      <c r="BP105" s="167">
        <f t="shared" si="84"/>
        <v>0</v>
      </c>
      <c r="BQ105" s="167">
        <f t="shared" si="84"/>
        <v>0</v>
      </c>
      <c r="BR105" s="167">
        <f t="shared" si="84"/>
        <v>0</v>
      </c>
      <c r="BS105" s="167">
        <f t="shared" si="84"/>
        <v>0</v>
      </c>
      <c r="BT105" s="167">
        <f t="shared" si="84"/>
        <v>0</v>
      </c>
      <c r="BU105" s="167">
        <f t="shared" si="84"/>
        <v>0</v>
      </c>
      <c r="BV105" s="167">
        <f t="shared" si="84"/>
        <v>0</v>
      </c>
      <c r="BW105" s="167">
        <f t="shared" si="84"/>
        <v>0</v>
      </c>
      <c r="BX105" s="167">
        <f t="shared" si="84"/>
        <v>0</v>
      </c>
      <c r="BY105" s="167">
        <f t="shared" si="84"/>
        <v>0</v>
      </c>
    </row>
    <row r="106" outlineLevel="1" ht="14.5">
      <c r="A106" s="174" t="s">
        <v>1075</v>
      </c>
      <c r="B106" s="189"/>
      <c r="C106" s="185"/>
      <c r="D106" s="186"/>
      <c r="E106" s="185"/>
      <c r="F106" s="186"/>
      <c r="G106" s="176"/>
      <c r="H106" s="176"/>
      <c r="I106" s="176"/>
      <c r="J106" s="179">
        <f t="shared" ref="J106:J113" si="85">+C106+E106+H106+I106+G106</f>
        <v>0</v>
      </c>
      <c r="K106" s="134">
        <f t="shared" si="80"/>
        <v>0</v>
      </c>
      <c r="L106" s="134"/>
      <c r="M106" s="170"/>
      <c r="N106" s="141">
        <f>K106-K106/(1+Q106)</f>
        <v>0</v>
      </c>
      <c r="P106" s="141">
        <f t="shared" ref="P106:P112" si="86">IF(L106="Continuità","",K106-SUM(R106:BY106))</f>
        <v>0</v>
      </c>
      <c r="Q106" s="203"/>
      <c r="R106" s="134"/>
      <c r="S106" s="134"/>
      <c r="T106" s="134"/>
      <c r="U106" s="134"/>
      <c r="V106" s="134"/>
      <c r="W106" s="134"/>
      <c r="X106" s="134"/>
      <c r="Y106" s="134"/>
      <c r="Z106" s="134"/>
      <c r="AA106" s="134"/>
      <c r="AB106" s="134"/>
      <c r="AC106" s="134"/>
      <c r="AD106" s="134"/>
      <c r="AE106" s="134"/>
      <c r="AF106" s="134"/>
      <c r="AG106" s="134"/>
      <c r="AH106" s="134"/>
      <c r="AI106" s="134"/>
      <c r="AJ106" s="134"/>
      <c r="AK106" s="134"/>
      <c r="AL106" s="134"/>
      <c r="AM106" s="134"/>
      <c r="AN106" s="134"/>
      <c r="AO106" s="134"/>
      <c r="AP106" s="134"/>
      <c r="AQ106" s="134"/>
      <c r="AR106" s="134"/>
      <c r="AS106" s="134"/>
      <c r="AT106" s="134"/>
      <c r="AU106" s="134"/>
      <c r="AV106" s="134"/>
      <c r="AW106" s="134"/>
      <c r="AX106" s="134"/>
      <c r="AY106" s="134"/>
      <c r="AZ106" s="134"/>
      <c r="BA106" s="134"/>
      <c r="BB106" s="134"/>
      <c r="BC106" s="134"/>
      <c r="BD106" s="134"/>
      <c r="BE106" s="134"/>
      <c r="BF106" s="134"/>
      <c r="BG106" s="134"/>
      <c r="BH106" s="134"/>
      <c r="BI106" s="134"/>
      <c r="BJ106" s="134"/>
      <c r="BK106" s="134"/>
      <c r="BL106" s="134"/>
      <c r="BM106" s="134"/>
      <c r="BN106" s="134"/>
      <c r="BO106" s="134"/>
      <c r="BP106" s="134"/>
      <c r="BQ106" s="134"/>
      <c r="BR106" s="134"/>
      <c r="BS106" s="134"/>
      <c r="BT106" s="134"/>
      <c r="BU106" s="134"/>
      <c r="BV106" s="134"/>
      <c r="BW106" s="134"/>
      <c r="BX106" s="134"/>
      <c r="BY106" s="134"/>
    </row>
    <row r="107" outlineLevel="1" ht="14.5">
      <c r="A107" s="174" t="s">
        <v>1076</v>
      </c>
      <c r="B107" s="189"/>
      <c r="C107" s="185"/>
      <c r="D107" s="186"/>
      <c r="E107" s="185"/>
      <c r="F107" s="196"/>
      <c r="G107" s="176"/>
      <c r="H107" s="176"/>
      <c r="I107" s="176"/>
      <c r="J107" s="179">
        <f>+C107+E107+H107+I107+G107</f>
        <v>0</v>
      </c>
      <c r="K107" s="134">
        <f t="shared" si="80"/>
        <v>0</v>
      </c>
      <c r="L107" s="134"/>
      <c r="M107" s="170"/>
      <c r="N107" s="141">
        <f t="shared" ref="N107:N113" si="87">K107-K107/(1+Q107)</f>
        <v>0</v>
      </c>
      <c r="P107" s="141">
        <f t="shared" si="86"/>
        <v>0</v>
      </c>
      <c r="Q107" s="203"/>
      <c r="R107" s="134"/>
      <c r="S107" s="134"/>
      <c r="T107" s="134"/>
      <c r="U107" s="134"/>
      <c r="V107" s="134"/>
      <c r="W107" s="134"/>
      <c r="X107" s="134"/>
      <c r="Y107" s="134"/>
      <c r="Z107" s="134"/>
      <c r="AA107" s="134"/>
      <c r="AB107" s="134"/>
      <c r="AC107" s="134"/>
      <c r="AD107" s="134"/>
      <c r="AE107" s="134"/>
      <c r="AF107" s="134"/>
      <c r="AG107" s="134"/>
      <c r="AH107" s="134"/>
      <c r="AI107" s="134"/>
      <c r="AJ107" s="134"/>
      <c r="AK107" s="134"/>
      <c r="AL107" s="134"/>
      <c r="AM107" s="134"/>
      <c r="AN107" s="134"/>
      <c r="AO107" s="134"/>
      <c r="AP107" s="134"/>
      <c r="AQ107" s="134"/>
      <c r="AR107" s="134"/>
      <c r="AS107" s="134"/>
      <c r="AT107" s="134"/>
      <c r="AU107" s="134"/>
      <c r="AV107" s="134"/>
      <c r="AW107" s="134"/>
      <c r="AX107" s="134"/>
      <c r="AY107" s="134"/>
      <c r="AZ107" s="134"/>
      <c r="BA107" s="134"/>
      <c r="BB107" s="134"/>
      <c r="BC107" s="134"/>
      <c r="BD107" s="134"/>
      <c r="BE107" s="134"/>
      <c r="BF107" s="134"/>
      <c r="BG107" s="134"/>
      <c r="BH107" s="134"/>
      <c r="BI107" s="134"/>
      <c r="BJ107" s="134"/>
      <c r="BK107" s="134"/>
      <c r="BL107" s="134"/>
      <c r="BM107" s="134"/>
      <c r="BN107" s="134"/>
      <c r="BO107" s="134"/>
      <c r="BP107" s="134"/>
      <c r="BQ107" s="134"/>
      <c r="BR107" s="134"/>
      <c r="BS107" s="134"/>
      <c r="BT107" s="134"/>
      <c r="BU107" s="134"/>
      <c r="BV107" s="134"/>
      <c r="BW107" s="134"/>
      <c r="BX107" s="134"/>
      <c r="BY107" s="134"/>
    </row>
    <row r="108" outlineLevel="1" ht="14.5">
      <c r="A108" s="174" t="s">
        <v>1077</v>
      </c>
      <c r="B108" s="189"/>
      <c r="C108" s="185"/>
      <c r="D108" s="186"/>
      <c r="E108" s="185"/>
      <c r="F108" s="196"/>
      <c r="G108" s="176"/>
      <c r="H108" s="176"/>
      <c r="I108" s="176"/>
      <c r="J108" s="179">
        <f t="shared" ref="J108:J111" si="88">+C108+E108+H108+I108+G108</f>
        <v>0</v>
      </c>
      <c r="K108" s="134">
        <f t="shared" si="80"/>
        <v>0</v>
      </c>
      <c r="L108" s="134"/>
      <c r="M108" s="170"/>
      <c r="N108" s="141">
        <f t="shared" si="87"/>
        <v>0</v>
      </c>
      <c r="P108" s="141">
        <f t="shared" si="86"/>
        <v>0</v>
      </c>
      <c r="Q108" s="203"/>
      <c r="R108" s="134"/>
      <c r="S108" s="134"/>
      <c r="T108" s="134"/>
      <c r="U108" s="134"/>
      <c r="V108" s="134"/>
      <c r="W108" s="134"/>
      <c r="X108" s="134"/>
      <c r="Y108" s="134"/>
      <c r="Z108" s="134"/>
      <c r="AA108" s="134"/>
      <c r="AB108" s="134"/>
      <c r="AC108" s="134"/>
      <c r="AD108" s="134"/>
      <c r="AE108" s="134"/>
      <c r="AF108" s="134"/>
      <c r="AG108" s="134"/>
      <c r="AH108" s="134"/>
      <c r="AI108" s="134"/>
      <c r="AJ108" s="134"/>
      <c r="AK108" s="134"/>
      <c r="AL108" s="134"/>
      <c r="AM108" s="134"/>
      <c r="AN108" s="134"/>
      <c r="AO108" s="134"/>
      <c r="AP108" s="134"/>
      <c r="AQ108" s="134"/>
      <c r="AR108" s="134"/>
      <c r="AS108" s="134"/>
      <c r="AT108" s="134"/>
      <c r="AU108" s="134"/>
      <c r="AV108" s="134"/>
      <c r="AW108" s="134"/>
      <c r="AX108" s="134"/>
      <c r="AY108" s="134"/>
      <c r="AZ108" s="134"/>
      <c r="BA108" s="134"/>
      <c r="BB108" s="134"/>
      <c r="BC108" s="134"/>
      <c r="BD108" s="134"/>
      <c r="BE108" s="134"/>
      <c r="BF108" s="134"/>
      <c r="BG108" s="134"/>
      <c r="BH108" s="134"/>
      <c r="BI108" s="134"/>
      <c r="BJ108" s="134"/>
      <c r="BK108" s="134"/>
      <c r="BL108" s="134"/>
      <c r="BM108" s="134"/>
      <c r="BN108" s="134"/>
      <c r="BO108" s="134"/>
      <c r="BP108" s="134"/>
      <c r="BQ108" s="134"/>
      <c r="BR108" s="134"/>
      <c r="BS108" s="134"/>
      <c r="BT108" s="134"/>
      <c r="BU108" s="134"/>
      <c r="BV108" s="134"/>
      <c r="BW108" s="134"/>
      <c r="BX108" s="134"/>
      <c r="BY108" s="134"/>
    </row>
    <row r="109" outlineLevel="1" ht="14.5">
      <c r="A109" s="174" t="s">
        <v>1078</v>
      </c>
      <c r="B109" s="189"/>
      <c r="C109" s="185"/>
      <c r="D109" s="186"/>
      <c r="E109" s="185"/>
      <c r="F109" s="196"/>
      <c r="G109" s="176"/>
      <c r="H109" s="176"/>
      <c r="I109" s="176"/>
      <c r="J109" s="179">
        <f t="shared" si="88"/>
        <v>0</v>
      </c>
      <c r="K109" s="134">
        <f t="shared" si="80"/>
        <v>0</v>
      </c>
      <c r="L109" s="134"/>
      <c r="M109" s="170"/>
      <c r="N109" s="141">
        <f t="shared" si="87"/>
        <v>0</v>
      </c>
      <c r="P109" s="141">
        <f t="shared" si="86"/>
        <v>0</v>
      </c>
      <c r="Q109" s="203"/>
      <c r="R109" s="134"/>
      <c r="S109" s="134"/>
      <c r="T109" s="134"/>
      <c r="U109" s="134"/>
      <c r="V109" s="134"/>
      <c r="W109" s="134"/>
      <c r="X109" s="134"/>
      <c r="Y109" s="134"/>
      <c r="Z109" s="134"/>
      <c r="AA109" s="134"/>
      <c r="AB109" s="134"/>
      <c r="AC109" s="134"/>
      <c r="AD109" s="134"/>
      <c r="AE109" s="134"/>
      <c r="AF109" s="134"/>
      <c r="AG109" s="134"/>
      <c r="AH109" s="134"/>
      <c r="AI109" s="134"/>
      <c r="AJ109" s="134"/>
      <c r="AK109" s="134"/>
      <c r="AL109" s="134"/>
      <c r="AM109" s="134"/>
      <c r="AN109" s="134"/>
      <c r="AO109" s="134"/>
      <c r="AP109" s="134"/>
      <c r="AQ109" s="134"/>
      <c r="AR109" s="134"/>
      <c r="AS109" s="134"/>
      <c r="AT109" s="134"/>
      <c r="AU109" s="134"/>
      <c r="AV109" s="134"/>
      <c r="AW109" s="134"/>
      <c r="AX109" s="134"/>
      <c r="AY109" s="134"/>
      <c r="AZ109" s="134"/>
      <c r="BA109" s="134"/>
      <c r="BB109" s="134"/>
      <c r="BC109" s="134"/>
      <c r="BD109" s="134"/>
      <c r="BE109" s="134"/>
      <c r="BF109" s="134"/>
      <c r="BG109" s="134"/>
      <c r="BH109" s="134"/>
      <c r="BI109" s="134"/>
      <c r="BJ109" s="134"/>
      <c r="BK109" s="134"/>
      <c r="BL109" s="134"/>
      <c r="BM109" s="134"/>
      <c r="BN109" s="134"/>
      <c r="BO109" s="134"/>
      <c r="BP109" s="134"/>
      <c r="BQ109" s="134"/>
      <c r="BR109" s="134"/>
      <c r="BS109" s="134"/>
      <c r="BT109" s="134"/>
      <c r="BU109" s="134"/>
      <c r="BV109" s="134"/>
      <c r="BW109" s="134"/>
      <c r="BX109" s="134"/>
      <c r="BY109" s="134"/>
    </row>
    <row r="110" outlineLevel="1" ht="14.5">
      <c r="A110" s="174" t="s">
        <v>1079</v>
      </c>
      <c r="B110" s="189"/>
      <c r="C110" s="185"/>
      <c r="D110" s="186"/>
      <c r="E110" s="185"/>
      <c r="F110" s="196"/>
      <c r="G110" s="176"/>
      <c r="H110" s="176"/>
      <c r="I110" s="176"/>
      <c r="J110" s="179">
        <f>+C110+E110+H110+I110+G110</f>
        <v>0</v>
      </c>
      <c r="K110" s="134">
        <f t="shared" si="80"/>
        <v>0</v>
      </c>
      <c r="L110" s="134"/>
      <c r="M110" s="170"/>
      <c r="N110" s="141">
        <f t="shared" si="87"/>
        <v>0</v>
      </c>
      <c r="P110" s="141">
        <f t="shared" si="86"/>
        <v>0</v>
      </c>
      <c r="Q110" s="203"/>
      <c r="R110" s="134"/>
      <c r="S110" s="134"/>
      <c r="T110" s="134"/>
      <c r="U110" s="134"/>
      <c r="V110" s="134"/>
      <c r="W110" s="134"/>
      <c r="X110" s="134"/>
      <c r="Y110" s="134"/>
      <c r="Z110" s="134"/>
      <c r="AA110" s="134"/>
      <c r="AB110" s="134"/>
      <c r="AC110" s="134"/>
      <c r="AD110" s="134"/>
      <c r="AE110" s="134"/>
      <c r="AF110" s="134"/>
      <c r="AG110" s="134"/>
      <c r="AH110" s="134"/>
      <c r="AI110" s="134"/>
      <c r="AJ110" s="134"/>
      <c r="AK110" s="134"/>
      <c r="AL110" s="134"/>
      <c r="AM110" s="134"/>
      <c r="AN110" s="134"/>
      <c r="AO110" s="134"/>
      <c r="AP110" s="134"/>
      <c r="AQ110" s="134"/>
      <c r="AR110" s="134"/>
      <c r="AS110" s="134"/>
      <c r="AT110" s="134"/>
      <c r="AU110" s="134"/>
      <c r="AV110" s="134"/>
      <c r="AW110" s="134"/>
      <c r="AX110" s="134"/>
      <c r="AY110" s="134"/>
      <c r="AZ110" s="134"/>
      <c r="BA110" s="134"/>
      <c r="BB110" s="134"/>
      <c r="BC110" s="134"/>
      <c r="BD110" s="134"/>
      <c r="BE110" s="134"/>
      <c r="BF110" s="134"/>
      <c r="BG110" s="134"/>
      <c r="BH110" s="134"/>
      <c r="BI110" s="134"/>
      <c r="BJ110" s="134"/>
      <c r="BK110" s="134"/>
      <c r="BL110" s="134"/>
      <c r="BM110" s="134"/>
      <c r="BN110" s="134"/>
      <c r="BO110" s="134"/>
      <c r="BP110" s="134"/>
      <c r="BQ110" s="134"/>
      <c r="BR110" s="134"/>
      <c r="BS110" s="134"/>
      <c r="BT110" s="134"/>
      <c r="BU110" s="134"/>
      <c r="BV110" s="134"/>
      <c r="BW110" s="134"/>
      <c r="BX110" s="134"/>
      <c r="BY110" s="134"/>
    </row>
    <row r="111" outlineLevel="1" ht="14.5">
      <c r="A111" s="174" t="s">
        <v>1079</v>
      </c>
      <c r="B111" s="189"/>
      <c r="C111" s="185"/>
      <c r="D111" s="186"/>
      <c r="E111" s="185"/>
      <c r="F111" s="196"/>
      <c r="G111" s="176"/>
      <c r="H111" s="176"/>
      <c r="I111" s="176"/>
      <c r="J111" s="179">
        <f t="shared" si="88"/>
        <v>0</v>
      </c>
      <c r="K111" s="134">
        <f t="shared" si="80"/>
        <v>0</v>
      </c>
      <c r="L111" s="134"/>
      <c r="M111" s="170"/>
      <c r="N111" s="141">
        <f t="shared" si="87"/>
        <v>0</v>
      </c>
      <c r="P111" s="141">
        <f t="shared" si="86"/>
        <v>0</v>
      </c>
      <c r="Q111" s="203"/>
      <c r="R111" s="134"/>
      <c r="S111" s="134"/>
      <c r="T111" s="134"/>
      <c r="U111" s="134"/>
      <c r="V111" s="134"/>
      <c r="W111" s="134"/>
      <c r="X111" s="134"/>
      <c r="Y111" s="134"/>
      <c r="Z111" s="134"/>
      <c r="AA111" s="134"/>
      <c r="AB111" s="134"/>
      <c r="AC111" s="134"/>
      <c r="AD111" s="134"/>
      <c r="AE111" s="134"/>
      <c r="AF111" s="134"/>
      <c r="AG111" s="134"/>
      <c r="AH111" s="134"/>
      <c r="AI111" s="134"/>
      <c r="AJ111" s="134"/>
      <c r="AK111" s="134"/>
      <c r="AL111" s="134"/>
      <c r="AM111" s="134"/>
      <c r="AN111" s="134"/>
      <c r="AO111" s="134"/>
      <c r="AP111" s="134"/>
      <c r="AQ111" s="134"/>
      <c r="AR111" s="134"/>
      <c r="AS111" s="134"/>
      <c r="AT111" s="134"/>
      <c r="AU111" s="134"/>
      <c r="AV111" s="134"/>
      <c r="AW111" s="134"/>
      <c r="AX111" s="134"/>
      <c r="AY111" s="134"/>
      <c r="AZ111" s="134"/>
      <c r="BA111" s="134"/>
      <c r="BB111" s="134"/>
      <c r="BC111" s="134"/>
      <c r="BD111" s="134"/>
      <c r="BE111" s="134"/>
      <c r="BF111" s="134"/>
      <c r="BG111" s="134"/>
      <c r="BH111" s="134"/>
      <c r="BI111" s="134"/>
      <c r="BJ111" s="134"/>
      <c r="BK111" s="134"/>
      <c r="BL111" s="134"/>
      <c r="BM111" s="134"/>
      <c r="BN111" s="134"/>
      <c r="BO111" s="134"/>
      <c r="BP111" s="134"/>
      <c r="BQ111" s="134"/>
      <c r="BR111" s="134"/>
      <c r="BS111" s="134"/>
      <c r="BT111" s="134"/>
      <c r="BU111" s="134"/>
      <c r="BV111" s="134"/>
      <c r="BW111" s="134"/>
      <c r="BX111" s="134"/>
      <c r="BY111" s="134"/>
    </row>
    <row r="112" outlineLevel="1" ht="14.5">
      <c r="A112" s="174" t="s">
        <v>1080</v>
      </c>
      <c r="B112" s="189"/>
      <c r="C112" s="185"/>
      <c r="D112" s="186"/>
      <c r="E112" s="185"/>
      <c r="F112" s="196"/>
      <c r="G112" s="176"/>
      <c r="H112" s="176"/>
      <c r="I112" s="176"/>
      <c r="J112" s="179">
        <f t="shared" si="85"/>
        <v>0</v>
      </c>
      <c r="K112" s="134">
        <f t="shared" si="80"/>
        <v>0</v>
      </c>
      <c r="L112" s="134"/>
      <c r="M112" s="170"/>
      <c r="N112" s="141">
        <f t="shared" si="87"/>
        <v>0</v>
      </c>
      <c r="P112" s="141">
        <f t="shared" si="86"/>
        <v>0</v>
      </c>
      <c r="Q112" s="203"/>
      <c r="R112" s="134"/>
      <c r="S112" s="134"/>
      <c r="T112" s="134"/>
      <c r="U112" s="134"/>
      <c r="V112" s="134"/>
      <c r="W112" s="134"/>
      <c r="X112" s="134"/>
      <c r="Y112" s="134"/>
      <c r="Z112" s="134"/>
      <c r="AA112" s="134"/>
      <c r="AB112" s="134"/>
      <c r="AC112" s="134"/>
      <c r="AD112" s="134"/>
      <c r="AE112" s="134"/>
      <c r="AF112" s="134"/>
      <c r="AG112" s="134"/>
      <c r="AH112" s="134"/>
      <c r="AI112" s="134"/>
      <c r="AJ112" s="134"/>
      <c r="AK112" s="134"/>
      <c r="AL112" s="134"/>
      <c r="AM112" s="134"/>
      <c r="AN112" s="134"/>
      <c r="AO112" s="134"/>
      <c r="AP112" s="134"/>
      <c r="AQ112" s="134"/>
      <c r="AR112" s="134"/>
      <c r="AS112" s="134"/>
      <c r="AT112" s="134"/>
      <c r="AU112" s="134"/>
      <c r="AV112" s="134"/>
      <c r="AW112" s="134"/>
      <c r="AX112" s="134"/>
      <c r="AY112" s="134"/>
      <c r="AZ112" s="134"/>
      <c r="BA112" s="134"/>
      <c r="BB112" s="134"/>
      <c r="BC112" s="134"/>
      <c r="BD112" s="134"/>
      <c r="BE112" s="134"/>
      <c r="BF112" s="134"/>
      <c r="BG112" s="134"/>
      <c r="BH112" s="134"/>
      <c r="BI112" s="134"/>
      <c r="BJ112" s="134"/>
      <c r="BK112" s="134"/>
      <c r="BL112" s="134"/>
      <c r="BM112" s="134"/>
      <c r="BN112" s="134"/>
      <c r="BO112" s="134"/>
      <c r="BP112" s="134"/>
      <c r="BQ112" s="134"/>
      <c r="BR112" s="134"/>
      <c r="BS112" s="134"/>
      <c r="BT112" s="134"/>
      <c r="BU112" s="134"/>
      <c r="BV112" s="134"/>
      <c r="BW112" s="134"/>
      <c r="BX112" s="134"/>
      <c r="BY112" s="134"/>
    </row>
    <row r="113" outlineLevel="1" ht="14.5">
      <c r="A113" s="174" t="s">
        <v>1027</v>
      </c>
      <c r="B113" s="189"/>
      <c r="C113" s="185"/>
      <c r="D113" s="186"/>
      <c r="E113" s="204"/>
      <c r="F113" s="205"/>
      <c r="G113" s="176"/>
      <c r="H113" s="176"/>
      <c r="I113" s="176"/>
      <c r="J113" s="179">
        <f t="shared" si="85"/>
        <v>0</v>
      </c>
      <c r="K113" s="134">
        <f t="shared" si="80"/>
        <v>0</v>
      </c>
      <c r="L113" s="134"/>
      <c r="M113" s="170"/>
      <c r="N113" s="141">
        <f t="shared" si="87"/>
        <v>0</v>
      </c>
      <c r="Q113" s="203"/>
      <c r="R113" s="134"/>
      <c r="S113" s="134"/>
      <c r="T113" s="134"/>
      <c r="U113" s="134"/>
      <c r="V113" s="134"/>
      <c r="W113" s="134"/>
      <c r="X113" s="134"/>
      <c r="Y113" s="134"/>
      <c r="Z113" s="134"/>
      <c r="AA113" s="134"/>
      <c r="AB113" s="134"/>
      <c r="AC113" s="134"/>
      <c r="AD113" s="134"/>
      <c r="AE113" s="134"/>
      <c r="AF113" s="134"/>
      <c r="AG113" s="134"/>
      <c r="AH113" s="134"/>
      <c r="AI113" s="134"/>
      <c r="AJ113" s="134"/>
      <c r="AK113" s="134"/>
      <c r="AL113" s="134"/>
      <c r="AM113" s="134"/>
      <c r="AN113" s="134"/>
      <c r="AO113" s="134"/>
      <c r="AP113" s="134"/>
      <c r="AQ113" s="134"/>
      <c r="AR113" s="134"/>
      <c r="AS113" s="134"/>
      <c r="AT113" s="134"/>
      <c r="AU113" s="134"/>
      <c r="AV113" s="134"/>
      <c r="AW113" s="134"/>
      <c r="AX113" s="134"/>
      <c r="AY113" s="134"/>
      <c r="AZ113" s="134"/>
      <c r="BA113" s="134"/>
      <c r="BB113" s="134"/>
      <c r="BC113" s="134"/>
      <c r="BD113" s="134"/>
      <c r="BE113" s="134"/>
      <c r="BF113" s="134"/>
      <c r="BG113" s="134"/>
      <c r="BH113" s="134"/>
      <c r="BI113" s="134"/>
      <c r="BJ113" s="134"/>
      <c r="BK113" s="134"/>
      <c r="BL113" s="134"/>
      <c r="BM113" s="134"/>
      <c r="BN113" s="134"/>
      <c r="BO113" s="134"/>
      <c r="BP113" s="134"/>
      <c r="BQ113" s="134"/>
      <c r="BR113" s="134"/>
      <c r="BS113" s="134"/>
      <c r="BT113" s="134"/>
      <c r="BU113" s="134"/>
      <c r="BV113" s="134"/>
      <c r="BW113" s="134"/>
      <c r="BX113" s="134"/>
      <c r="BY113" s="134"/>
    </row>
    <row r="114" ht="14.5">
      <c r="A114" s="206" t="s">
        <v>729</v>
      </c>
      <c r="B114" s="167">
        <f>SUMIF(Raccordo!F:F,$A114,Raccordo!J:J)</f>
        <v>0</v>
      </c>
      <c r="C114" s="185"/>
      <c r="D114" s="186"/>
      <c r="E114" s="172">
        <f>+SUM(E115:E120)</f>
        <v>0</v>
      </c>
      <c r="F114" s="173" t="s">
        <v>1017</v>
      </c>
      <c r="G114" s="172">
        <f t="shared" ref="G114" si="89">+SUM(G115:G120)</f>
        <v>0</v>
      </c>
      <c r="H114" s="172">
        <f t="shared" ref="H114" si="90">+SUM(H115:H120)</f>
        <v>0</v>
      </c>
      <c r="I114" s="172">
        <f>+SUM(I115:I120)</f>
        <v>0</v>
      </c>
      <c r="J114" s="172">
        <f t="shared" ref="J114" si="91">+SUM(J115:J116)</f>
        <v>0</v>
      </c>
      <c r="K114" s="167">
        <f>+SUM(K115:K120)</f>
        <v>0</v>
      </c>
      <c r="L114" s="159" t="s">
        <v>1065</v>
      </c>
      <c r="M114" s="207">
        <f>SUM(M115:M120)</f>
        <v>0</v>
      </c>
      <c r="P114" s="208">
        <f t="shared" ref="P114" si="92">SUM(R114:BY114)</f>
        <v>0</v>
      </c>
      <c r="Q114" s="173"/>
      <c r="R114" s="167">
        <f>+SUM(R115:R120)</f>
        <v>0</v>
      </c>
      <c r="S114" s="167">
        <f t="shared" ref="S114:BY114" si="93">+SUM(S115:S120)</f>
        <v>0</v>
      </c>
      <c r="T114" s="167">
        <f t="shared" si="93"/>
        <v>0</v>
      </c>
      <c r="U114" s="167">
        <f t="shared" si="93"/>
        <v>0</v>
      </c>
      <c r="V114" s="167">
        <f t="shared" si="93"/>
        <v>0</v>
      </c>
      <c r="W114" s="167">
        <f t="shared" si="93"/>
        <v>0</v>
      </c>
      <c r="X114" s="167">
        <f t="shared" si="93"/>
        <v>0</v>
      </c>
      <c r="Y114" s="167">
        <f t="shared" si="93"/>
        <v>0</v>
      </c>
      <c r="Z114" s="167">
        <f t="shared" si="93"/>
        <v>0</v>
      </c>
      <c r="AA114" s="167">
        <f t="shared" si="93"/>
        <v>0</v>
      </c>
      <c r="AB114" s="167">
        <f t="shared" si="93"/>
        <v>0</v>
      </c>
      <c r="AC114" s="167">
        <f t="shared" si="93"/>
        <v>0</v>
      </c>
      <c r="AD114" s="167">
        <f t="shared" si="93"/>
        <v>0</v>
      </c>
      <c r="AE114" s="167">
        <f t="shared" si="93"/>
        <v>0</v>
      </c>
      <c r="AF114" s="167">
        <f t="shared" si="93"/>
        <v>0</v>
      </c>
      <c r="AG114" s="167">
        <f t="shared" si="93"/>
        <v>0</v>
      </c>
      <c r="AH114" s="167">
        <f t="shared" si="93"/>
        <v>0</v>
      </c>
      <c r="AI114" s="167">
        <f t="shared" si="93"/>
        <v>0</v>
      </c>
      <c r="AJ114" s="167">
        <f t="shared" si="93"/>
        <v>0</v>
      </c>
      <c r="AK114" s="167">
        <f t="shared" si="93"/>
        <v>0</v>
      </c>
      <c r="AL114" s="167">
        <f t="shared" si="93"/>
        <v>0</v>
      </c>
      <c r="AM114" s="167">
        <f t="shared" si="93"/>
        <v>0</v>
      </c>
      <c r="AN114" s="167">
        <f t="shared" si="93"/>
        <v>0</v>
      </c>
      <c r="AO114" s="167">
        <f t="shared" si="93"/>
        <v>0</v>
      </c>
      <c r="AP114" s="167">
        <f t="shared" si="93"/>
        <v>0</v>
      </c>
      <c r="AQ114" s="167">
        <f t="shared" si="93"/>
        <v>0</v>
      </c>
      <c r="AR114" s="167">
        <f t="shared" si="93"/>
        <v>0</v>
      </c>
      <c r="AS114" s="167">
        <f t="shared" si="93"/>
        <v>0</v>
      </c>
      <c r="AT114" s="167">
        <f t="shared" si="93"/>
        <v>0</v>
      </c>
      <c r="AU114" s="167">
        <f t="shared" si="93"/>
        <v>0</v>
      </c>
      <c r="AV114" s="167">
        <f t="shared" si="93"/>
        <v>0</v>
      </c>
      <c r="AW114" s="167">
        <f t="shared" si="93"/>
        <v>0</v>
      </c>
      <c r="AX114" s="167">
        <f t="shared" si="93"/>
        <v>0</v>
      </c>
      <c r="AY114" s="167">
        <f t="shared" si="93"/>
        <v>0</v>
      </c>
      <c r="AZ114" s="167">
        <f t="shared" si="93"/>
        <v>0</v>
      </c>
      <c r="BA114" s="167">
        <f t="shared" si="93"/>
        <v>0</v>
      </c>
      <c r="BB114" s="167">
        <f t="shared" si="93"/>
        <v>0</v>
      </c>
      <c r="BC114" s="167">
        <f t="shared" si="93"/>
        <v>0</v>
      </c>
      <c r="BD114" s="167">
        <f t="shared" si="93"/>
        <v>0</v>
      </c>
      <c r="BE114" s="167">
        <f t="shared" si="93"/>
        <v>0</v>
      </c>
      <c r="BF114" s="167">
        <f t="shared" si="93"/>
        <v>0</v>
      </c>
      <c r="BG114" s="167">
        <f t="shared" si="93"/>
        <v>0</v>
      </c>
      <c r="BH114" s="167">
        <f t="shared" si="93"/>
        <v>0</v>
      </c>
      <c r="BI114" s="167">
        <f t="shared" si="93"/>
        <v>0</v>
      </c>
      <c r="BJ114" s="167">
        <f t="shared" si="93"/>
        <v>0</v>
      </c>
      <c r="BK114" s="167">
        <f t="shared" si="93"/>
        <v>0</v>
      </c>
      <c r="BL114" s="167">
        <f t="shared" si="93"/>
        <v>0</v>
      </c>
      <c r="BM114" s="167">
        <f t="shared" si="93"/>
        <v>0</v>
      </c>
      <c r="BN114" s="167">
        <f t="shared" si="93"/>
        <v>0</v>
      </c>
      <c r="BO114" s="167">
        <f t="shared" si="93"/>
        <v>0</v>
      </c>
      <c r="BP114" s="167">
        <f t="shared" si="93"/>
        <v>0</v>
      </c>
      <c r="BQ114" s="167">
        <f t="shared" si="93"/>
        <v>0</v>
      </c>
      <c r="BR114" s="167">
        <f t="shared" si="93"/>
        <v>0</v>
      </c>
      <c r="BS114" s="167">
        <f t="shared" si="93"/>
        <v>0</v>
      </c>
      <c r="BT114" s="167">
        <f t="shared" si="93"/>
        <v>0</v>
      </c>
      <c r="BU114" s="167">
        <f t="shared" si="93"/>
        <v>0</v>
      </c>
      <c r="BV114" s="167">
        <f t="shared" si="93"/>
        <v>0</v>
      </c>
      <c r="BW114" s="167">
        <f t="shared" si="93"/>
        <v>0</v>
      </c>
      <c r="BX114" s="167">
        <f t="shared" si="93"/>
        <v>0</v>
      </c>
      <c r="BY114" s="167">
        <f t="shared" si="93"/>
        <v>0</v>
      </c>
    </row>
    <row r="115" outlineLevel="1" ht="14.5">
      <c r="A115" s="174" t="s">
        <v>1081</v>
      </c>
      <c r="B115" s="177"/>
      <c r="C115" s="185"/>
      <c r="D115" s="186"/>
      <c r="E115" s="176"/>
      <c r="F115" s="177"/>
      <c r="G115" s="176"/>
      <c r="H115" s="176"/>
      <c r="I115" s="176"/>
      <c r="J115" s="179">
        <f t="shared" ref="J115:J120" si="94">+C115+E115+H115+I115+G115</f>
        <v>0</v>
      </c>
      <c r="K115" s="134">
        <f t="shared" si="80"/>
        <v>0</v>
      </c>
      <c r="L115" s="134"/>
      <c r="M115" s="170"/>
      <c r="N115" s="141"/>
      <c r="P115" s="141">
        <f t="shared" ref="P115:P118" si="95">IF(L115="Continuità","",K115-SUM(R115:BY115))</f>
        <v>0</v>
      </c>
      <c r="R115" s="134"/>
      <c r="S115" s="134"/>
      <c r="T115" s="134"/>
      <c r="U115" s="134"/>
      <c r="V115" s="134"/>
      <c r="W115" s="134"/>
      <c r="X115" s="134"/>
      <c r="Y115" s="134"/>
      <c r="Z115" s="134"/>
      <c r="AA115" s="134"/>
      <c r="AB115" s="134"/>
      <c r="AC115" s="134"/>
      <c r="AD115" s="134"/>
      <c r="AE115" s="134"/>
      <c r="AF115" s="134"/>
      <c r="AG115" s="134"/>
      <c r="AH115" s="134"/>
      <c r="AI115" s="134"/>
      <c r="AJ115" s="134"/>
      <c r="AK115" s="134"/>
      <c r="AL115" s="134"/>
      <c r="AM115" s="134"/>
      <c r="AN115" s="134"/>
      <c r="AO115" s="134"/>
      <c r="AP115" s="134"/>
      <c r="AQ115" s="134"/>
      <c r="AR115" s="134"/>
      <c r="AS115" s="134"/>
      <c r="AT115" s="134"/>
      <c r="AU115" s="134"/>
      <c r="AV115" s="134"/>
      <c r="AW115" s="134"/>
      <c r="AX115" s="134"/>
      <c r="AY115" s="134"/>
      <c r="AZ115" s="134"/>
      <c r="BA115" s="134"/>
      <c r="BB115" s="134"/>
      <c r="BC115" s="134"/>
      <c r="BD115" s="134"/>
      <c r="BE115" s="134"/>
      <c r="BF115" s="134"/>
      <c r="BG115" s="134"/>
      <c r="BH115" s="134"/>
      <c r="BI115" s="134"/>
      <c r="BJ115" s="134"/>
      <c r="BK115" s="134"/>
      <c r="BL115" s="134"/>
      <c r="BM115" s="134"/>
      <c r="BN115" s="134"/>
      <c r="BO115" s="134"/>
      <c r="BP115" s="134"/>
      <c r="BQ115" s="134"/>
      <c r="BR115" s="134"/>
      <c r="BS115" s="134"/>
      <c r="BT115" s="134"/>
      <c r="BU115" s="134"/>
      <c r="BV115" s="134"/>
      <c r="BW115" s="134"/>
      <c r="BX115" s="134"/>
      <c r="BY115" s="134"/>
    </row>
    <row r="116" outlineLevel="1" ht="14.5">
      <c r="A116" s="174" t="s">
        <v>1082</v>
      </c>
      <c r="B116" s="177"/>
      <c r="C116" s="185"/>
      <c r="D116" s="196"/>
      <c r="E116" s="176"/>
      <c r="F116" s="177"/>
      <c r="G116" s="176"/>
      <c r="H116" s="176"/>
      <c r="I116" s="176"/>
      <c r="J116" s="179">
        <f t="shared" si="94"/>
        <v>0</v>
      </c>
      <c r="K116" s="134">
        <f t="shared" si="80"/>
        <v>0</v>
      </c>
      <c r="L116" s="134"/>
      <c r="M116" s="170"/>
      <c r="N116" s="141"/>
      <c r="P116" s="141">
        <f t="shared" si="95"/>
        <v>0</v>
      </c>
      <c r="R116" s="134"/>
      <c r="S116" s="134"/>
      <c r="T116" s="134"/>
      <c r="U116" s="134"/>
      <c r="V116" s="134"/>
      <c r="W116" s="134"/>
      <c r="X116" s="134"/>
      <c r="Y116" s="134"/>
      <c r="Z116" s="134"/>
      <c r="AA116" s="134"/>
      <c r="AB116" s="134"/>
      <c r="AC116" s="134"/>
      <c r="AD116" s="134"/>
      <c r="AE116" s="134"/>
      <c r="AF116" s="134"/>
      <c r="AG116" s="134"/>
      <c r="AH116" s="134"/>
      <c r="AI116" s="134"/>
      <c r="AJ116" s="134"/>
      <c r="AK116" s="134"/>
      <c r="AL116" s="134"/>
      <c r="AM116" s="134"/>
      <c r="AN116" s="134"/>
      <c r="AO116" s="134"/>
      <c r="AP116" s="134"/>
      <c r="AQ116" s="134"/>
      <c r="AR116" s="134"/>
      <c r="AS116" s="134"/>
      <c r="AT116" s="134"/>
      <c r="AU116" s="134"/>
      <c r="AV116" s="134"/>
      <c r="AW116" s="134"/>
      <c r="AX116" s="134"/>
      <c r="AY116" s="134"/>
      <c r="AZ116" s="134"/>
      <c r="BA116" s="134"/>
      <c r="BB116" s="134"/>
      <c r="BC116" s="134"/>
      <c r="BD116" s="134"/>
      <c r="BE116" s="134"/>
      <c r="BF116" s="134"/>
      <c r="BG116" s="134"/>
      <c r="BH116" s="134"/>
      <c r="BI116" s="134"/>
      <c r="BJ116" s="134"/>
      <c r="BK116" s="134"/>
      <c r="BL116" s="134"/>
      <c r="BM116" s="134"/>
      <c r="BN116" s="134"/>
      <c r="BO116" s="134"/>
      <c r="BP116" s="134"/>
      <c r="BQ116" s="134"/>
      <c r="BR116" s="134"/>
      <c r="BS116" s="134"/>
      <c r="BT116" s="134"/>
      <c r="BU116" s="134"/>
      <c r="BV116" s="134"/>
      <c r="BW116" s="134"/>
      <c r="BX116" s="134"/>
      <c r="BY116" s="134"/>
    </row>
    <row r="117" outlineLevel="1" ht="14.5">
      <c r="A117" s="174" t="s">
        <v>1083</v>
      </c>
      <c r="B117" s="177"/>
      <c r="C117" s="185"/>
      <c r="D117" s="196"/>
      <c r="E117" s="176"/>
      <c r="F117" s="177"/>
      <c r="G117" s="176"/>
      <c r="H117" s="176"/>
      <c r="I117" s="176"/>
      <c r="J117" s="179">
        <f t="shared" si="94"/>
        <v>0</v>
      </c>
      <c r="K117" s="134">
        <f t="shared" si="80"/>
        <v>0</v>
      </c>
      <c r="L117" s="134"/>
      <c r="M117" s="170"/>
      <c r="N117" s="141"/>
      <c r="P117" s="141">
        <f t="shared" si="95"/>
        <v>0</v>
      </c>
      <c r="R117" s="134"/>
      <c r="S117" s="134"/>
      <c r="T117" s="134"/>
      <c r="U117" s="134"/>
      <c r="V117" s="134"/>
      <c r="W117" s="134"/>
      <c r="X117" s="134"/>
      <c r="Y117" s="134"/>
      <c r="Z117" s="134"/>
      <c r="AA117" s="134"/>
      <c r="AB117" s="134"/>
      <c r="AC117" s="134"/>
      <c r="AD117" s="134"/>
      <c r="AE117" s="134"/>
      <c r="AF117" s="134"/>
      <c r="AG117" s="134"/>
      <c r="AH117" s="134"/>
      <c r="AI117" s="134"/>
      <c r="AJ117" s="134"/>
      <c r="AK117" s="134"/>
      <c r="AL117" s="134"/>
      <c r="AM117" s="134"/>
      <c r="AN117" s="134"/>
      <c r="AO117" s="134"/>
      <c r="AP117" s="134"/>
      <c r="AQ117" s="134"/>
      <c r="AR117" s="134"/>
      <c r="AS117" s="134"/>
      <c r="AT117" s="134"/>
      <c r="AU117" s="134"/>
      <c r="AV117" s="134"/>
      <c r="AW117" s="134"/>
      <c r="AX117" s="134"/>
      <c r="AY117" s="134"/>
      <c r="AZ117" s="134"/>
      <c r="BA117" s="134"/>
      <c r="BB117" s="134"/>
      <c r="BC117" s="134"/>
      <c r="BD117" s="134"/>
      <c r="BE117" s="134"/>
      <c r="BF117" s="134"/>
      <c r="BG117" s="134"/>
      <c r="BH117" s="134"/>
      <c r="BI117" s="134"/>
      <c r="BJ117" s="134"/>
      <c r="BK117" s="134"/>
      <c r="BL117" s="134"/>
      <c r="BM117" s="134"/>
      <c r="BN117" s="134"/>
      <c r="BO117" s="134"/>
      <c r="BP117" s="134"/>
      <c r="BQ117" s="134"/>
      <c r="BR117" s="134"/>
      <c r="BS117" s="134"/>
      <c r="BT117" s="134"/>
      <c r="BU117" s="134"/>
      <c r="BV117" s="134"/>
      <c r="BW117" s="134"/>
      <c r="BX117" s="134"/>
      <c r="BY117" s="134"/>
    </row>
    <row r="118" outlineLevel="1" ht="14.5">
      <c r="A118" s="174" t="s">
        <v>1084</v>
      </c>
      <c r="B118" s="177"/>
      <c r="C118" s="185"/>
      <c r="D118" s="196"/>
      <c r="E118" s="176"/>
      <c r="F118" s="177"/>
      <c r="G118" s="176"/>
      <c r="H118" s="176"/>
      <c r="I118" s="176"/>
      <c r="J118" s="179">
        <f t="shared" si="94"/>
        <v>0</v>
      </c>
      <c r="K118" s="134">
        <f t="shared" si="80"/>
        <v>0</v>
      </c>
      <c r="L118" s="134"/>
      <c r="M118" s="170"/>
      <c r="N118" s="141"/>
      <c r="P118" s="141">
        <f t="shared" si="95"/>
        <v>0</v>
      </c>
      <c r="R118" s="134"/>
      <c r="S118" s="134"/>
      <c r="T118" s="134"/>
      <c r="U118" s="134">
        <f>+K118</f>
        <v>0</v>
      </c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4"/>
      <c r="AH118" s="134"/>
      <c r="AI118" s="134"/>
      <c r="AJ118" s="134"/>
      <c r="AK118" s="134"/>
      <c r="AL118" s="134"/>
      <c r="AM118" s="134"/>
      <c r="AN118" s="134"/>
      <c r="AO118" s="134"/>
      <c r="AP118" s="134"/>
      <c r="AQ118" s="134"/>
      <c r="AR118" s="134"/>
      <c r="AS118" s="134"/>
      <c r="AT118" s="134"/>
      <c r="AU118" s="134"/>
      <c r="AV118" s="134"/>
      <c r="AW118" s="134"/>
      <c r="AX118" s="134"/>
      <c r="AY118" s="134"/>
      <c r="AZ118" s="134"/>
      <c r="BA118" s="134"/>
      <c r="BB118" s="134"/>
      <c r="BC118" s="134"/>
      <c r="BD118" s="134"/>
      <c r="BE118" s="134"/>
      <c r="BF118" s="134"/>
      <c r="BG118" s="134"/>
      <c r="BH118" s="134"/>
      <c r="BI118" s="134"/>
      <c r="BJ118" s="134"/>
      <c r="BK118" s="134"/>
      <c r="BL118" s="134"/>
      <c r="BM118" s="134"/>
      <c r="BN118" s="134"/>
      <c r="BO118" s="134"/>
      <c r="BP118" s="134"/>
      <c r="BQ118" s="134"/>
      <c r="BR118" s="134"/>
      <c r="BS118" s="134"/>
      <c r="BT118" s="134"/>
      <c r="BU118" s="134"/>
      <c r="BV118" s="134"/>
      <c r="BW118" s="134"/>
      <c r="BX118" s="134"/>
      <c r="BY118" s="134"/>
    </row>
    <row r="119" outlineLevel="1" ht="14.5">
      <c r="A119" s="174" t="s">
        <v>1085</v>
      </c>
      <c r="B119" s="177"/>
      <c r="C119" s="185"/>
      <c r="D119" s="196"/>
      <c r="E119" s="176"/>
      <c r="F119" s="177"/>
      <c r="G119" s="176"/>
      <c r="H119" s="176"/>
      <c r="I119" s="176"/>
      <c r="J119" s="179">
        <f t="shared" si="94"/>
        <v>0</v>
      </c>
      <c r="K119" s="134">
        <f t="shared" si="80"/>
        <v>0</v>
      </c>
      <c r="L119" s="134"/>
      <c r="M119" s="170"/>
      <c r="N119" s="141"/>
      <c r="P119" s="141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4"/>
      <c r="AH119" s="134"/>
      <c r="AI119" s="134"/>
      <c r="AJ119" s="134"/>
      <c r="AK119" s="134"/>
      <c r="AL119" s="134"/>
      <c r="AM119" s="134"/>
      <c r="AN119" s="134"/>
      <c r="AO119" s="134"/>
      <c r="AP119" s="134"/>
      <c r="AQ119" s="134"/>
      <c r="AR119" s="134"/>
      <c r="AS119" s="134"/>
      <c r="AT119" s="134"/>
      <c r="AU119" s="134"/>
      <c r="AV119" s="134"/>
      <c r="AW119" s="134"/>
      <c r="AX119" s="134"/>
      <c r="AY119" s="134"/>
      <c r="AZ119" s="134"/>
      <c r="BA119" s="134"/>
      <c r="BB119" s="134"/>
      <c r="BC119" s="134"/>
      <c r="BD119" s="134"/>
      <c r="BE119" s="134"/>
      <c r="BF119" s="134"/>
      <c r="BG119" s="134"/>
      <c r="BH119" s="134"/>
      <c r="BI119" s="134"/>
      <c r="BJ119" s="134"/>
      <c r="BK119" s="134"/>
      <c r="BL119" s="134"/>
      <c r="BM119" s="134"/>
      <c r="BN119" s="134"/>
      <c r="BO119" s="134"/>
      <c r="BP119" s="134"/>
      <c r="BQ119" s="134"/>
      <c r="BR119" s="134"/>
      <c r="BS119" s="134"/>
      <c r="BT119" s="134"/>
      <c r="BU119" s="134"/>
      <c r="BV119" s="134"/>
      <c r="BW119" s="134"/>
      <c r="BX119" s="134"/>
      <c r="BY119" s="134"/>
    </row>
    <row r="120" outlineLevel="1" ht="14.5">
      <c r="A120" s="174" t="s">
        <v>1027</v>
      </c>
      <c r="B120" s="177"/>
      <c r="C120" s="204"/>
      <c r="D120" s="205"/>
      <c r="E120" s="176"/>
      <c r="F120" s="177"/>
      <c r="G120" s="176"/>
      <c r="H120" s="176"/>
      <c r="I120" s="176"/>
      <c r="J120" s="179">
        <f t="shared" si="94"/>
        <v>0</v>
      </c>
      <c r="K120" s="134">
        <f>+(B120+J120)</f>
        <v>0</v>
      </c>
      <c r="L120" s="134"/>
      <c r="M120" s="170"/>
      <c r="N120" s="141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4"/>
      <c r="AH120" s="134"/>
      <c r="AI120" s="134"/>
      <c r="AJ120" s="134"/>
      <c r="AK120" s="134"/>
      <c r="AL120" s="134"/>
      <c r="AM120" s="134"/>
      <c r="AN120" s="134"/>
      <c r="AO120" s="134"/>
      <c r="AP120" s="134"/>
      <c r="AQ120" s="134"/>
      <c r="AR120" s="134"/>
      <c r="AS120" s="134"/>
      <c r="AT120" s="134"/>
      <c r="AU120" s="134"/>
      <c r="AV120" s="134"/>
      <c r="AW120" s="134"/>
      <c r="AX120" s="134"/>
      <c r="AY120" s="134"/>
      <c r="AZ120" s="134"/>
      <c r="BA120" s="134"/>
      <c r="BB120" s="134"/>
      <c r="BC120" s="134"/>
      <c r="BD120" s="134"/>
      <c r="BE120" s="134"/>
      <c r="BF120" s="134"/>
      <c r="BG120" s="134"/>
      <c r="BH120" s="134"/>
      <c r="BI120" s="134"/>
      <c r="BJ120" s="134"/>
      <c r="BK120" s="134"/>
      <c r="BL120" s="134"/>
      <c r="BM120" s="134"/>
      <c r="BN120" s="134"/>
      <c r="BO120" s="134"/>
      <c r="BP120" s="134"/>
      <c r="BQ120" s="134"/>
      <c r="BR120" s="134"/>
      <c r="BS120" s="134"/>
      <c r="BT120" s="134"/>
      <c r="BU120" s="134"/>
      <c r="BV120" s="134"/>
      <c r="BW120" s="134"/>
      <c r="BX120" s="134"/>
      <c r="BY120" s="134"/>
    </row>
    <row r="121" outlineLevel="1" ht="14.5">
      <c r="A121" s="196"/>
      <c r="B121" s="196"/>
      <c r="C121" s="196"/>
      <c r="D121" s="196"/>
      <c r="E121" s="196"/>
      <c r="F121" s="196"/>
      <c r="G121" s="196"/>
      <c r="H121" s="196"/>
      <c r="I121" s="196"/>
      <c r="J121" s="196"/>
      <c r="K121" s="196"/>
      <c r="L121" s="196"/>
      <c r="M121" s="181"/>
      <c r="R121" s="200">
        <f t="shared" ref="R121:AW121" si="96">+R99+R105+R114</f>
        <v>0</v>
      </c>
      <c r="S121" s="200">
        <f t="shared" si="96"/>
        <v>0</v>
      </c>
      <c r="T121" s="200">
        <f t="shared" si="96"/>
        <v>0</v>
      </c>
      <c r="U121" s="200">
        <f>+U99+U105+U114</f>
        <v>0</v>
      </c>
      <c r="V121" s="200">
        <f t="shared" si="96"/>
        <v>0</v>
      </c>
      <c r="W121" s="200">
        <f t="shared" si="96"/>
        <v>0</v>
      </c>
      <c r="X121" s="200">
        <f t="shared" si="96"/>
        <v>0</v>
      </c>
      <c r="Y121" s="200">
        <f t="shared" si="96"/>
        <v>0</v>
      </c>
      <c r="Z121" s="200">
        <f t="shared" si="96"/>
        <v>0</v>
      </c>
      <c r="AA121" s="200">
        <f t="shared" si="96"/>
        <v>0</v>
      </c>
      <c r="AB121" s="200">
        <f t="shared" si="96"/>
        <v>0</v>
      </c>
      <c r="AC121" s="200">
        <f t="shared" si="96"/>
        <v>0</v>
      </c>
      <c r="AD121" s="200">
        <f t="shared" si="96"/>
        <v>0</v>
      </c>
      <c r="AE121" s="200">
        <f t="shared" si="96"/>
        <v>0</v>
      </c>
      <c r="AF121" s="200">
        <f t="shared" si="96"/>
        <v>0</v>
      </c>
      <c r="AG121" s="200">
        <f t="shared" si="96"/>
        <v>0</v>
      </c>
      <c r="AH121" s="200">
        <f t="shared" si="96"/>
        <v>0</v>
      </c>
      <c r="AI121" s="200">
        <f t="shared" si="96"/>
        <v>0</v>
      </c>
      <c r="AJ121" s="200">
        <f t="shared" si="96"/>
        <v>0</v>
      </c>
      <c r="AK121" s="200">
        <f t="shared" si="96"/>
        <v>0</v>
      </c>
      <c r="AL121" s="200">
        <f t="shared" si="96"/>
        <v>0</v>
      </c>
      <c r="AM121" s="200">
        <f t="shared" si="96"/>
        <v>0</v>
      </c>
      <c r="AN121" s="200">
        <f t="shared" si="96"/>
        <v>0</v>
      </c>
      <c r="AO121" s="200">
        <f t="shared" si="96"/>
        <v>0</v>
      </c>
      <c r="AP121" s="200">
        <f t="shared" si="96"/>
        <v>0</v>
      </c>
      <c r="AQ121" s="200">
        <f t="shared" si="96"/>
        <v>0</v>
      </c>
      <c r="AR121" s="200">
        <f t="shared" si="96"/>
        <v>0</v>
      </c>
      <c r="AS121" s="200">
        <f t="shared" si="96"/>
        <v>0</v>
      </c>
      <c r="AT121" s="200">
        <f t="shared" si="96"/>
        <v>0</v>
      </c>
      <c r="AU121" s="200">
        <f t="shared" si="96"/>
        <v>0</v>
      </c>
      <c r="AV121" s="200">
        <f t="shared" si="96"/>
        <v>0</v>
      </c>
      <c r="AW121" s="200">
        <f t="shared" si="96"/>
        <v>0</v>
      </c>
      <c r="AX121" s="200">
        <f t="shared" ref="AX121:BY121" si="97">+AX99+AX105+AX114</f>
        <v>0</v>
      </c>
      <c r="AY121" s="200">
        <f t="shared" si="97"/>
        <v>0</v>
      </c>
      <c r="AZ121" s="200">
        <f t="shared" si="97"/>
        <v>0</v>
      </c>
      <c r="BA121" s="200">
        <f t="shared" si="97"/>
        <v>0</v>
      </c>
      <c r="BB121" s="200">
        <f t="shared" si="97"/>
        <v>0</v>
      </c>
      <c r="BC121" s="200">
        <f t="shared" si="97"/>
        <v>0</v>
      </c>
      <c r="BD121" s="200">
        <f t="shared" si="97"/>
        <v>0</v>
      </c>
      <c r="BE121" s="200">
        <f t="shared" si="97"/>
        <v>0</v>
      </c>
      <c r="BF121" s="200">
        <f t="shared" si="97"/>
        <v>0</v>
      </c>
      <c r="BG121" s="200">
        <f t="shared" si="97"/>
        <v>0</v>
      </c>
      <c r="BH121" s="200">
        <f t="shared" si="97"/>
        <v>0</v>
      </c>
      <c r="BI121" s="200">
        <f t="shared" si="97"/>
        <v>0</v>
      </c>
      <c r="BJ121" s="200">
        <f t="shared" si="97"/>
        <v>0</v>
      </c>
      <c r="BK121" s="200">
        <f t="shared" si="97"/>
        <v>0</v>
      </c>
      <c r="BL121" s="200">
        <f t="shared" si="97"/>
        <v>0</v>
      </c>
      <c r="BM121" s="200">
        <f t="shared" si="97"/>
        <v>0</v>
      </c>
      <c r="BN121" s="200">
        <f t="shared" si="97"/>
        <v>0</v>
      </c>
      <c r="BO121" s="200">
        <f t="shared" si="97"/>
        <v>0</v>
      </c>
      <c r="BP121" s="200">
        <f t="shared" si="97"/>
        <v>0</v>
      </c>
      <c r="BQ121" s="200">
        <f t="shared" si="97"/>
        <v>0</v>
      </c>
      <c r="BR121" s="200">
        <f t="shared" si="97"/>
        <v>0</v>
      </c>
      <c r="BS121" s="200">
        <f t="shared" si="97"/>
        <v>0</v>
      </c>
      <c r="BT121" s="200">
        <f t="shared" si="97"/>
        <v>0</v>
      </c>
      <c r="BU121" s="200">
        <f t="shared" si="97"/>
        <v>0</v>
      </c>
      <c r="BV121" s="200">
        <f t="shared" si="97"/>
        <v>0</v>
      </c>
      <c r="BW121" s="200">
        <f t="shared" si="97"/>
        <v>0</v>
      </c>
      <c r="BX121" s="200">
        <f t="shared" si="97"/>
        <v>0</v>
      </c>
      <c r="BY121" s="200">
        <f t="shared" si="97"/>
        <v>0</v>
      </c>
    </row>
    <row r="122" ht="14.5">
      <c r="A122" s="209" t="s">
        <v>1086</v>
      </c>
      <c r="B122" s="210">
        <f>+B114+B105+B99+B92++B87+B83+B79+B75+B71+B67+B63+B59+B55+B51+B47+B43+B39+B28+B18+B8+B5</f>
        <v>0</v>
      </c>
      <c r="C122" s="211">
        <f>+C114+C105+C99+C92++C87+C83+C79+C75+C71+C67+C63+C59+C55+C51+C47+C43+C39+C28+C18+C8+C5</f>
        <v>0</v>
      </c>
      <c r="D122" s="211"/>
      <c r="E122" s="211">
        <f>+E114+E105+E99+E92++E87+E83+E79+E75+E71+E67+E63+E59+E55+E51+E47+E43+E39+E28+E18+E8+E5</f>
        <v>0</v>
      </c>
      <c r="F122" s="211"/>
      <c r="G122" s="211">
        <f>+G114+G105+G99+G92++G87+G83+G79+G75+G71+G67+G63+G59+G55+G51+G47+G43+G39+G28+G18+G8+G5</f>
        <v>0</v>
      </c>
      <c r="H122" s="211">
        <f>+H114+H105+H99+H92++H87+H83+H79+H75+H71+H67+H63+H59+H55+H51+H47+H43+H39+H28+H18+H8+H5</f>
        <v>0</v>
      </c>
      <c r="I122" s="211">
        <f>+I114+I105+I99+I92++I87+I83+I79+I75+I71+I67+I63+I59+I55+I51+I47+I43+I39+I28+I18+I8+I5</f>
        <v>0</v>
      </c>
      <c r="J122" s="211">
        <f>+J114+J105+J99+J92++J87+J83+J79+J75+J71+J67+J63+J59+J55+J51+J47+J43+J39+J28+J18+J8+J5</f>
        <v>0</v>
      </c>
      <c r="K122" s="210">
        <f>+K114+K105+K99+K92++K87+K83+K79+K75+K71+K67+K63+K59+K55+K51+K47+K43+K39+K28+K18+K8+K5</f>
        <v>0</v>
      </c>
      <c r="L122" s="210"/>
      <c r="M122" s="210"/>
      <c r="R122" s="141">
        <f t="shared" ref="R122:AW122" si="98">SUM(R100:R120)</f>
        <v>0</v>
      </c>
      <c r="S122" s="141">
        <f t="shared" si="98"/>
        <v>0</v>
      </c>
      <c r="T122" s="141">
        <f t="shared" si="98"/>
        <v>0</v>
      </c>
      <c r="U122" s="141">
        <f>SUM(U100:U120)</f>
        <v>0</v>
      </c>
      <c r="V122" s="141">
        <f t="shared" si="98"/>
        <v>0</v>
      </c>
      <c r="W122" s="141">
        <f t="shared" si="98"/>
        <v>0</v>
      </c>
      <c r="X122" s="141">
        <f t="shared" si="98"/>
        <v>0</v>
      </c>
      <c r="Y122" s="141">
        <f t="shared" si="98"/>
        <v>0</v>
      </c>
      <c r="Z122" s="141">
        <f t="shared" si="98"/>
        <v>0</v>
      </c>
      <c r="AA122" s="141">
        <f t="shared" si="98"/>
        <v>0</v>
      </c>
      <c r="AB122" s="141">
        <f t="shared" si="98"/>
        <v>0</v>
      </c>
      <c r="AC122" s="141">
        <f t="shared" si="98"/>
        <v>0</v>
      </c>
      <c r="AD122" s="141">
        <f t="shared" si="98"/>
        <v>0</v>
      </c>
      <c r="AE122" s="141">
        <f t="shared" si="98"/>
        <v>0</v>
      </c>
      <c r="AF122" s="141">
        <f t="shared" si="98"/>
        <v>0</v>
      </c>
      <c r="AG122" s="141">
        <f t="shared" si="98"/>
        <v>0</v>
      </c>
      <c r="AH122" s="141">
        <f t="shared" si="98"/>
        <v>0</v>
      </c>
      <c r="AI122" s="141">
        <f t="shared" si="98"/>
        <v>0</v>
      </c>
      <c r="AJ122" s="141">
        <f t="shared" si="98"/>
        <v>0</v>
      </c>
      <c r="AK122" s="141">
        <f t="shared" si="98"/>
        <v>0</v>
      </c>
      <c r="AL122" s="141">
        <f t="shared" si="98"/>
        <v>0</v>
      </c>
      <c r="AM122" s="141">
        <f t="shared" si="98"/>
        <v>0</v>
      </c>
      <c r="AN122" s="141">
        <f t="shared" si="98"/>
        <v>0</v>
      </c>
      <c r="AO122" s="141">
        <f t="shared" si="98"/>
        <v>0</v>
      </c>
      <c r="AP122" s="141">
        <f t="shared" si="98"/>
        <v>0</v>
      </c>
      <c r="AQ122" s="141">
        <f t="shared" si="98"/>
        <v>0</v>
      </c>
      <c r="AR122" s="141">
        <f t="shared" si="98"/>
        <v>0</v>
      </c>
      <c r="AS122" s="141">
        <f t="shared" si="98"/>
        <v>0</v>
      </c>
      <c r="AT122" s="141">
        <f t="shared" si="98"/>
        <v>0</v>
      </c>
      <c r="AU122" s="141">
        <f t="shared" si="98"/>
        <v>0</v>
      </c>
      <c r="AV122" s="141">
        <f t="shared" si="98"/>
        <v>0</v>
      </c>
      <c r="AW122" s="141">
        <f t="shared" si="98"/>
        <v>0</v>
      </c>
      <c r="AX122" s="141">
        <f t="shared" ref="AX122:BY122" si="99">SUM(AX100:AX120)</f>
        <v>0</v>
      </c>
      <c r="AY122" s="141">
        <f t="shared" si="99"/>
        <v>0</v>
      </c>
      <c r="AZ122" s="141">
        <f t="shared" si="99"/>
        <v>0</v>
      </c>
      <c r="BA122" s="141">
        <f t="shared" si="99"/>
        <v>0</v>
      </c>
      <c r="BB122" s="141">
        <f t="shared" si="99"/>
        <v>0</v>
      </c>
      <c r="BC122" s="141">
        <f t="shared" si="99"/>
        <v>0</v>
      </c>
      <c r="BD122" s="141">
        <f t="shared" si="99"/>
        <v>0</v>
      </c>
      <c r="BE122" s="141">
        <f t="shared" si="99"/>
        <v>0</v>
      </c>
      <c r="BF122" s="141">
        <f t="shared" si="99"/>
        <v>0</v>
      </c>
      <c r="BG122" s="141">
        <f t="shared" si="99"/>
        <v>0</v>
      </c>
      <c r="BH122" s="141">
        <f t="shared" si="99"/>
        <v>0</v>
      </c>
      <c r="BI122" s="141">
        <f t="shared" si="99"/>
        <v>0</v>
      </c>
      <c r="BJ122" s="141">
        <f t="shared" si="99"/>
        <v>0</v>
      </c>
      <c r="BK122" s="141">
        <f t="shared" si="99"/>
        <v>0</v>
      </c>
      <c r="BL122" s="141">
        <f t="shared" si="99"/>
        <v>0</v>
      </c>
      <c r="BM122" s="141">
        <f t="shared" si="99"/>
        <v>0</v>
      </c>
      <c r="BN122" s="141">
        <f t="shared" si="99"/>
        <v>0</v>
      </c>
      <c r="BO122" s="141">
        <f t="shared" si="99"/>
        <v>0</v>
      </c>
      <c r="BP122" s="141">
        <f t="shared" si="99"/>
        <v>0</v>
      </c>
      <c r="BQ122" s="141">
        <f t="shared" si="99"/>
        <v>0</v>
      </c>
      <c r="BR122" s="141">
        <f t="shared" si="99"/>
        <v>0</v>
      </c>
      <c r="BS122" s="141">
        <f t="shared" si="99"/>
        <v>0</v>
      </c>
      <c r="BT122" s="141">
        <f t="shared" si="99"/>
        <v>0</v>
      </c>
      <c r="BU122" s="141">
        <f t="shared" si="99"/>
        <v>0</v>
      </c>
      <c r="BV122" s="141">
        <f t="shared" si="99"/>
        <v>0</v>
      </c>
      <c r="BW122" s="141">
        <f t="shared" si="99"/>
        <v>0</v>
      </c>
      <c r="BX122" s="141">
        <f t="shared" si="99"/>
        <v>0</v>
      </c>
      <c r="BY122" s="141">
        <f t="shared" si="99"/>
        <v>0</v>
      </c>
    </row>
    <row r="123" ht="14.5">
      <c r="R123" s="102"/>
      <c r="S123" s="102"/>
      <c r="T123" s="102"/>
      <c r="U123" s="102"/>
      <c r="V123" s="102"/>
      <c r="W123" s="102"/>
      <c r="X123" s="102"/>
      <c r="Y123" s="102"/>
      <c r="Z123" s="102"/>
      <c r="AA123" s="102"/>
      <c r="AB123" s="102"/>
      <c r="AC123" s="102"/>
      <c r="AD123" s="102"/>
      <c r="AE123" s="102"/>
      <c r="AF123" s="102"/>
      <c r="AG123" s="102"/>
      <c r="AH123" s="102"/>
      <c r="AI123" s="102"/>
      <c r="AJ123" s="102"/>
      <c r="AK123" s="102"/>
      <c r="AL123" s="102"/>
      <c r="AM123" s="102"/>
      <c r="AN123" s="102"/>
      <c r="AO123" s="102"/>
      <c r="AP123" s="102"/>
      <c r="AQ123" s="102"/>
      <c r="AR123" s="102"/>
      <c r="AS123" s="102"/>
      <c r="AT123" s="102"/>
      <c r="AU123" s="102"/>
      <c r="AV123" s="102"/>
      <c r="AW123" s="102"/>
      <c r="AX123" s="102"/>
      <c r="AY123" s="102"/>
      <c r="AZ123" s="102"/>
      <c r="BA123" s="102"/>
      <c r="BB123" s="102"/>
      <c r="BC123" s="102"/>
      <c r="BD123" s="102"/>
      <c r="BE123" s="102"/>
      <c r="BF123" s="102"/>
      <c r="BG123" s="102"/>
      <c r="BH123" s="102"/>
      <c r="BI123" s="102"/>
      <c r="BJ123" s="102"/>
      <c r="BK123" s="102"/>
      <c r="BL123" s="102"/>
      <c r="BM123" s="102"/>
      <c r="BN123" s="102"/>
      <c r="BO123" s="102"/>
      <c r="BP123" s="102"/>
      <c r="BQ123" s="102"/>
      <c r="BR123" s="102"/>
      <c r="BS123" s="102"/>
      <c r="BT123" s="102"/>
      <c r="BU123" s="102"/>
      <c r="BV123" s="102"/>
      <c r="BW123" s="102"/>
      <c r="BX123" s="102"/>
      <c r="BY123" s="102"/>
    </row>
    <row r="124" ht="14.5">
      <c r="B124" s="212"/>
      <c r="I124" s="213"/>
      <c r="J124" s="213"/>
    </row>
    <row r="125" ht="14.5">
      <c r="B125" s="47"/>
      <c r="I125" s="213"/>
      <c r="J125" s="213"/>
    </row>
    <row r="128" ht="16" customHeight="1"/>
    <row r="129" hidden="1" ht="14.5">
      <c r="A129" s="214" t="s">
        <v>1087</v>
      </c>
    </row>
    <row r="130" hidden="1" ht="14.5">
      <c r="A130" s="215" t="s">
        <v>1088</v>
      </c>
    </row>
    <row r="131" hidden="1" ht="14.5">
      <c r="A131" s="215" t="s">
        <v>1089</v>
      </c>
    </row>
    <row r="132" hidden="1" ht="14.5">
      <c r="A132" s="215" t="s">
        <v>1090</v>
      </c>
    </row>
    <row r="133" hidden="1" ht="14.5">
      <c r="A133" s="215" t="s">
        <v>1091</v>
      </c>
    </row>
    <row r="134" hidden="1"/>
    <row r="308" s="5" customFormat="1" ht="14.5">
      <c r="F308" s="216" t="s">
        <v>1092</v>
      </c>
      <c r="G308" s="216"/>
    </row>
    <row r="309" s="5" customFormat="1" ht="14.5">
      <c r="F309" s="216" t="s">
        <v>1093</v>
      </c>
      <c r="G309" s="216"/>
    </row>
    <row r="310" s="5" customFormat="1" ht="14.5">
      <c r="F310" s="216" t="s">
        <v>1094</v>
      </c>
      <c r="G310" s="216"/>
    </row>
    <row r="311" s="5" customFormat="1" ht="14.5">
      <c r="F311" s="216" t="s">
        <v>1095</v>
      </c>
      <c r="G311" s="216"/>
    </row>
    <row r="312" s="5" customFormat="1" ht="14.5">
      <c r="F312" s="216" t="s">
        <v>1096</v>
      </c>
      <c r="G312" s="216"/>
    </row>
    <row r="313" s="5" customFormat="1" ht="14.5">
      <c r="F313" s="216" t="s">
        <v>1097</v>
      </c>
      <c r="G313" s="216"/>
    </row>
    <row r="314" s="5" customFormat="1" ht="14.5">
      <c r="F314" s="216" t="s">
        <v>1098</v>
      </c>
      <c r="G314" s="216"/>
    </row>
    <row r="315" s="5" customFormat="1" ht="14.5">
      <c r="F315" s="216" t="s">
        <v>1099</v>
      </c>
      <c r="G315" s="216"/>
    </row>
    <row r="316" s="5" customFormat="1" ht="14.5">
      <c r="F316" s="216" t="s">
        <v>1100</v>
      </c>
      <c r="G316" s="216"/>
    </row>
    <row r="317" s="5" customFormat="1" ht="14.5">
      <c r="F317" s="216" t="s">
        <v>1101</v>
      </c>
      <c r="G317" s="216"/>
    </row>
    <row r="318" s="5" customFormat="1" ht="14.5">
      <c r="F318" s="216" t="s">
        <v>1102</v>
      </c>
      <c r="G318" s="216"/>
    </row>
    <row r="319" s="5" customFormat="1" ht="17.25" customHeight="1">
      <c r="F319" s="216" t="s">
        <v>1103</v>
      </c>
      <c r="G319" s="216"/>
    </row>
    <row r="320" s="5" customFormat="1" ht="14.5"/>
    <row r="321" s="5" customFormat="1" ht="14.5"/>
    <row r="322" s="5" customFormat="1" ht="14.5"/>
    <row r="323" s="5" customFormat="1" ht="14.5"/>
    <row r="324" s="5" customFormat="1" ht="14.5"/>
    <row r="325" s="5" customFormat="1" ht="14.5"/>
    <row r="326" s="5" customFormat="1" ht="14.5"/>
    <row r="327" s="5" customFormat="1" ht="14.5"/>
    <row r="328" s="5" customFormat="1" ht="14.5"/>
    <row r="329" s="5" customFormat="1" ht="14.5"/>
    <row r="330" s="5" customFormat="1" ht="14.5"/>
    <row r="331" s="5" customFormat="1" ht="14.5"/>
    <row r="332" s="5" customFormat="1" ht="14.5"/>
    <row r="333" s="5" customFormat="1" ht="14.5"/>
    <row r="334" s="5" customFormat="1" ht="14.5"/>
    <row r="335" s="5" customFormat="1" ht="14.5"/>
    <row r="336" s="5" customFormat="1" ht="14.5"/>
    <row r="337" s="5" customFormat="1" ht="14.5"/>
    <row r="338" s="5" customFormat="1" ht="14.5"/>
    <row r="339" s="5" customFormat="1" ht="14.5"/>
    <row r="340" s="5" customFormat="1" ht="14.5"/>
    <row r="341" s="5" customFormat="1" ht="14.5"/>
    <row r="342" s="5" customFormat="1" ht="14.5"/>
    <row r="343" s="5" customFormat="1" ht="14.5"/>
    <row r="344" s="5" customFormat="1" ht="14.5"/>
    <row r="345" s="5" customFormat="1" ht="14.5"/>
    <row r="346" s="5" customFormat="1" ht="14.5"/>
    <row r="347" s="5" customFormat="1" ht="14.5"/>
    <row r="348" s="5" customFormat="1" ht="14.5"/>
    <row r="349" s="5" customFormat="1" ht="14.5"/>
    <row r="350" s="5" customFormat="1" ht="14.5"/>
    <row r="351" s="5" customFormat="1" ht="14.5"/>
    <row r="352" s="5" customFormat="1" ht="14.5"/>
    <row r="353" s="5" customFormat="1" ht="14.5"/>
    <row r="354" s="5" customFormat="1" ht="14.5"/>
    <row r="355" s="5" customFormat="1" ht="14.5"/>
    <row r="356" s="5" customFormat="1" ht="14.5"/>
    <row r="357" s="5" customFormat="1" ht="14.5"/>
    <row r="358" s="5" customFormat="1" ht="14.5"/>
    <row r="359" s="5" customFormat="1" ht="14.5"/>
    <row r="360" s="5" customFormat="1" ht="14.5"/>
    <row r="361" s="5" customFormat="1" ht="14.5"/>
    <row r="362" s="5" customFormat="1" ht="14.5"/>
    <row r="363" s="5" customFormat="1" ht="14.5"/>
    <row r="364" s="5" customFormat="1" ht="14.5"/>
    <row r="365" s="5" customFormat="1" ht="14.5"/>
    <row r="366" s="5" customFormat="1" ht="14.5"/>
    <row r="367" s="5" customFormat="1" ht="14.5"/>
    <row r="368" s="5" customFormat="1" ht="14.5"/>
    <row r="369" s="5" customFormat="1" ht="14.5"/>
    <row r="370" s="5" customFormat="1" ht="14.5"/>
    <row r="371" s="5" customFormat="1" ht="14.5"/>
    <row r="372" s="5" customFormat="1" ht="14.5"/>
    <row r="373" s="5" customFormat="1" ht="14.5"/>
    <row r="374" s="5" customFormat="1" ht="14.5"/>
    <row r="375" s="5" customFormat="1" ht="14.5"/>
    <row r="376" s="5" customFormat="1" ht="14.5"/>
    <row r="377" s="5" customFormat="1" ht="14.5"/>
    <row r="378" s="5" customFormat="1" ht="14.5"/>
    <row r="379" s="5" customFormat="1" ht="14.5"/>
    <row r="380" s="5" customFormat="1" ht="14.5"/>
    <row r="381" s="5" customFormat="1" ht="14.5"/>
    <row r="382" s="5" customFormat="1" ht="14.5"/>
    <row r="383" s="5" customFormat="1" ht="14.5"/>
    <row r="384" s="5" customFormat="1" ht="14.5"/>
    <row r="385" s="5" customFormat="1" ht="14.5"/>
    <row r="386" s="5" customFormat="1" ht="14.5"/>
    <row r="387" s="5" customFormat="1" ht="14.5"/>
    <row r="388" s="5" customFormat="1" ht="14.5"/>
    <row r="389" s="5" customFormat="1" ht="14.5"/>
    <row r="390" s="5" customFormat="1" ht="14.5"/>
    <row r="391" s="5" customFormat="1" ht="14.5"/>
    <row r="392" s="5" customFormat="1" ht="14.5"/>
    <row r="393" s="5" customFormat="1" ht="14.5"/>
    <row r="394" s="5" customFormat="1" ht="14.5"/>
    <row r="395" s="5" customFormat="1" ht="14.5"/>
    <row r="396" s="5" customFormat="1" ht="14.5"/>
    <row r="397" s="5" customFormat="1" ht="14.5"/>
    <row r="398" s="5" customFormat="1" ht="14.5"/>
    <row r="399" s="5" customFormat="1" ht="14.5"/>
    <row r="400" s="5" customFormat="1" ht="14.5"/>
    <row r="401" s="5" customFormat="1" ht="14.5"/>
    <row r="402" s="5" customFormat="1" ht="14.5"/>
    <row r="403" s="5" customFormat="1" ht="14.5"/>
    <row r="404" s="5" customFormat="1" ht="14.5"/>
    <row r="405" s="5" customFormat="1" ht="14.5"/>
    <row r="406" s="5" customFormat="1" ht="14.5"/>
    <row r="407" s="5" customFormat="1" ht="14.5"/>
    <row r="408" s="5" customFormat="1" ht="14.5"/>
    <row r="409" s="5" customFormat="1" ht="14.5"/>
    <row r="410" s="5" customFormat="1" ht="14.5"/>
    <row r="411" s="5" customFormat="1" ht="14.5"/>
    <row r="412" s="5" customFormat="1" ht="14.5"/>
    <row r="413" s="5" customFormat="1" ht="14.5"/>
    <row r="414" s="5" customFormat="1" ht="14.5"/>
    <row r="415" s="5" customFormat="1" ht="14.5"/>
    <row r="416" s="5" customFormat="1" ht="14.5"/>
    <row r="417" s="5" customFormat="1" ht="14.5"/>
    <row r="418" s="5" customFormat="1" ht="14.5"/>
    <row r="419" s="5" customFormat="1" ht="14.5"/>
    <row r="420" s="5" customFormat="1" ht="14.5"/>
    <row r="421" s="5" customFormat="1" ht="14.5"/>
    <row r="422" s="5" customFormat="1" ht="14.5"/>
    <row r="423" s="5" customFormat="1" ht="14.5"/>
    <row r="424" s="5" customFormat="1" ht="14.5"/>
    <row r="425" s="5" customFormat="1" ht="14.5"/>
    <row r="426" s="5" customFormat="1" ht="14.5"/>
    <row r="427" s="5" customFormat="1" ht="14.5"/>
    <row r="428" s="5" customFormat="1" ht="14.5"/>
    <row r="429" s="5" customFormat="1" ht="14.5"/>
    <row r="430" s="5" customFormat="1" ht="14.5"/>
    <row r="431" s="5" customFormat="1" ht="14.5"/>
    <row r="432" s="5" customFormat="1" ht="14.5"/>
    <row r="433" s="5" customFormat="1" ht="14.5"/>
    <row r="434" s="5" customFormat="1" ht="14.5"/>
    <row r="435" s="5" customFormat="1" ht="14.5"/>
    <row r="436" s="5" customFormat="1" ht="14.5"/>
    <row r="437" s="5" customFormat="1" ht="14.5"/>
    <row r="438" s="5" customFormat="1" ht="14.5"/>
    <row r="439" s="5" customFormat="1" ht="14.5"/>
    <row r="440" s="5" customFormat="1" ht="14.5"/>
    <row r="441" s="5" customFormat="1" ht="14.5"/>
    <row r="442" s="5" customFormat="1" ht="14.5"/>
    <row r="443" s="5" customFormat="1" ht="14.5"/>
    <row r="444" s="5" customFormat="1" ht="14.5"/>
    <row r="445" s="5" customFormat="1" ht="14.5"/>
    <row r="446" s="5" customFormat="1" ht="14.5"/>
    <row r="447" s="5" customFormat="1" ht="14.5"/>
    <row r="448" s="5" customFormat="1" ht="14.5"/>
    <row r="449" s="5" customFormat="1" ht="14.5"/>
    <row r="450" s="5" customFormat="1" ht="14.5"/>
  </sheetData>
  <mergeCells count="3">
    <mergeCell ref="A2:A3"/>
    <mergeCell ref="C4:D4"/>
    <mergeCell ref="E4:F4"/>
  </mergeCells>
  <conditionalFormatting sqref="Q106:BA113">
    <cfRule priority="2" dxfId="4" type="expression">
      <formula>$L106="Continuità"</formula>
    </cfRule>
  </conditionalFormatting>
  <conditionalFormatting sqref="K115:K120">
    <cfRule priority="8" dxfId="4" type="expression">
      <formula>$L115="Continuità"</formula>
    </cfRule>
  </conditionalFormatting>
  <conditionalFormatting sqref="K106:K113">
    <cfRule priority="13" dxfId="4" type="expression">
      <formula>$L106="Continuità"</formula>
    </cfRule>
  </conditionalFormatting>
  <conditionalFormatting sqref="K100:K104">
    <cfRule priority="15" dxfId="4" type="expression">
      <formula>$L100="Continuità"</formula>
    </cfRule>
  </conditionalFormatting>
  <conditionalFormatting sqref="Q100:BA104">
    <cfRule priority="16" dxfId="4" type="expression">
      <formula>$L100="Continuità"</formula>
    </cfRule>
  </conditionalFormatting>
  <conditionalFormatting sqref="R115:BA120">
    <cfRule priority="17" dxfId="4" type="expression">
      <formula>$L115="Continuità"</formula>
    </cfRule>
  </conditionalFormatting>
  <conditionalFormatting sqref="Q93:BA97">
    <cfRule priority="18" dxfId="4" type="expression">
      <formula>$L93="Continuità"</formula>
    </cfRule>
  </conditionalFormatting>
  <conditionalFormatting sqref="K93:K97">
    <cfRule priority="19" dxfId="4" type="expression">
      <formula>$L93="Continuità"</formula>
    </cfRule>
  </conditionalFormatting>
  <conditionalFormatting sqref="BB120:BY120">
    <cfRule priority="20" dxfId="4" type="expression">
      <formula>$L$120="Continuità"</formula>
    </cfRule>
  </conditionalFormatting>
  <conditionalFormatting sqref="A121:K121">
    <cfRule priority="21" dxfId="4" type="expression">
      <formula>$L$120="Continuità"</formula>
    </cfRule>
  </conditionalFormatting>
  <conditionalFormatting sqref="BB118:BY119">
    <cfRule priority="22" dxfId="4" type="expression">
      <formula>$L$118="Continuità"</formula>
    </cfRule>
  </conditionalFormatting>
  <conditionalFormatting sqref="BB117:BY117">
    <cfRule priority="23" dxfId="4" type="expression">
      <formula>$L$117="Continuità"</formula>
    </cfRule>
  </conditionalFormatting>
  <conditionalFormatting sqref="BB116:BY116">
    <cfRule priority="24" dxfId="4" type="expression">
      <formula>$L$116="Continuità"</formula>
    </cfRule>
  </conditionalFormatting>
  <conditionalFormatting sqref="BB115:BY115">
    <cfRule priority="25" dxfId="4" type="expression">
      <formula>$L$115="Continuità"</formula>
    </cfRule>
  </conditionalFormatting>
  <conditionalFormatting sqref="BB113:BY113">
    <cfRule priority="26" dxfId="4" type="expression">
      <formula>$L$113="Continuità"</formula>
    </cfRule>
  </conditionalFormatting>
  <conditionalFormatting sqref="BB112:BY112">
    <cfRule priority="27" dxfId="4" type="expression">
      <formula>$L$112="Continuità"</formula>
    </cfRule>
  </conditionalFormatting>
  <conditionalFormatting sqref="BB111:BY111">
    <cfRule priority="28" dxfId="4" type="expression">
      <formula>$L$111="Continuità"</formula>
    </cfRule>
  </conditionalFormatting>
  <conditionalFormatting sqref="BB106:BY106">
    <cfRule priority="29" dxfId="4" type="expression">
      <formula>$L$106="Continuità"</formula>
    </cfRule>
  </conditionalFormatting>
  <conditionalFormatting sqref="BB104:BY104">
    <cfRule priority="30" dxfId="4" type="expression">
      <formula>$L$104="Continuità"</formula>
    </cfRule>
  </conditionalFormatting>
  <conditionalFormatting sqref="BB103:BY103">
    <cfRule priority="31" dxfId="4" type="expression">
      <formula>$L$103="Continuità"</formula>
    </cfRule>
  </conditionalFormatting>
  <conditionalFormatting sqref="BB102:BY102">
    <cfRule priority="32" dxfId="4" type="expression">
      <formula>$L$102="Continuità"</formula>
    </cfRule>
  </conditionalFormatting>
  <conditionalFormatting sqref="BB101:BY101">
    <cfRule priority="33" dxfId="4" type="expression">
      <formula>$L$101="Continuità"</formula>
    </cfRule>
  </conditionalFormatting>
  <conditionalFormatting sqref="BB100:BY100">
    <cfRule priority="34" dxfId="4" type="expression">
      <formula>$L$100="Continuità"</formula>
    </cfRule>
  </conditionalFormatting>
  <conditionalFormatting sqref="BB107:BY110">
    <cfRule priority="35" dxfId="4" type="expression">
      <formula>$L107="Continuità"</formula>
    </cfRule>
  </conditionalFormatting>
  <dataValidations count="1">
    <dataValidation type="list" allowBlank="1" showInputMessage="1" showErrorMessage="1" sqref="L91 L100:L104 L115:L121 L93:L98 L106:L113">
      <formula1>"Continuità,Realizzo"</formula1>
    </dataValidation>
  </dataValidations>
  <hyperlinks>
    <hyperlink ref="A1" location="Input!A1" display="MENU"/>
    <hyperlink ref="B1" location="Raccordo!A1" display="Dettaglio SP Attivo"/>
  </hyperlinks>
  <ignoredErrors>
    <ignoredError sqref="J18:K47 J100:J104 K99 J114:K114 J109 J98:K98 J93:J97 J106 J112:J113 J49:K92 K48 J108" formula="1"/>
    <ignoredError sqref="P106:P112" formulaRange="1"/>
  </ignoredError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Passivo!$A$7:$A$17</xm:f>
          </x14:formula1>
          <xm:sqref>D9:D17 D19:D27 D29:D37 F118:F120</xm:sqref>
        </x14:dataValidation>
        <x14:dataValidation type="list" allowBlank="1" showInputMessage="1" showErrorMessage="1">
          <x14:formula1>
            <xm:f>Passivo!$A$19:$A$23</xm:f>
          </x14:formula1>
          <xm:sqref>F17</xm:sqref>
        </x14:dataValidation>
        <x14:dataValidation type="list" allowBlank="1" showInputMessage="1" showErrorMessage="1">
          <x14:formula1>
            <xm:f>Passivo!$A$19:$A$25</xm:f>
          </x14:formula1>
          <xm:sqref>F19:F27 F9:F16 F29:F38 F44:F46 F41:F42</xm:sqref>
        </x14:dataValidation>
      </x14:dataValidations>
    </ext>
  </extLst>
</worksheet>
</file>

<file path=xl/worksheets/sheet28.xml><?xml version="1.0" encoding="utf-8"?>
<worksheet xmlns:r="http://schemas.openxmlformats.org/officeDocument/2006/relationships" xmlns="http://schemas.openxmlformats.org/spreadsheetml/2006/main">
  <sheetViews>
    <sheetView showGridLines="0" zoomScale="120" zoomScaleNormal="120" workbookViewId="0">
      <pane activePane="bottomLeft" state="frozen" topLeftCell="A6" ySplit="5"/>
    </sheetView>
  </sheetViews>
  <sheetFormatPr defaultColWidth="8.855469" defaultRowHeight="15" outlineLevelCol="1" outlineLevelRow="1"/>
  <cols>
    <col min="1" max="1" width="39.14063" style="94" bestFit="1" customWidth="1"/>
    <col min="2" max="2" width="14.57031" style="94" bestFit="1" customWidth="1"/>
    <col min="3" max="3" width="9.855469" style="94" bestFit="1" customWidth="1" outlineLevel="1"/>
    <col min="4" max="4" width="10.42578" style="94" bestFit="1" customWidth="1" outlineLevel="1"/>
    <col min="5" max="5" width="11.42578" style="94" bestFit="1" customWidth="1" outlineLevel="1"/>
    <col min="6" max="6" width="10.85547" style="94" bestFit="1" customWidth="1" outlineLevel="1"/>
    <col min="7" max="7" width="17.42578" style="94" bestFit="1" customWidth="1" outlineLevel="1"/>
    <col min="8" max="8" width="8" style="94" bestFit="1" customWidth="1" outlineLevel="1"/>
    <col min="9" max="9" width="14.57031" style="94" bestFit="1" customWidth="1"/>
    <col min="10" max="10" width="16.42578" style="94" bestFit="1" customWidth="1"/>
    <col min="11" max="11" width="35.57031" style="94" bestFit="1" customWidth="1" outlineLevel="1"/>
    <col min="12" max="12" width="18.42578" style="94" bestFit="1" customWidth="1"/>
    <col min="13" max="13" width="12.42578" style="94" bestFit="1" customWidth="1" outlineLevel="1"/>
    <col min="14" max="14" width="8.855469" style="94" customWidth="1" outlineLevel="1"/>
    <col min="15" max="16384" width="8.855469" style="94"/>
  </cols>
  <sheetData>
    <row r="1">
      <c r="A1" s="79" t="s">
        <v>38</v>
      </c>
      <c r="B1" s="217" t="s">
        <v>1104</v>
      </c>
      <c r="C1" s="218" t="s">
        <v>1010</v>
      </c>
    </row>
    <row r="2" thickTop="1" ht="15.75">
      <c r="A2" s="158" t="s">
        <v>1105</v>
      </c>
      <c r="B2" s="219" t="s">
        <v>1012</v>
      </c>
    </row>
    <row r="3" thickBot="1" ht="15.75">
      <c r="A3" s="161"/>
      <c r="B3" s="219" t="str">
        <f>+Attivo!B3</f>
        <v>9 2025</v>
      </c>
      <c r="J3" s="219"/>
      <c r="K3" s="219"/>
    </row>
    <row r="4">
      <c r="A4" s="220" t="s">
        <v>1106</v>
      </c>
      <c r="B4" s="221"/>
    </row>
    <row r="5" ht="30">
      <c r="A5" s="220"/>
      <c r="B5" s="221"/>
      <c r="C5" s="219" t="s">
        <v>851</v>
      </c>
      <c r="D5" s="219" t="s">
        <v>852</v>
      </c>
      <c r="E5" s="222" t="s">
        <v>853</v>
      </c>
      <c r="F5" s="219" t="s">
        <v>831</v>
      </c>
      <c r="G5" s="219" t="s">
        <v>854</v>
      </c>
      <c r="H5" s="219" t="s">
        <v>855</v>
      </c>
      <c r="I5" s="159" t="s">
        <v>1013</v>
      </c>
      <c r="J5" s="219" t="s">
        <v>1107</v>
      </c>
    </row>
    <row r="6">
      <c r="A6" s="172" t="s">
        <v>756</v>
      </c>
      <c r="B6" s="172">
        <f>-SUMIF(Raccordo!G:G,$A6,Raccordo!J:J)</f>
        <v>0</v>
      </c>
      <c r="C6" s="172">
        <f t="shared" ref="C6:E6" si="0">+SUM(C7:C17)</f>
        <v>0</v>
      </c>
      <c r="D6" s="172">
        <f t="shared" si="0"/>
        <v>0</v>
      </c>
      <c r="E6" s="172">
        <f t="shared" si="0"/>
        <v>0</v>
      </c>
      <c r="F6" s="172">
        <f t="shared" ref="F6" si="1">+SUM(F7:F17)</f>
        <v>0</v>
      </c>
      <c r="G6" s="172">
        <f t="shared" ref="G6" si="2">+SUM(G7:G17)</f>
        <v>0</v>
      </c>
      <c r="H6" s="172">
        <f t="shared" ref="H6:I6" si="3">+SUM(H7:H17)</f>
        <v>0</v>
      </c>
      <c r="I6" s="172">
        <f t="shared" si="3"/>
        <v>0</v>
      </c>
      <c r="J6" s="172">
        <f>+SUM(J7:J17)</f>
        <v>0</v>
      </c>
      <c r="K6" s="219" t="s">
        <v>1108</v>
      </c>
    </row>
    <row r="7" outlineLevel="1">
      <c r="A7" s="223" t="s">
        <v>1092</v>
      </c>
      <c r="B7" s="177"/>
      <c r="C7" s="224"/>
      <c r="D7" s="179">
        <f>+SUMIF(Attivo!$D$9:$D$17,Passivo!$A7,Attivo!$C$9:$C$17)+SUMIF(Attivo!$D$19:$D$27,Passivo!$A7,Attivo!$C$19:$C$27)+SUMIF(Attivo!$F$115:$F$120,Passivo!$A7,Attivo!$E$115:$E$120)</f>
        <v>0</v>
      </c>
      <c r="E7" s="225">
        <f>+C7+D7</f>
        <v>0</v>
      </c>
      <c r="F7" s="224"/>
      <c r="G7" s="224"/>
      <c r="H7" s="226"/>
      <c r="I7" s="227">
        <f>+E7+F7+G7+H7</f>
        <v>0</v>
      </c>
      <c r="J7" s="228">
        <f>+B7+I7</f>
        <v>0</v>
      </c>
      <c r="K7" s="229"/>
      <c r="M7" s="230" t="str">
        <f>+IFERROR(VLOOKUP(K7,Passivo_Tipologie!$E$5:$G$28,3,FALSE),"")</f>
        <v/>
      </c>
    </row>
    <row r="8" outlineLevel="1">
      <c r="A8" s="223" t="s">
        <v>1093</v>
      </c>
      <c r="B8" s="177"/>
      <c r="C8" s="224"/>
      <c r="D8" s="179">
        <f>+SUMIF(Attivo!$D$9:$D$17,Passivo!$A8,Attivo!$C$9:$C$17)+SUMIF(Attivo!$D$19:$D$27,Passivo!$A8,Attivo!$C$19:$C$27)+SUMIF(Attivo!$F$115:$F$120,Passivo!$A8,Attivo!$E$115:$E$120)</f>
        <v>0</v>
      </c>
      <c r="E8" s="225">
        <f t="shared" ref="E8:E17" si="4">+C8+D8</f>
        <v>0</v>
      </c>
      <c r="F8" s="224"/>
      <c r="G8" s="224"/>
      <c r="H8" s="226"/>
      <c r="I8" s="227">
        <f t="shared" ref="I8:I74" si="5">+E8+F8+G8+H8</f>
        <v>0</v>
      </c>
      <c r="J8" s="228">
        <f t="shared" ref="J8:J74" si="6">+B8+I8</f>
        <v>0</v>
      </c>
      <c r="K8" s="229"/>
      <c r="M8" s="230" t="str">
        <f>+IFERROR(VLOOKUP(K8,Passivo_Tipologie!$E$5:$G$28,3,FALSE),"")</f>
        <v/>
      </c>
    </row>
    <row r="9" outlineLevel="1">
      <c r="A9" s="223" t="s">
        <v>1094</v>
      </c>
      <c r="B9" s="177"/>
      <c r="C9" s="224"/>
      <c r="D9" s="179">
        <f>+SUMIF(Attivo!$D$9:$D$17,Passivo!$A9,Attivo!$C$9:$C$17)+SUMIF(Attivo!$D$19:$D$27,Passivo!$A9,Attivo!$C$19:$C$27)+SUMIF(Attivo!$F$115:$F$120,Passivo!$A9,Attivo!$E$115:$E$120)</f>
        <v>0</v>
      </c>
      <c r="E9" s="225">
        <f t="shared" si="4"/>
        <v>0</v>
      </c>
      <c r="F9" s="224"/>
      <c r="G9" s="224"/>
      <c r="H9" s="226"/>
      <c r="I9" s="227">
        <f t="shared" si="5"/>
        <v>0</v>
      </c>
      <c r="J9" s="228">
        <f t="shared" si="6"/>
        <v>0</v>
      </c>
      <c r="K9" s="229"/>
      <c r="M9" s="230" t="str">
        <f>+IFERROR(VLOOKUP(K9,Passivo_Tipologie!$E$5:$G$28,3,FALSE),"")</f>
        <v/>
      </c>
    </row>
    <row r="10" outlineLevel="1">
      <c r="A10" s="223" t="s">
        <v>1095</v>
      </c>
      <c r="B10" s="177"/>
      <c r="C10" s="224"/>
      <c r="D10" s="179">
        <f>+SUMIF(Attivo!$D$9:$D$17,Passivo!$A10,Attivo!$C$9:$C$17)+SUMIF(Attivo!$D$19:$D$27,Passivo!$A10,Attivo!$C$19:$C$27)+SUMIF(Attivo!$F$115:$F$120,Passivo!$A10,Attivo!$E$115:$E$120)</f>
        <v>0</v>
      </c>
      <c r="E10" s="225">
        <f t="shared" si="4"/>
        <v>0</v>
      </c>
      <c r="F10" s="224"/>
      <c r="G10" s="224"/>
      <c r="H10" s="226"/>
      <c r="I10" s="227">
        <f t="shared" si="5"/>
        <v>0</v>
      </c>
      <c r="J10" s="228">
        <f t="shared" si="6"/>
        <v>0</v>
      </c>
      <c r="K10" s="229"/>
      <c r="M10" s="230" t="str">
        <f>+IFERROR(VLOOKUP(K10,Passivo_Tipologie!$E$5:$G$28,3,FALSE),"")</f>
        <v/>
      </c>
    </row>
    <row r="11" outlineLevel="1">
      <c r="A11" s="223" t="s">
        <v>1096</v>
      </c>
      <c r="B11" s="177"/>
      <c r="C11" s="224"/>
      <c r="D11" s="179">
        <f>+SUMIF(Attivo!$D$9:$D$17,Passivo!$A11,Attivo!$C$9:$C$17)+SUMIF(Attivo!$D$19:$D$27,Passivo!$A11,Attivo!$C$19:$C$27)+SUMIF(Attivo!$F$115:$F$120,Passivo!$A11,Attivo!$E$115:$E$120)</f>
        <v>0</v>
      </c>
      <c r="E11" s="225">
        <f t="shared" si="4"/>
        <v>0</v>
      </c>
      <c r="F11" s="224"/>
      <c r="G11" s="224"/>
      <c r="H11" s="226"/>
      <c r="I11" s="227">
        <f t="shared" si="5"/>
        <v>0</v>
      </c>
      <c r="J11" s="228">
        <f t="shared" si="6"/>
        <v>0</v>
      </c>
      <c r="K11" s="229"/>
      <c r="M11" s="230" t="str">
        <f>+IFERROR(VLOOKUP(K11,Passivo_Tipologie!$E$5:$G$28,3,FALSE),"")</f>
        <v/>
      </c>
    </row>
    <row r="12" outlineLevel="1">
      <c r="A12" s="223" t="s">
        <v>1097</v>
      </c>
      <c r="B12" s="177"/>
      <c r="C12" s="224"/>
      <c r="D12" s="179">
        <f>+SUMIF(Attivo!$D$9:$D$17,Passivo!$A12,Attivo!$C$9:$C$17)+SUMIF(Attivo!$D$19:$D$27,Passivo!$A12,Attivo!$C$19:$C$27)+SUMIF(Attivo!$F$115:$F$120,Passivo!$A12,Attivo!$E$115:$E$120)</f>
        <v>0</v>
      </c>
      <c r="E12" s="225">
        <f t="shared" si="4"/>
        <v>0</v>
      </c>
      <c r="F12" s="224"/>
      <c r="G12" s="224"/>
      <c r="H12" s="226"/>
      <c r="I12" s="227">
        <f t="shared" si="5"/>
        <v>0</v>
      </c>
      <c r="J12" s="228">
        <f t="shared" si="6"/>
        <v>0</v>
      </c>
      <c r="K12" s="229"/>
      <c r="M12" s="230" t="str">
        <f>+IFERROR(VLOOKUP(K12,Passivo_Tipologie!$E$5:$G$28,3,FALSE),"")</f>
        <v/>
      </c>
    </row>
    <row r="13" outlineLevel="1">
      <c r="A13" s="223"/>
      <c r="B13" s="177"/>
      <c r="C13" s="224"/>
      <c r="D13" s="179">
        <f>+SUMIF(Attivo!$D$9:$D$17,Passivo!$A13,Attivo!$C$9:$C$17)+SUMIF(Attivo!$D$19:$D$27,Passivo!$A13,Attivo!$C$19:$C$27)+SUMIF(Attivo!$F$115:$F$120,Passivo!$A13,Attivo!$E$115:$E$120)</f>
        <v>0</v>
      </c>
      <c r="E13" s="225">
        <f t="shared" si="4"/>
        <v>0</v>
      </c>
      <c r="F13" s="224"/>
      <c r="G13" s="224"/>
      <c r="H13" s="226"/>
      <c r="I13" s="227">
        <f t="shared" ref="I13:I15" si="7">+E13+F13+G13+H13</f>
        <v>0</v>
      </c>
      <c r="J13" s="228">
        <f t="shared" ref="J13:J15" si="8">+B13+I13</f>
        <v>0</v>
      </c>
      <c r="K13" s="229"/>
      <c r="M13" s="230"/>
    </row>
    <row r="14" outlineLevel="1">
      <c r="A14" s="223"/>
      <c r="B14" s="177"/>
      <c r="C14" s="224"/>
      <c r="D14" s="179">
        <f>+SUMIF(Attivo!$D$9:$D$17,Passivo!$A14,Attivo!$C$9:$C$17)+SUMIF(Attivo!$D$19:$D$27,Passivo!$A14,Attivo!$C$19:$C$27)+SUMIF(Attivo!$F$115:$F$120,Passivo!$A14,Attivo!$E$115:$E$120)</f>
        <v>0</v>
      </c>
      <c r="E14" s="225">
        <f t="shared" si="4"/>
        <v>0</v>
      </c>
      <c r="F14" s="224"/>
      <c r="G14" s="224"/>
      <c r="H14" s="226"/>
      <c r="I14" s="227">
        <f t="shared" si="7"/>
        <v>0</v>
      </c>
      <c r="J14" s="228">
        <f t="shared" si="8"/>
        <v>0</v>
      </c>
      <c r="K14" s="229"/>
      <c r="M14" s="230"/>
    </row>
    <row r="15" outlineLevel="1">
      <c r="A15" s="223"/>
      <c r="B15" s="177"/>
      <c r="C15" s="224"/>
      <c r="D15" s="179">
        <f>+SUMIF(Attivo!$D$9:$D$17,Passivo!$A15,Attivo!$C$9:$C$17)+SUMIF(Attivo!$D$19:$D$27,Passivo!$A15,Attivo!$C$19:$C$27)+SUMIF(Attivo!$F$115:$F$120,Passivo!$A15,Attivo!$E$115:$E$120)</f>
        <v>0</v>
      </c>
      <c r="E15" s="225">
        <f t="shared" si="4"/>
        <v>0</v>
      </c>
      <c r="F15" s="224"/>
      <c r="G15" s="224"/>
      <c r="H15" s="226"/>
      <c r="I15" s="227">
        <f t="shared" si="7"/>
        <v>0</v>
      </c>
      <c r="J15" s="228">
        <f t="shared" si="8"/>
        <v>0</v>
      </c>
      <c r="K15" s="229"/>
      <c r="M15" s="230"/>
    </row>
    <row r="16" outlineLevel="1">
      <c r="A16" s="223" t="s">
        <v>1098</v>
      </c>
      <c r="B16" s="177"/>
      <c r="C16" s="224"/>
      <c r="D16" s="179">
        <f>+SUMIF(Attivo!$D$9:$D$17,Passivo!$A16,Attivo!$C$9:$C$17)+SUMIF(Attivo!$D$19:$D$27,Passivo!$A16,Attivo!$C$19:$C$27)+SUMIF(Attivo!$F$115:$F$120,Passivo!$A16,Attivo!$E$115:$E$120)</f>
        <v>0</v>
      </c>
      <c r="E16" s="225">
        <f t="shared" si="4"/>
        <v>0</v>
      </c>
      <c r="F16" s="224"/>
      <c r="G16" s="224"/>
      <c r="H16" s="226"/>
      <c r="I16" s="227">
        <f t="shared" si="5"/>
        <v>0</v>
      </c>
      <c r="J16" s="228">
        <f t="shared" si="6"/>
        <v>0</v>
      </c>
      <c r="K16" s="229"/>
      <c r="M16" s="230" t="str">
        <f>+IFERROR(VLOOKUP(K16,Passivo_Tipologie!$E$5:$G$28,3,FALSE),"")</f>
        <v/>
      </c>
    </row>
    <row r="17" outlineLevel="1">
      <c r="A17" s="223" t="s">
        <v>1109</v>
      </c>
      <c r="B17" s="177"/>
      <c r="C17" s="224"/>
      <c r="D17" s="179">
        <f>+SUMIF(Attivo!$D$9:$D$17,Passivo!$A17,Attivo!$C$9:$C$17)+SUMIF(Attivo!$D$19:$D$27,Passivo!$A17,Attivo!$C$19:$C$27)+SUMIF(Attivo!$F$115:$F$120,Passivo!$A17,Attivo!$E$115:$E$120)</f>
        <v>0</v>
      </c>
      <c r="E17" s="225">
        <f t="shared" si="4"/>
        <v>0</v>
      </c>
      <c r="F17" s="224"/>
      <c r="G17" s="224"/>
      <c r="H17" s="226"/>
      <c r="I17" s="227">
        <f t="shared" si="5"/>
        <v>0</v>
      </c>
      <c r="J17" s="228">
        <f t="shared" si="6"/>
        <v>0</v>
      </c>
      <c r="K17" s="229"/>
      <c r="M17" s="230" t="str">
        <f>+IFERROR(VLOOKUP(K17,Passivo_Tipologie!$E$5:$G$28,3,FALSE),"")</f>
        <v/>
      </c>
    </row>
    <row r="18" ht="16.5" customHeight="1">
      <c r="A18" s="172" t="s">
        <v>759</v>
      </c>
      <c r="B18" s="172">
        <f>-SUMIF(Raccordo!G:G,$A18,Raccordo!J:J)</f>
        <v>0</v>
      </c>
      <c r="C18" s="172">
        <f t="shared" ref="C18:J18" si="9">+SUM(C19:C25)</f>
        <v>0</v>
      </c>
      <c r="D18" s="172">
        <f t="shared" si="9"/>
        <v>0</v>
      </c>
      <c r="E18" s="172">
        <f t="shared" si="9"/>
        <v>0</v>
      </c>
      <c r="F18" s="172">
        <f t="shared" si="9"/>
        <v>0</v>
      </c>
      <c r="G18" s="172">
        <f t="shared" si="9"/>
        <v>0</v>
      </c>
      <c r="H18" s="172">
        <f t="shared" si="9"/>
        <v>0</v>
      </c>
      <c r="I18" s="172">
        <f t="shared" si="9"/>
        <v>0</v>
      </c>
      <c r="J18" s="172">
        <f t="shared" si="9"/>
        <v>0</v>
      </c>
      <c r="K18" s="219" t="s">
        <v>1108</v>
      </c>
    </row>
    <row r="19" outlineLevel="1">
      <c r="A19" s="231" t="s">
        <v>1099</v>
      </c>
      <c r="B19" s="177"/>
      <c r="C19" s="224"/>
      <c r="D19" s="179">
        <f>+SUMIF(Attivo!$F$9:$F$17,Passivo!$A19,Attivo!$E$9:$E$17)+SUMIF(Attivo!$F$19:$F$27,Passivo!$A19,Attivo!$E$19:$E$27)+SUMIF(Attivo!$F$29:$F$38,Passivo!$A19,Attivo!$E$29:$E$38)+SUMIF(Attivo!$F$40:$F$42,Passivo!$A19,Attivo!$E$40:$E$42)+SUMIF(Attivo!$F$40:$F$42,Passivo!$A19,Attivo!$E$44:$E$46)</f>
        <v>0</v>
      </c>
      <c r="E19" s="225">
        <f t="shared" ref="E19:E30" si="10">+C19+D19</f>
        <v>0</v>
      </c>
      <c r="F19" s="224"/>
      <c r="G19" s="224"/>
      <c r="H19" s="226"/>
      <c r="I19" s="227">
        <f t="shared" si="5"/>
        <v>0</v>
      </c>
      <c r="J19" s="228">
        <f t="shared" si="6"/>
        <v>0</v>
      </c>
      <c r="K19" s="229"/>
      <c r="M19" s="230" t="str">
        <f>+IFERROR(VLOOKUP(K19,Passivo_Tipologie!$E$5:$G$28,3,FALSE),"")</f>
        <v/>
      </c>
    </row>
    <row r="20" outlineLevel="1">
      <c r="A20" s="231" t="s">
        <v>1100</v>
      </c>
      <c r="B20" s="226"/>
      <c r="C20" s="224"/>
      <c r="D20" s="179">
        <f>+SUMIF(Attivo!$F$9:$F$17,Passivo!$A20,Attivo!$E$9:$E$17)+SUMIF(Attivo!$F$19:$F$27,Passivo!$A20,Attivo!$E$19:$E$27)+SUMIF(Attivo!$F$29:$F$38,Passivo!$A20,Attivo!$E$29:$E$38)+SUMIF(Attivo!$F$40:$F$42,Passivo!$A20,Attivo!$E$40:$E$42)+SUMIF(Attivo!$F$40:$F$42,Passivo!$A20,Attivo!$E$44:$E$46)</f>
        <v>0</v>
      </c>
      <c r="E20" s="225">
        <f t="shared" si="10"/>
        <v>0</v>
      </c>
      <c r="F20" s="224"/>
      <c r="G20" s="224"/>
      <c r="H20" s="226"/>
      <c r="I20" s="227">
        <f t="shared" si="5"/>
        <v>0</v>
      </c>
      <c r="J20" s="228">
        <f t="shared" si="6"/>
        <v>0</v>
      </c>
      <c r="K20" s="229"/>
      <c r="M20" s="230" t="str">
        <f>+IFERROR(VLOOKUP(K20,Passivo_Tipologie!$E$5:$G$28,3,FALSE),"")</f>
        <v/>
      </c>
    </row>
    <row r="21" outlineLevel="1">
      <c r="A21" s="231" t="s">
        <v>1101</v>
      </c>
      <c r="B21" s="176"/>
      <c r="C21" s="224"/>
      <c r="D21" s="179">
        <f>+SUMIF(Attivo!$F$9:$F$17,Passivo!$A21,Attivo!$E$9:$E$17)+SUMIF(Attivo!$F$19:$F$27,Passivo!$A21,Attivo!$E$19:$E$27)+SUMIF(Attivo!$F$29:$F$38,Passivo!$A21,Attivo!$E$29:$E$38)+SUMIF(Attivo!$F$40:$F$42,Passivo!$A21,Attivo!$E$40:$E$42)+SUMIF(Attivo!$F$40:$F$42,Passivo!$A21,Attivo!$E$44:$E$46)</f>
        <v>0</v>
      </c>
      <c r="E21" s="225">
        <f t="shared" si="10"/>
        <v>0</v>
      </c>
      <c r="F21" s="224"/>
      <c r="G21" s="224"/>
      <c r="H21" s="224"/>
      <c r="I21" s="227">
        <f t="shared" si="5"/>
        <v>0</v>
      </c>
      <c r="J21" s="228">
        <f t="shared" si="6"/>
        <v>0</v>
      </c>
      <c r="K21" s="229"/>
      <c r="M21" s="230" t="str">
        <f>+IFERROR(VLOOKUP(K21,Passivo_Tipologie!$E$5:$G$28,3,FALSE),"")</f>
        <v/>
      </c>
    </row>
    <row r="22" outlineLevel="1" ht="14.5">
      <c r="A22" s="231" t="s">
        <v>1102</v>
      </c>
      <c r="B22" s="226"/>
      <c r="C22" s="224"/>
      <c r="D22" s="179">
        <f>+SUMIF(Attivo!$F$9:$F$17,Passivo!$A22,Attivo!$E$9:$E$17)+SUMIF(Attivo!$F$19:$F$27,Passivo!$A22,Attivo!$E$19:$E$27)+SUMIF(Attivo!$F$29:$F$38,Passivo!$A22,Attivo!$E$29:$E$38)+SUMIF(Attivo!$F$40:$F$42,Passivo!$A22,Attivo!$E$40:$E$42)+SUMIF(Attivo!$F$40:$F$42,Passivo!$A22,Attivo!$E$44:$E$46)</f>
        <v>0</v>
      </c>
      <c r="E22" s="225">
        <f t="shared" si="10"/>
        <v>0</v>
      </c>
      <c r="F22" s="224"/>
      <c r="G22" s="224"/>
      <c r="H22" s="224"/>
      <c r="I22" s="227">
        <f t="shared" si="5"/>
        <v>0</v>
      </c>
      <c r="J22" s="228">
        <f t="shared" si="6"/>
        <v>0</v>
      </c>
      <c r="K22" s="229"/>
      <c r="M22" s="230" t="str">
        <f>+IFERROR(VLOOKUP(K22,Passivo_Tipologie!$E$5:$G$28,3,FALSE),"")</f>
        <v/>
      </c>
    </row>
    <row r="23" outlineLevel="1" ht="14.5">
      <c r="A23" s="231" t="s">
        <v>1103</v>
      </c>
      <c r="B23" s="226"/>
      <c r="C23" s="224">
        <f>SUM(C27:C74)</f>
        <v>0</v>
      </c>
      <c r="D23" s="179">
        <f>+SUMIF(Attivo!$F$9:$F$17,Passivo!$A23,Attivo!$E$9:$E$17)+SUMIF(Attivo!$F$19:$F$27,Passivo!$A23,Attivo!$E$19:$E$27)+SUMIF(Attivo!$F$29:$F$38,Passivo!$A23,Attivo!$E$29:$E$38)+SUMIF(Attivo!$F$40:$F$42,Passivo!$A23,Attivo!$E$40:$E$42)+SUMIF(Attivo!$F$40:$F$42,Passivo!$A23,Attivo!$E$44:$E$46)</f>
        <v>0</v>
      </c>
      <c r="E23" s="225">
        <f t="shared" si="10"/>
        <v>0</v>
      </c>
      <c r="F23" s="224"/>
      <c r="G23" s="224"/>
      <c r="H23" s="226"/>
      <c r="I23" s="227">
        <f t="shared" si="5"/>
        <v>0</v>
      </c>
      <c r="J23" s="228">
        <f t="shared" si="6"/>
        <v>0</v>
      </c>
      <c r="K23" s="229"/>
      <c r="M23" s="230" t="str">
        <f>+IFERROR(VLOOKUP(K23,Passivo_Tipologie!$E$5:$G$28,3,FALSE),"")</f>
        <v/>
      </c>
    </row>
    <row r="24" outlineLevel="1" ht="14.5">
      <c r="A24" s="231" t="s">
        <v>1110</v>
      </c>
      <c r="B24" s="226"/>
      <c r="C24" s="224"/>
      <c r="D24" s="179">
        <f>+SUMIF(Attivo!$F$9:$F$17,Passivo!$A24,Attivo!$E$9:$E$17)+SUMIF(Attivo!$F$19:$F$27,Passivo!$A24,Attivo!$E$19:$E$27)+SUMIF(Attivo!$F$29:$F$38,Passivo!$A24,Attivo!$E$29:$E$38)+SUMIF(Attivo!$F$40:$F$42,Passivo!$A24,Attivo!$E$40:$E$42)+SUMIF(Attivo!$F$40:$F$42,Passivo!$A24,Attivo!$E$44:$E$46)</f>
        <v>0</v>
      </c>
      <c r="E24" s="225">
        <f t="shared" si="10"/>
        <v>0</v>
      </c>
      <c r="F24" s="224"/>
      <c r="G24" s="224"/>
      <c r="H24" s="224"/>
      <c r="I24" s="227">
        <f t="shared" si="5"/>
        <v>0</v>
      </c>
      <c r="J24" s="228">
        <f t="shared" si="6"/>
        <v>0</v>
      </c>
      <c r="K24" s="229"/>
      <c r="M24" s="230" t="str">
        <f>+IFERROR(VLOOKUP(K24,Passivo_Tipologie!$E$5:$G$28,3,FALSE),"")</f>
        <v/>
      </c>
    </row>
    <row r="25" outlineLevel="1" ht="14.5">
      <c r="A25" s="231" t="s">
        <v>1111</v>
      </c>
      <c r="B25" s="226"/>
      <c r="C25" s="224"/>
      <c r="D25" s="179">
        <f>+SUMIF(Attivo!$F$9:$F$17,Passivo!$A25,Attivo!$E$9:$E$17)+SUMIF(Attivo!$F$19:$F$27,Passivo!$A25,Attivo!$E$19:$E$27)+SUMIF(Attivo!$F$29:$F$38,Passivo!$A25,Attivo!$E$29:$E$38)+SUMIF(Attivo!$F$40:$F$42,Passivo!$A25,Attivo!$E$40:$E$42)+SUMIF(Attivo!$F$40:$F$42,Passivo!$A25,Attivo!$E$44:$E$46)</f>
        <v>0</v>
      </c>
      <c r="E25" s="225">
        <f t="shared" si="10"/>
        <v>0</v>
      </c>
      <c r="F25" s="224"/>
      <c r="G25" s="224"/>
      <c r="H25" s="224"/>
      <c r="I25" s="227">
        <f t="shared" si="5"/>
        <v>0</v>
      </c>
      <c r="J25" s="228">
        <f t="shared" si="6"/>
        <v>0</v>
      </c>
      <c r="K25" s="229"/>
      <c r="M25" s="230" t="str">
        <f>+IFERROR(VLOOKUP(K25,Passivo_Tipologie!$E$5:$G$28,3,FALSE),"")</f>
        <v/>
      </c>
    </row>
    <row r="26" ht="14.5">
      <c r="A26" s="172" t="s">
        <v>764</v>
      </c>
      <c r="B26" s="172">
        <f>-SUMIF(Raccordo!G:G,$A26,Raccordo!J:J)</f>
        <v>0</v>
      </c>
      <c r="C26" s="172">
        <f t="shared" ref="C26:J26" si="11">+SUM(C27:C30)</f>
        <v>0</v>
      </c>
      <c r="D26" s="172">
        <f t="shared" si="11"/>
        <v>0</v>
      </c>
      <c r="E26" s="172">
        <f t="shared" si="11"/>
        <v>0</v>
      </c>
      <c r="F26" s="172">
        <f t="shared" si="11"/>
        <v>0</v>
      </c>
      <c r="G26" s="172">
        <f t="shared" si="11"/>
        <v>0</v>
      </c>
      <c r="H26" s="172">
        <f t="shared" si="11"/>
        <v>0</v>
      </c>
      <c r="I26" s="172">
        <f t="shared" si="11"/>
        <v>0</v>
      </c>
      <c r="J26" s="172">
        <f t="shared" si="11"/>
        <v>0</v>
      </c>
      <c r="K26" s="219" t="s">
        <v>1108</v>
      </c>
    </row>
    <row r="27" outlineLevel="1" ht="14.5">
      <c r="A27" s="231" t="s">
        <v>1112</v>
      </c>
      <c r="B27" s="226"/>
      <c r="C27" s="224"/>
      <c r="D27" s="224"/>
      <c r="E27" s="225">
        <f t="shared" si="10"/>
        <v>0</v>
      </c>
      <c r="F27" s="224"/>
      <c r="G27" s="232"/>
      <c r="H27" s="226"/>
      <c r="I27" s="227">
        <f t="shared" si="5"/>
        <v>0</v>
      </c>
      <c r="J27" s="228">
        <f t="shared" si="6"/>
        <v>0</v>
      </c>
      <c r="K27" s="229"/>
      <c r="M27" s="230" t="str">
        <f>+IFERROR(VLOOKUP(K27,Passivo_Tipologie!$E$5:$G$28,3,FALSE),"")</f>
        <v/>
      </c>
    </row>
    <row r="28" outlineLevel="1" ht="14.5">
      <c r="A28" s="231" t="s">
        <v>1113</v>
      </c>
      <c r="B28" s="226"/>
      <c r="C28" s="224"/>
      <c r="D28" s="224"/>
      <c r="E28" s="225">
        <f t="shared" si="10"/>
        <v>0</v>
      </c>
      <c r="F28" s="224"/>
      <c r="G28" s="224"/>
      <c r="H28" s="224"/>
      <c r="I28" s="227">
        <f t="shared" si="5"/>
        <v>0</v>
      </c>
      <c r="J28" s="228">
        <f t="shared" si="6"/>
        <v>0</v>
      </c>
      <c r="K28" s="229"/>
      <c r="M28" s="230" t="str">
        <f>+IFERROR(VLOOKUP(K28,Passivo_Tipologie!$E$5:$G$28,3,FALSE),"")</f>
        <v/>
      </c>
    </row>
    <row r="29" outlineLevel="1" ht="14.5">
      <c r="A29" s="231" t="s">
        <v>1114</v>
      </c>
      <c r="B29" s="226"/>
      <c r="C29" s="224"/>
      <c r="D29" s="224"/>
      <c r="E29" s="225">
        <f t="shared" si="10"/>
        <v>0</v>
      </c>
      <c r="F29" s="224"/>
      <c r="G29" s="224"/>
      <c r="H29" s="224"/>
      <c r="I29" s="227">
        <f t="shared" si="5"/>
        <v>0</v>
      </c>
      <c r="J29" s="228">
        <f t="shared" si="6"/>
        <v>0</v>
      </c>
      <c r="K29" s="229"/>
      <c r="M29" s="230" t="str">
        <f>+IFERROR(VLOOKUP(K29,Passivo_Tipologie!$E$5:$G$28,3,FALSE),"")</f>
        <v/>
      </c>
    </row>
    <row r="30" outlineLevel="1" ht="14.5">
      <c r="A30" s="231" t="s">
        <v>1115</v>
      </c>
      <c r="B30" s="226"/>
      <c r="C30" s="224"/>
      <c r="D30" s="224"/>
      <c r="E30" s="225">
        <f t="shared" si="10"/>
        <v>0</v>
      </c>
      <c r="F30" s="224"/>
      <c r="G30" s="224"/>
      <c r="H30" s="224"/>
      <c r="I30" s="227">
        <f t="shared" si="5"/>
        <v>0</v>
      </c>
      <c r="J30" s="228">
        <f t="shared" si="6"/>
        <v>0</v>
      </c>
      <c r="K30" s="229"/>
      <c r="M30" s="230" t="str">
        <f>+IFERROR(VLOOKUP(K30,Passivo_Tipologie!$E$5:$G$28,3,FALSE),"")</f>
        <v/>
      </c>
    </row>
    <row r="31" ht="14.5">
      <c r="A31" s="172" t="s">
        <v>760</v>
      </c>
      <c r="B31" s="172">
        <f>-SUMIF(Raccordo!G:G,$A31,Raccordo!J:J)</f>
        <v>0</v>
      </c>
      <c r="C31" s="172">
        <f t="shared" ref="C31:J31" si="12">+SUM(C32:C35)</f>
        <v>0</v>
      </c>
      <c r="D31" s="172">
        <f t="shared" si="12"/>
        <v>0</v>
      </c>
      <c r="E31" s="172">
        <f t="shared" si="12"/>
        <v>0</v>
      </c>
      <c r="F31" s="172">
        <f t="shared" si="12"/>
        <v>0</v>
      </c>
      <c r="G31" s="172">
        <f t="shared" si="12"/>
        <v>0</v>
      </c>
      <c r="H31" s="172">
        <f t="shared" si="12"/>
        <v>0</v>
      </c>
      <c r="I31" s="172">
        <f t="shared" si="12"/>
        <v>0</v>
      </c>
      <c r="J31" s="172">
        <f t="shared" si="12"/>
        <v>0</v>
      </c>
      <c r="K31" s="219" t="s">
        <v>1108</v>
      </c>
    </row>
    <row r="32" outlineLevel="1" ht="14.5">
      <c r="A32" s="233" t="s">
        <v>1116</v>
      </c>
      <c r="B32" s="226"/>
      <c r="C32" s="224"/>
      <c r="D32" s="224"/>
      <c r="E32" s="225">
        <f t="shared" ref="E32:E35" si="13">+C32+D32</f>
        <v>0</v>
      </c>
      <c r="F32" s="224"/>
      <c r="G32" s="232"/>
      <c r="H32" s="226"/>
      <c r="I32" s="227">
        <f t="shared" si="5"/>
        <v>0</v>
      </c>
      <c r="J32" s="228">
        <f t="shared" si="6"/>
        <v>0</v>
      </c>
      <c r="K32" s="229"/>
      <c r="M32" s="230" t="str">
        <f>+IFERROR(VLOOKUP(K32,Passivo_Tipologie!$E$5:$G$28,3,FALSE),"")</f>
        <v/>
      </c>
    </row>
    <row r="33" outlineLevel="1" ht="14.5">
      <c r="A33" s="233" t="s">
        <v>1117</v>
      </c>
      <c r="B33" s="226"/>
      <c r="C33" s="224"/>
      <c r="D33" s="224"/>
      <c r="E33" s="225">
        <f t="shared" si="13"/>
        <v>0</v>
      </c>
      <c r="F33" s="224"/>
      <c r="G33" s="176"/>
      <c r="H33" s="226"/>
      <c r="I33" s="227">
        <f t="shared" si="5"/>
        <v>0</v>
      </c>
      <c r="J33" s="228">
        <f t="shared" si="6"/>
        <v>0</v>
      </c>
      <c r="K33" s="229"/>
      <c r="M33" s="230" t="str">
        <f>+IFERROR(VLOOKUP(K33,Passivo_Tipologie!$E$5:$G$28,3,FALSE),"")</f>
        <v/>
      </c>
    </row>
    <row r="34" outlineLevel="1" ht="14.5">
      <c r="A34" s="233" t="s">
        <v>1118</v>
      </c>
      <c r="B34" s="226"/>
      <c r="C34" s="224"/>
      <c r="D34" s="224"/>
      <c r="E34" s="225">
        <f t="shared" si="13"/>
        <v>0</v>
      </c>
      <c r="F34" s="224"/>
      <c r="G34" s="176"/>
      <c r="H34" s="176"/>
      <c r="I34" s="227">
        <f t="shared" si="5"/>
        <v>0</v>
      </c>
      <c r="J34" s="228">
        <f t="shared" si="6"/>
        <v>0</v>
      </c>
      <c r="K34" s="229"/>
      <c r="M34" s="230" t="str">
        <f>+IFERROR(VLOOKUP(K34,Passivo_Tipologie!$E$5:$G$28,3,FALSE),"")</f>
        <v/>
      </c>
    </row>
    <row r="35" outlineLevel="1" ht="14.5">
      <c r="A35" s="233" t="s">
        <v>1119</v>
      </c>
      <c r="B35" s="226"/>
      <c r="C35" s="224"/>
      <c r="D35" s="224"/>
      <c r="E35" s="225">
        <f t="shared" si="13"/>
        <v>0</v>
      </c>
      <c r="F35" s="224"/>
      <c r="G35" s="176"/>
      <c r="H35" s="176"/>
      <c r="I35" s="227">
        <f t="shared" si="5"/>
        <v>0</v>
      </c>
      <c r="J35" s="228">
        <f t="shared" si="6"/>
        <v>0</v>
      </c>
      <c r="K35" s="229"/>
      <c r="M35" s="230" t="str">
        <f>+IFERROR(VLOOKUP(K35,Passivo_Tipologie!$E$5:$G$28,3,FALSE),"")</f>
        <v/>
      </c>
    </row>
    <row r="36" ht="14.5">
      <c r="A36" s="172" t="s">
        <v>758</v>
      </c>
      <c r="B36" s="172">
        <f>-SUMIF(Raccordo!G:G,$A36,Raccordo!J:J)</f>
        <v>0</v>
      </c>
      <c r="C36" s="172">
        <f t="shared" ref="C36:J36" si="14">+SUM(C37:C40)</f>
        <v>0</v>
      </c>
      <c r="D36" s="172">
        <f t="shared" si="14"/>
        <v>0</v>
      </c>
      <c r="E36" s="172">
        <f t="shared" si="14"/>
        <v>0</v>
      </c>
      <c r="F36" s="172">
        <f t="shared" si="14"/>
        <v>0</v>
      </c>
      <c r="G36" s="172">
        <f t="shared" si="14"/>
        <v>0</v>
      </c>
      <c r="H36" s="172">
        <f t="shared" si="14"/>
        <v>0</v>
      </c>
      <c r="I36" s="172">
        <f t="shared" si="14"/>
        <v>0</v>
      </c>
      <c r="J36" s="172">
        <f t="shared" si="14"/>
        <v>0</v>
      </c>
      <c r="K36" s="219" t="s">
        <v>1108</v>
      </c>
      <c r="M36" s="230" t="str">
        <f>+IFERROR(VLOOKUP(K36,Passivo_Tipologie!$E$5:$G$28,3,FALSE),"")</f>
        <v/>
      </c>
    </row>
    <row r="37" outlineLevel="1" ht="14.5">
      <c r="A37" s="233" t="s">
        <v>1120</v>
      </c>
      <c r="B37" s="226"/>
      <c r="C37" s="224"/>
      <c r="D37" s="224"/>
      <c r="E37" s="225">
        <f t="shared" ref="E37:E40" si="15">+C37+D37</f>
        <v>0</v>
      </c>
      <c r="F37" s="224"/>
      <c r="G37" s="224"/>
      <c r="H37" s="226"/>
      <c r="I37" s="227">
        <f t="shared" si="5"/>
        <v>0</v>
      </c>
      <c r="J37" s="228">
        <f t="shared" si="6"/>
        <v>0</v>
      </c>
      <c r="K37" s="229"/>
      <c r="M37" s="230" t="str">
        <f>+IFERROR(VLOOKUP(K37,Passivo_Tipologie!$E$5:$G$28,3,FALSE),"")</f>
        <v/>
      </c>
    </row>
    <row r="38" outlineLevel="1" ht="14.5">
      <c r="A38" s="233" t="s">
        <v>1121</v>
      </c>
      <c r="B38" s="226"/>
      <c r="C38" s="224"/>
      <c r="D38" s="224"/>
      <c r="E38" s="225">
        <f t="shared" si="15"/>
        <v>0</v>
      </c>
      <c r="F38" s="224"/>
      <c r="G38" s="224"/>
      <c r="H38" s="176"/>
      <c r="I38" s="227">
        <f t="shared" si="5"/>
        <v>0</v>
      </c>
      <c r="J38" s="228">
        <f t="shared" si="6"/>
        <v>0</v>
      </c>
      <c r="K38" s="229"/>
      <c r="M38" s="230" t="str">
        <f>+IFERROR(VLOOKUP(K38,Passivo_Tipologie!$E$5:$G$28,3,FALSE),"")</f>
        <v/>
      </c>
    </row>
    <row r="39" outlineLevel="1" ht="14.5">
      <c r="A39" s="233" t="s">
        <v>1122</v>
      </c>
      <c r="B39" s="226"/>
      <c r="C39" s="224"/>
      <c r="D39" s="224"/>
      <c r="E39" s="225">
        <f t="shared" si="15"/>
        <v>0</v>
      </c>
      <c r="F39" s="224"/>
      <c r="G39" s="224"/>
      <c r="H39" s="176"/>
      <c r="I39" s="227">
        <f t="shared" si="5"/>
        <v>0</v>
      </c>
      <c r="J39" s="228">
        <f t="shared" si="6"/>
        <v>0</v>
      </c>
      <c r="K39" s="229"/>
      <c r="M39" s="230" t="str">
        <f>+IFERROR(VLOOKUP(K39,Passivo_Tipologie!$E$5:$G$28,3,FALSE),"")</f>
        <v/>
      </c>
    </row>
    <row r="40" outlineLevel="1" ht="14.5">
      <c r="A40" s="233" t="s">
        <v>1123</v>
      </c>
      <c r="B40" s="226"/>
      <c r="C40" s="224"/>
      <c r="D40" s="224"/>
      <c r="E40" s="225">
        <f t="shared" si="15"/>
        <v>0</v>
      </c>
      <c r="F40" s="224"/>
      <c r="G40" s="224"/>
      <c r="H40" s="176"/>
      <c r="I40" s="227">
        <f t="shared" si="5"/>
        <v>0</v>
      </c>
      <c r="J40" s="228">
        <f t="shared" si="6"/>
        <v>0</v>
      </c>
      <c r="K40" s="229"/>
      <c r="M40" s="230" t="str">
        <f>+IFERROR(VLOOKUP(K40,Passivo_Tipologie!$E$5:$G$28,3,FALSE),"")</f>
        <v/>
      </c>
    </row>
    <row r="41" ht="14.5">
      <c r="A41" s="172" t="s">
        <v>748</v>
      </c>
      <c r="B41" s="172">
        <f>SUM(B42:B45)</f>
        <v>0</v>
      </c>
      <c r="C41" s="172">
        <f t="shared" ref="C41:J41" si="16">+SUM(C42:C45)</f>
        <v>0</v>
      </c>
      <c r="D41" s="172">
        <f t="shared" si="16"/>
        <v>0</v>
      </c>
      <c r="E41" s="172">
        <f t="shared" si="16"/>
        <v>0</v>
      </c>
      <c r="F41" s="172">
        <f t="shared" si="16"/>
        <v>0</v>
      </c>
      <c r="G41" s="172">
        <f t="shared" si="16"/>
        <v>0</v>
      </c>
      <c r="H41" s="172">
        <f t="shared" si="16"/>
        <v>0</v>
      </c>
      <c r="I41" s="172">
        <f t="shared" si="16"/>
        <v>0</v>
      </c>
      <c r="J41" s="172">
        <f t="shared" si="16"/>
        <v>0</v>
      </c>
      <c r="K41" s="219" t="s">
        <v>1108</v>
      </c>
      <c r="M41" s="230" t="str">
        <f>+IFERROR(VLOOKUP(K41,Passivo_Tipologie!$E$5:$G$28,3,FALSE),"")</f>
        <v/>
      </c>
    </row>
    <row r="42" outlineLevel="1" ht="14.5">
      <c r="A42" s="233" t="s">
        <v>761</v>
      </c>
      <c r="B42" s="234">
        <f>-SUMIF(Raccordo!G:G,$A42,Raccordo!J:J)</f>
        <v>0</v>
      </c>
      <c r="C42" s="224"/>
      <c r="D42" s="176"/>
      <c r="E42" s="225">
        <f t="shared" ref="E42:E45" si="17">+C42+D42</f>
        <v>0</v>
      </c>
      <c r="F42" s="224"/>
      <c r="G42" s="232"/>
      <c r="H42" s="226"/>
      <c r="I42" s="227">
        <f t="shared" si="5"/>
        <v>0</v>
      </c>
      <c r="J42" s="228">
        <f t="shared" si="6"/>
        <v>0</v>
      </c>
      <c r="K42" s="229"/>
      <c r="M42" s="230" t="str">
        <f>+IFERROR(VLOOKUP(K42,Passivo_Tipologie!$E$5:$G$28,3,FALSE),"")</f>
        <v/>
      </c>
    </row>
    <row r="43" outlineLevel="1" ht="14.5">
      <c r="A43" s="233" t="s">
        <v>748</v>
      </c>
      <c r="B43" s="234">
        <f>-SUMIF(Raccordo!G:G,$A43,Raccordo!J:J)</f>
        <v>0</v>
      </c>
      <c r="C43" s="224"/>
      <c r="D43" s="176"/>
      <c r="E43" s="225">
        <f t="shared" si="17"/>
        <v>0</v>
      </c>
      <c r="F43" s="224"/>
      <c r="G43" s="224"/>
      <c r="H43" s="226"/>
      <c r="I43" s="227">
        <f t="shared" si="5"/>
        <v>0</v>
      </c>
      <c r="J43" s="228">
        <f t="shared" si="6"/>
        <v>0</v>
      </c>
      <c r="K43" s="229"/>
      <c r="M43" s="230" t="str">
        <f>+IFERROR(VLOOKUP(K43,Passivo_Tipologie!$E$5:$G$28,3,FALSE),"")</f>
        <v/>
      </c>
    </row>
    <row r="44" outlineLevel="1" ht="14.5">
      <c r="A44" s="233" t="s">
        <v>1124</v>
      </c>
      <c r="B44" s="226"/>
      <c r="C44" s="224"/>
      <c r="D44" s="176"/>
      <c r="E44" s="225">
        <f t="shared" si="17"/>
        <v>0</v>
      </c>
      <c r="F44" s="224"/>
      <c r="G44" s="224"/>
      <c r="H44" s="224"/>
      <c r="I44" s="227">
        <f t="shared" si="5"/>
        <v>0</v>
      </c>
      <c r="J44" s="228">
        <f t="shared" si="6"/>
        <v>0</v>
      </c>
      <c r="K44" s="229"/>
      <c r="M44" s="230" t="str">
        <f>+IFERROR(VLOOKUP(K44,Passivo_Tipologie!$E$5:$G$28,3,FALSE),"")</f>
        <v/>
      </c>
    </row>
    <row r="45" outlineLevel="1" ht="14.5">
      <c r="A45" s="233" t="s">
        <v>1125</v>
      </c>
      <c r="B45" s="226"/>
      <c r="C45" s="224"/>
      <c r="D45" s="176"/>
      <c r="E45" s="225">
        <f t="shared" si="17"/>
        <v>0</v>
      </c>
      <c r="F45" s="224"/>
      <c r="G45" s="224"/>
      <c r="H45" s="224"/>
      <c r="I45" s="227">
        <f t="shared" si="5"/>
        <v>0</v>
      </c>
      <c r="J45" s="228">
        <f t="shared" si="6"/>
        <v>0</v>
      </c>
      <c r="K45" s="229"/>
      <c r="M45" s="230" t="str">
        <f>+IFERROR(VLOOKUP(K45,Passivo_Tipologie!$E$5:$G$28,3,FALSE),"")</f>
        <v/>
      </c>
    </row>
    <row r="46" ht="14.5">
      <c r="A46" s="172" t="s">
        <v>762</v>
      </c>
      <c r="B46" s="172">
        <f>-SUMIF(Raccordo!G:G,$A46,Raccordo!J:J)</f>
        <v>0</v>
      </c>
      <c r="C46" s="172">
        <f t="shared" ref="C46:J46" si="18">+SUM(C47:C50)</f>
        <v>0</v>
      </c>
      <c r="D46" s="172">
        <f t="shared" si="18"/>
        <v>0</v>
      </c>
      <c r="E46" s="172">
        <f t="shared" si="18"/>
        <v>0</v>
      </c>
      <c r="F46" s="172">
        <f t="shared" si="18"/>
        <v>0</v>
      </c>
      <c r="G46" s="172">
        <f t="shared" si="18"/>
        <v>0</v>
      </c>
      <c r="H46" s="172">
        <f t="shared" si="18"/>
        <v>0</v>
      </c>
      <c r="I46" s="172">
        <f t="shared" si="18"/>
        <v>0</v>
      </c>
      <c r="J46" s="172">
        <f t="shared" si="18"/>
        <v>0</v>
      </c>
      <c r="K46" s="219" t="s">
        <v>1108</v>
      </c>
    </row>
    <row r="47" outlineLevel="1" ht="14.5">
      <c r="A47" s="233" t="s">
        <v>1126</v>
      </c>
      <c r="B47" s="226"/>
      <c r="C47" s="224"/>
      <c r="D47" s="224"/>
      <c r="E47" s="225">
        <f t="shared" ref="E47:E48" si="19">+C47+D47</f>
        <v>0</v>
      </c>
      <c r="F47" s="224"/>
      <c r="G47" s="224"/>
      <c r="H47" s="224"/>
      <c r="I47" s="227">
        <f t="shared" si="5"/>
        <v>0</v>
      </c>
      <c r="J47" s="228">
        <f t="shared" si="6"/>
        <v>0</v>
      </c>
      <c r="K47" s="229"/>
      <c r="M47" s="230" t="str">
        <f>+IFERROR(VLOOKUP(K47,Passivo_Tipologie!$E$5:$G$28,3,FALSE),"")</f>
        <v/>
      </c>
    </row>
    <row r="48" outlineLevel="1" ht="14.5">
      <c r="A48" s="233" t="s">
        <v>1127</v>
      </c>
      <c r="B48" s="226"/>
      <c r="C48" s="224"/>
      <c r="D48" s="224"/>
      <c r="E48" s="225">
        <f t="shared" si="19"/>
        <v>0</v>
      </c>
      <c r="F48" s="224"/>
      <c r="G48" s="224"/>
      <c r="H48" s="224"/>
      <c r="I48" s="227">
        <f t="shared" si="5"/>
        <v>0</v>
      </c>
      <c r="J48" s="228">
        <f t="shared" si="6"/>
        <v>0</v>
      </c>
      <c r="K48" s="229"/>
      <c r="M48" s="230" t="str">
        <f>+IFERROR(VLOOKUP(K48,Passivo_Tipologie!$E$5:$G$28,3,FALSE),"")</f>
        <v/>
      </c>
    </row>
    <row r="49" outlineLevel="1" ht="14.5">
      <c r="A49" s="233" t="s">
        <v>1128</v>
      </c>
      <c r="B49" s="226"/>
      <c r="C49" s="224"/>
      <c r="D49" s="224"/>
      <c r="E49" s="225">
        <f t="shared" ref="E49:E55" si="20">+C49+D49</f>
        <v>0</v>
      </c>
      <c r="F49" s="224"/>
      <c r="G49" s="224"/>
      <c r="H49" s="224"/>
      <c r="I49" s="227">
        <f t="shared" si="5"/>
        <v>0</v>
      </c>
      <c r="J49" s="228">
        <f t="shared" si="6"/>
        <v>0</v>
      </c>
      <c r="K49" s="229"/>
      <c r="M49" s="230" t="str">
        <f>+IFERROR(VLOOKUP(K49,Passivo_Tipologie!$E$5:$G$28,3,FALSE),"")</f>
        <v/>
      </c>
    </row>
    <row r="50" outlineLevel="1" ht="14.5">
      <c r="A50" s="233" t="s">
        <v>1129</v>
      </c>
      <c r="B50" s="226"/>
      <c r="C50" s="224"/>
      <c r="D50" s="224"/>
      <c r="E50" s="225">
        <f t="shared" si="20"/>
        <v>0</v>
      </c>
      <c r="F50" s="224"/>
      <c r="G50" s="224"/>
      <c r="H50" s="224"/>
      <c r="I50" s="227">
        <f t="shared" si="5"/>
        <v>0</v>
      </c>
      <c r="J50" s="228">
        <f t="shared" si="6"/>
        <v>0</v>
      </c>
      <c r="K50" s="229"/>
      <c r="M50" s="230" t="str">
        <f>+IFERROR(VLOOKUP(K50,Passivo_Tipologie!$E$5:$G$28,3,FALSE),"")</f>
        <v/>
      </c>
    </row>
    <row r="51" ht="14.5">
      <c r="A51" s="172" t="s">
        <v>763</v>
      </c>
      <c r="B51" s="172">
        <f>-SUMIF(Raccordo!G:G,$A51,Raccordo!J:J)</f>
        <v>0</v>
      </c>
      <c r="C51" s="172">
        <f t="shared" ref="C51:J51" si="21">+SUM(C52:C55)</f>
        <v>0</v>
      </c>
      <c r="D51" s="172">
        <f t="shared" si="21"/>
        <v>0</v>
      </c>
      <c r="E51" s="172">
        <f t="shared" si="21"/>
        <v>0</v>
      </c>
      <c r="F51" s="172">
        <f t="shared" si="21"/>
        <v>0</v>
      </c>
      <c r="G51" s="172">
        <f t="shared" si="21"/>
        <v>0</v>
      </c>
      <c r="H51" s="172">
        <f t="shared" si="21"/>
        <v>0</v>
      </c>
      <c r="I51" s="172">
        <f t="shared" si="21"/>
        <v>0</v>
      </c>
      <c r="J51" s="172">
        <f t="shared" si="21"/>
        <v>0</v>
      </c>
      <c r="K51" s="219" t="s">
        <v>1108</v>
      </c>
    </row>
    <row r="52" outlineLevel="1" ht="14.5">
      <c r="A52" s="233" t="s">
        <v>1130</v>
      </c>
      <c r="B52" s="226"/>
      <c r="C52" s="224"/>
      <c r="D52" s="224"/>
      <c r="E52" s="225">
        <f t="shared" si="20"/>
        <v>0</v>
      </c>
      <c r="F52" s="224"/>
      <c r="G52" s="224"/>
      <c r="H52" s="226"/>
      <c r="I52" s="227">
        <f t="shared" si="5"/>
        <v>0</v>
      </c>
      <c r="J52" s="228">
        <f t="shared" si="6"/>
        <v>0</v>
      </c>
      <c r="K52" s="229"/>
      <c r="M52" s="230" t="str">
        <f>+IFERROR(VLOOKUP(K52,Passivo_Tipologie!$E$5:$G$28,3,FALSE),"")</f>
        <v/>
      </c>
    </row>
    <row r="53" outlineLevel="1" ht="14.5">
      <c r="A53" s="233" t="s">
        <v>1131</v>
      </c>
      <c r="B53" s="226"/>
      <c r="C53" s="224"/>
      <c r="D53" s="224"/>
      <c r="E53" s="225">
        <f t="shared" si="20"/>
        <v>0</v>
      </c>
      <c r="F53" s="224"/>
      <c r="G53" s="224"/>
      <c r="H53" s="176"/>
      <c r="I53" s="227">
        <f t="shared" si="5"/>
        <v>0</v>
      </c>
      <c r="J53" s="228">
        <f t="shared" si="6"/>
        <v>0</v>
      </c>
      <c r="K53" s="229"/>
      <c r="M53" s="230" t="str">
        <f>+IFERROR(VLOOKUP(K53,Passivo_Tipologie!$E$5:$G$28,3,FALSE),"")</f>
        <v/>
      </c>
    </row>
    <row r="54" outlineLevel="1" ht="14.5">
      <c r="A54" s="233" t="s">
        <v>1132</v>
      </c>
      <c r="B54" s="226"/>
      <c r="C54" s="224"/>
      <c r="D54" s="224"/>
      <c r="E54" s="225">
        <f t="shared" si="20"/>
        <v>0</v>
      </c>
      <c r="F54" s="224"/>
      <c r="G54" s="224"/>
      <c r="H54" s="176"/>
      <c r="I54" s="227">
        <f t="shared" si="5"/>
        <v>0</v>
      </c>
      <c r="J54" s="228">
        <f t="shared" si="6"/>
        <v>0</v>
      </c>
      <c r="K54" s="229"/>
      <c r="M54" s="230" t="str">
        <f>+IFERROR(VLOOKUP(K54,Passivo_Tipologie!$E$5:$G$28,3,FALSE),"")</f>
        <v/>
      </c>
    </row>
    <row r="55" outlineLevel="1" ht="14.5">
      <c r="A55" s="233" t="s">
        <v>1133</v>
      </c>
      <c r="B55" s="226"/>
      <c r="C55" s="224"/>
      <c r="D55" s="224"/>
      <c r="E55" s="225">
        <f t="shared" si="20"/>
        <v>0</v>
      </c>
      <c r="F55" s="224"/>
      <c r="G55" s="224"/>
      <c r="H55" s="176"/>
      <c r="I55" s="227">
        <f t="shared" si="5"/>
        <v>0</v>
      </c>
      <c r="J55" s="228">
        <f t="shared" si="6"/>
        <v>0</v>
      </c>
      <c r="K55" s="229"/>
      <c r="M55" s="230" t="str">
        <f>+IFERROR(VLOOKUP(K55,Passivo_Tipologie!$E$5:$G$28,3,FALSE),"")</f>
        <v/>
      </c>
    </row>
    <row r="56" ht="14.5">
      <c r="A56" s="172" t="s">
        <v>757</v>
      </c>
      <c r="B56" s="172">
        <f>-SUMIF(Raccordo!G:G,$A56,Raccordo!J:J)</f>
        <v>0</v>
      </c>
      <c r="C56" s="172">
        <f t="shared" ref="C56:J56" si="22">+SUM(C57:C64)</f>
        <v>0</v>
      </c>
      <c r="D56" s="172">
        <f t="shared" si="22"/>
        <v>0</v>
      </c>
      <c r="E56" s="172">
        <f t="shared" si="22"/>
        <v>0</v>
      </c>
      <c r="F56" s="172">
        <f t="shared" si="22"/>
        <v>0</v>
      </c>
      <c r="G56" s="172">
        <f t="shared" si="22"/>
        <v>0</v>
      </c>
      <c r="H56" s="172">
        <f t="shared" si="22"/>
        <v>0</v>
      </c>
      <c r="I56" s="172">
        <f t="shared" si="22"/>
        <v>0</v>
      </c>
      <c r="J56" s="172">
        <f t="shared" si="22"/>
        <v>0</v>
      </c>
      <c r="K56" s="219" t="s">
        <v>1108</v>
      </c>
    </row>
    <row r="57" outlineLevel="1" ht="14.5">
      <c r="A57" s="233" t="s">
        <v>1134</v>
      </c>
      <c r="B57" s="226"/>
      <c r="C57" s="224"/>
      <c r="D57" s="224"/>
      <c r="E57" s="225">
        <f t="shared" ref="E57:E59" si="23">+C57+D57</f>
        <v>0</v>
      </c>
      <c r="F57" s="224"/>
      <c r="G57" s="224"/>
      <c r="H57" s="226"/>
      <c r="I57" s="235">
        <f t="shared" si="5"/>
        <v>0</v>
      </c>
      <c r="J57" s="236">
        <f t="shared" si="6"/>
        <v>0</v>
      </c>
      <c r="K57" s="229"/>
      <c r="M57" s="230" t="str">
        <f>+IFERROR(VLOOKUP(K57,Passivo_Tipologie!$E$5:$G$28,3,FALSE),"")</f>
        <v/>
      </c>
    </row>
    <row r="58" outlineLevel="1" ht="14.5">
      <c r="A58" s="233" t="s">
        <v>1135</v>
      </c>
      <c r="B58" s="226"/>
      <c r="C58" s="224"/>
      <c r="D58" s="224"/>
      <c r="E58" s="225">
        <f t="shared" si="23"/>
        <v>0</v>
      </c>
      <c r="F58" s="224"/>
      <c r="G58" s="224"/>
      <c r="H58" s="224"/>
      <c r="I58" s="235">
        <f t="shared" si="5"/>
        <v>0</v>
      </c>
      <c r="J58" s="236">
        <f t="shared" si="6"/>
        <v>0</v>
      </c>
      <c r="K58" s="229"/>
      <c r="M58" s="230" t="str">
        <f>+IFERROR(VLOOKUP(K58,Passivo_Tipologie!$E$5:$G$28,3,FALSE),"")</f>
        <v/>
      </c>
    </row>
    <row r="59" outlineLevel="1" ht="14.5">
      <c r="A59" s="233" t="s">
        <v>1136</v>
      </c>
      <c r="B59" s="226"/>
      <c r="C59" s="224"/>
      <c r="D59" s="224"/>
      <c r="E59" s="225">
        <f t="shared" si="23"/>
        <v>0</v>
      </c>
      <c r="F59" s="224"/>
      <c r="G59" s="224"/>
      <c r="H59" s="224"/>
      <c r="I59" s="235">
        <f t="shared" si="5"/>
        <v>0</v>
      </c>
      <c r="J59" s="236">
        <f t="shared" si="6"/>
        <v>0</v>
      </c>
      <c r="K59" s="229"/>
      <c r="M59" s="230" t="str">
        <f>+IFERROR(VLOOKUP(K59,Passivo_Tipologie!$E$5:$G$28,3,FALSE),"")</f>
        <v/>
      </c>
    </row>
    <row r="60" outlineLevel="1" ht="14.5">
      <c r="A60" s="233" t="s">
        <v>1137</v>
      </c>
      <c r="B60" s="226"/>
      <c r="C60" s="224"/>
      <c r="D60" s="224"/>
      <c r="E60" s="225">
        <f t="shared" ref="E60:E64" si="24">+C60+D60</f>
        <v>0</v>
      </c>
      <c r="F60" s="224"/>
      <c r="G60" s="224"/>
      <c r="H60" s="224"/>
      <c r="I60" s="235">
        <f t="shared" si="5"/>
        <v>0</v>
      </c>
      <c r="J60" s="236">
        <f t="shared" si="6"/>
        <v>0</v>
      </c>
      <c r="K60" s="229"/>
      <c r="M60" s="230" t="str">
        <f>+IFERROR(VLOOKUP(K60,Passivo_Tipologie!$E$5:$G$28,3,FALSE),"")</f>
        <v/>
      </c>
    </row>
    <row r="61" outlineLevel="1" ht="14.5">
      <c r="A61" s="233" t="s">
        <v>1138</v>
      </c>
      <c r="B61" s="226"/>
      <c r="C61" s="224"/>
      <c r="D61" s="224"/>
      <c r="E61" s="225">
        <f t="shared" si="24"/>
        <v>0</v>
      </c>
      <c r="F61" s="224"/>
      <c r="G61" s="224"/>
      <c r="H61" s="224"/>
      <c r="I61" s="235">
        <f t="shared" si="5"/>
        <v>0</v>
      </c>
      <c r="J61" s="236">
        <f t="shared" si="6"/>
        <v>0</v>
      </c>
      <c r="K61" s="229"/>
      <c r="M61" s="230" t="str">
        <f>+IFERROR(VLOOKUP(K61,Passivo_Tipologie!$E$5:$G$28,3,FALSE),"")</f>
        <v/>
      </c>
    </row>
    <row r="62" outlineLevel="1" ht="14.5">
      <c r="A62" s="233" t="s">
        <v>1139</v>
      </c>
      <c r="B62" s="226"/>
      <c r="C62" s="224"/>
      <c r="D62" s="224"/>
      <c r="E62" s="225">
        <f t="shared" si="24"/>
        <v>0</v>
      </c>
      <c r="F62" s="224"/>
      <c r="G62" s="224"/>
      <c r="H62" s="224"/>
      <c r="I62" s="235">
        <f t="shared" si="5"/>
        <v>0</v>
      </c>
      <c r="J62" s="236">
        <f t="shared" si="6"/>
        <v>0</v>
      </c>
      <c r="K62" s="229"/>
      <c r="M62" s="230" t="str">
        <f>+IFERROR(VLOOKUP(K62,Passivo_Tipologie!$E$5:$G$28,3,FALSE),"")</f>
        <v/>
      </c>
    </row>
    <row r="63" outlineLevel="1" ht="14.5">
      <c r="A63" s="233" t="s">
        <v>1140</v>
      </c>
      <c r="B63" s="226"/>
      <c r="C63" s="224"/>
      <c r="D63" s="224"/>
      <c r="E63" s="225">
        <f t="shared" si="24"/>
        <v>0</v>
      </c>
      <c r="F63" s="224"/>
      <c r="G63" s="224"/>
      <c r="H63" s="224"/>
      <c r="I63" s="235">
        <f t="shared" si="5"/>
        <v>0</v>
      </c>
      <c r="J63" s="236">
        <f t="shared" si="6"/>
        <v>0</v>
      </c>
      <c r="K63" s="229"/>
      <c r="M63" s="230" t="str">
        <f>+IFERROR(VLOOKUP(K63,Passivo_Tipologie!$E$5:$G$28,3,FALSE),"")</f>
        <v/>
      </c>
    </row>
    <row r="64" outlineLevel="1" ht="14.5">
      <c r="A64" s="233" t="s">
        <v>1141</v>
      </c>
      <c r="B64" s="226"/>
      <c r="C64" s="224"/>
      <c r="D64" s="224"/>
      <c r="E64" s="225">
        <f t="shared" si="24"/>
        <v>0</v>
      </c>
      <c r="F64" s="224"/>
      <c r="G64" s="224"/>
      <c r="H64" s="224"/>
      <c r="I64" s="235">
        <f t="shared" si="5"/>
        <v>0</v>
      </c>
      <c r="J64" s="236">
        <f t="shared" si="6"/>
        <v>0</v>
      </c>
      <c r="K64" s="229"/>
      <c r="M64" s="230" t="str">
        <f>+IFERROR(VLOOKUP(K64,Passivo_Tipologie!$E$5:$G$28,3,FALSE),"")</f>
        <v/>
      </c>
    </row>
    <row r="65" ht="14.5">
      <c r="A65" s="172" t="s">
        <v>765</v>
      </c>
      <c r="B65" s="172">
        <f>-SUMIF(Raccordo!G:G,$A65,Raccordo!J:J)</f>
        <v>0</v>
      </c>
      <c r="C65" s="172">
        <f t="shared" ref="C65:J65" si="25">+SUM(C66:C70)</f>
        <v>0</v>
      </c>
      <c r="D65" s="172">
        <f t="shared" si="25"/>
        <v>0</v>
      </c>
      <c r="E65" s="172">
        <f t="shared" si="25"/>
        <v>0</v>
      </c>
      <c r="F65" s="172">
        <f t="shared" si="25"/>
        <v>0</v>
      </c>
      <c r="G65" s="172">
        <f t="shared" si="25"/>
        <v>0</v>
      </c>
      <c r="H65" s="172">
        <f t="shared" si="25"/>
        <v>0</v>
      </c>
      <c r="I65" s="172">
        <f t="shared" si="25"/>
        <v>0</v>
      </c>
      <c r="J65" s="172">
        <f t="shared" si="25"/>
        <v>0</v>
      </c>
      <c r="K65" s="219" t="s">
        <v>1108</v>
      </c>
      <c r="M65" s="230" t="str">
        <f>+IFERROR(VLOOKUP(K65,Passivo_Tipologie!$E$5:$G$28,3,FALSE),"")</f>
        <v/>
      </c>
    </row>
    <row r="66" outlineLevel="1" ht="14.5">
      <c r="A66" s="233" t="s">
        <v>1142</v>
      </c>
      <c r="B66" s="226"/>
      <c r="C66" s="237"/>
      <c r="D66" s="237"/>
      <c r="E66" s="225">
        <f t="shared" ref="E66:E86" si="26">+C66+D66</f>
        <v>0</v>
      </c>
      <c r="F66" s="224"/>
      <c r="G66" s="224"/>
      <c r="H66" s="224"/>
      <c r="I66" s="227">
        <f t="shared" si="5"/>
        <v>0</v>
      </c>
      <c r="J66" s="228">
        <f t="shared" si="6"/>
        <v>0</v>
      </c>
      <c r="K66" s="229"/>
      <c r="M66" s="230" t="str">
        <f>+IFERROR(VLOOKUP(K66,Passivo_Tipologie!$E$5:$G$28,3,FALSE),"")</f>
        <v/>
      </c>
    </row>
    <row r="67" outlineLevel="1" ht="14.5">
      <c r="A67" s="233" t="s">
        <v>1143</v>
      </c>
      <c r="B67" s="226"/>
      <c r="C67" s="237"/>
      <c r="D67" s="237"/>
      <c r="E67" s="225">
        <f t="shared" si="26"/>
        <v>0</v>
      </c>
      <c r="F67" s="224"/>
      <c r="G67" s="224"/>
      <c r="H67" s="224"/>
      <c r="I67" s="227">
        <f t="shared" si="5"/>
        <v>0</v>
      </c>
      <c r="J67" s="228">
        <f t="shared" si="6"/>
        <v>0</v>
      </c>
      <c r="K67" s="229"/>
      <c r="M67" s="230" t="str">
        <f>+IFERROR(VLOOKUP(K67,Passivo_Tipologie!$E$5:$G$28,3,FALSE),"")</f>
        <v/>
      </c>
    </row>
    <row r="68" outlineLevel="1" ht="14.5">
      <c r="A68" s="233" t="s">
        <v>1144</v>
      </c>
      <c r="B68" s="226"/>
      <c r="C68" s="224"/>
      <c r="D68" s="224"/>
      <c r="E68" s="225">
        <f t="shared" si="26"/>
        <v>0</v>
      </c>
      <c r="F68" s="224"/>
      <c r="G68" s="224"/>
      <c r="H68" s="224"/>
      <c r="I68" s="227">
        <f t="shared" si="5"/>
        <v>0</v>
      </c>
      <c r="J68" s="228">
        <f t="shared" si="6"/>
        <v>0</v>
      </c>
      <c r="K68" s="229"/>
      <c r="M68" s="230" t="str">
        <f>+IFERROR(VLOOKUP(K68,Passivo_Tipologie!$E$5:$G$28,3,FALSE),"")</f>
        <v/>
      </c>
    </row>
    <row r="69" outlineLevel="1" ht="14.5">
      <c r="A69" s="233" t="s">
        <v>1145</v>
      </c>
      <c r="B69" s="226"/>
      <c r="C69" s="224"/>
      <c r="D69" s="224">
        <f t="shared" ref="D69" si="27">-B69</f>
        <v>0</v>
      </c>
      <c r="E69" s="225">
        <f t="shared" si="26"/>
        <v>0</v>
      </c>
      <c r="F69" s="224"/>
      <c r="G69" s="224"/>
      <c r="H69" s="224"/>
      <c r="I69" s="227">
        <f t="shared" si="5"/>
        <v>0</v>
      </c>
      <c r="J69" s="228">
        <f t="shared" si="6"/>
        <v>0</v>
      </c>
      <c r="K69" s="229"/>
      <c r="M69" s="230" t="str">
        <f>+IFERROR(VLOOKUP(K69,Passivo_Tipologie!$E$5:$G$28,3,FALSE),"")</f>
        <v/>
      </c>
    </row>
    <row r="70" outlineLevel="1" ht="14.5">
      <c r="A70" s="233" t="s">
        <v>1146</v>
      </c>
      <c r="B70" s="226"/>
      <c r="C70" s="224"/>
      <c r="D70" s="232"/>
      <c r="E70" s="225">
        <f t="shared" si="26"/>
        <v>0</v>
      </c>
      <c r="F70" s="224"/>
      <c r="G70" s="224"/>
      <c r="H70" s="224"/>
      <c r="I70" s="227">
        <f t="shared" si="5"/>
        <v>0</v>
      </c>
      <c r="J70" s="228">
        <f t="shared" si="6"/>
        <v>0</v>
      </c>
      <c r="K70" s="229"/>
      <c r="M70" s="230" t="str">
        <f>+IFERROR(VLOOKUP(K70,Passivo_Tipologie!$E$5:$G$28,3,FALSE),"")</f>
        <v/>
      </c>
    </row>
    <row r="71" ht="14.5">
      <c r="A71" s="172" t="s">
        <v>745</v>
      </c>
      <c r="B71" s="172">
        <f>-SUMIF(Raccordo!G:G,$A71,Raccordo!J:J)</f>
        <v>0</v>
      </c>
      <c r="C71" s="172">
        <f t="shared" ref="C71:I71" si="28">SUM(C72:C77)</f>
        <v>0</v>
      </c>
      <c r="D71" s="172">
        <f t="shared" si="28"/>
        <v>0</v>
      </c>
      <c r="E71" s="172">
        <f t="shared" si="28"/>
        <v>0</v>
      </c>
      <c r="F71" s="172">
        <f t="shared" si="28"/>
        <v>0</v>
      </c>
      <c r="G71" s="172">
        <f t="shared" si="28"/>
        <v>0</v>
      </c>
      <c r="H71" s="172">
        <f t="shared" si="28"/>
        <v>0</v>
      </c>
      <c r="I71" s="172">
        <f t="shared" si="28"/>
        <v>0</v>
      </c>
      <c r="J71" s="172">
        <f>SUM(J72:J77)</f>
        <v>0</v>
      </c>
      <c r="K71" s="219" t="s">
        <v>1108</v>
      </c>
      <c r="M71" s="230" t="str">
        <f>+IFERROR(VLOOKUP(K71,Passivo_Tipologie!$E$5:$G$28,3,FALSE),"")</f>
        <v/>
      </c>
    </row>
    <row r="72" outlineLevel="1" ht="14.5">
      <c r="A72" s="238" t="s">
        <v>1147</v>
      </c>
      <c r="B72" s="226"/>
      <c r="E72" s="225">
        <f t="shared" si="26"/>
        <v>0</v>
      </c>
      <c r="F72" s="176"/>
      <c r="I72" s="227">
        <f>+E72+F72+G72+H72</f>
        <v>0</v>
      </c>
      <c r="J72" s="228">
        <f t="shared" si="6"/>
        <v>0</v>
      </c>
      <c r="K72" s="229"/>
      <c r="M72" s="230" t="str">
        <f>+IFERROR(VLOOKUP(K72,Passivo_Tipologie!$E$5:$G$28,3,FALSE),"")</f>
        <v/>
      </c>
    </row>
    <row r="73" outlineLevel="1" ht="14.5">
      <c r="A73" s="238" t="s">
        <v>1148</v>
      </c>
      <c r="B73" s="226"/>
      <c r="E73" s="225">
        <f t="shared" si="26"/>
        <v>0</v>
      </c>
      <c r="F73" s="176"/>
      <c r="I73" s="227">
        <f t="shared" si="5"/>
        <v>0</v>
      </c>
      <c r="J73" s="228">
        <f t="shared" si="6"/>
        <v>0</v>
      </c>
      <c r="K73" s="229"/>
      <c r="M73" s="230" t="str">
        <f>+IFERROR(VLOOKUP(K73,Passivo_Tipologie!$E$5:$G$28,3,FALSE),"")</f>
        <v/>
      </c>
    </row>
    <row r="74" outlineLevel="1" ht="14.5">
      <c r="A74" s="238" t="s">
        <v>1149</v>
      </c>
      <c r="B74" s="226"/>
      <c r="E74" s="225">
        <f t="shared" si="26"/>
        <v>0</v>
      </c>
      <c r="F74" s="176"/>
      <c r="I74" s="227">
        <f t="shared" si="5"/>
        <v>0</v>
      </c>
      <c r="J74" s="228">
        <f t="shared" si="6"/>
        <v>0</v>
      </c>
      <c r="K74" s="229"/>
      <c r="M74" s="230" t="str">
        <f>+IFERROR(VLOOKUP(K74,Passivo_Tipologie!$E$5:$G$28,3,FALSE),"")</f>
        <v/>
      </c>
    </row>
    <row r="75" outlineLevel="1" ht="14.5">
      <c r="A75" s="238" t="s">
        <v>1150</v>
      </c>
      <c r="B75" s="226"/>
      <c r="E75" s="225">
        <f t="shared" si="26"/>
        <v>0</v>
      </c>
      <c r="F75" s="176"/>
      <c r="I75" s="227">
        <f t="shared" ref="I75:I77" si="29">+E75+F75+G75+H75</f>
        <v>0</v>
      </c>
      <c r="J75" s="228">
        <f t="shared" ref="J75:J77" si="30">+B75+I75</f>
        <v>0</v>
      </c>
      <c r="K75" s="229"/>
      <c r="M75" s="230" t="str">
        <f>+IFERROR(VLOOKUP(K75,Passivo_Tipologie!$E$5:$G$28,3,FALSE),"")</f>
        <v/>
      </c>
    </row>
    <row r="76" outlineLevel="1" ht="14.5">
      <c r="A76" s="238" t="s">
        <v>1151</v>
      </c>
      <c r="B76" s="226"/>
      <c r="E76" s="225">
        <f t="shared" si="26"/>
        <v>0</v>
      </c>
      <c r="F76" s="176"/>
      <c r="I76" s="227">
        <f>+E76+F76+G76+H76</f>
        <v>0</v>
      </c>
      <c r="J76" s="228">
        <f t="shared" si="30"/>
        <v>0</v>
      </c>
      <c r="K76" s="229"/>
      <c r="M76" s="230" t="str">
        <f>+IFERROR(VLOOKUP(K76,Passivo_Tipologie!$E$5:$G$28,3,FALSE),"")</f>
        <v/>
      </c>
    </row>
    <row r="77" outlineLevel="1" ht="15.5">
      <c r="A77" s="239" t="s">
        <v>1152</v>
      </c>
      <c r="B77" s="226"/>
      <c r="E77" s="225">
        <f t="shared" si="26"/>
        <v>0</v>
      </c>
      <c r="F77" s="176"/>
      <c r="I77" s="227">
        <f t="shared" si="29"/>
        <v>0</v>
      </c>
      <c r="J77" s="228">
        <f t="shared" si="30"/>
        <v>0</v>
      </c>
      <c r="K77" s="229"/>
      <c r="M77" s="230" t="str">
        <f>+IFERROR(VLOOKUP(K77,Passivo_Tipologie!$E$5:$G$28,3,FALSE),"")</f>
        <v/>
      </c>
    </row>
    <row r="78" ht="14.5">
      <c r="A78" s="172" t="s">
        <v>749</v>
      </c>
      <c r="B78" s="172">
        <f>-SUMIF(Raccordo!G:G,$A78,Raccordo!J:J)</f>
        <v>0</v>
      </c>
      <c r="C78" s="172">
        <f t="shared" ref="C78:I78" si="31">+SUM(C79:C80)</f>
        <v>0</v>
      </c>
      <c r="D78" s="172">
        <f t="shared" si="31"/>
        <v>0</v>
      </c>
      <c r="E78" s="172">
        <f t="shared" si="31"/>
        <v>0</v>
      </c>
      <c r="F78" s="172">
        <f t="shared" si="31"/>
        <v>0</v>
      </c>
      <c r="G78" s="172">
        <f t="shared" si="31"/>
        <v>0</v>
      </c>
      <c r="H78" s="172">
        <f t="shared" si="31"/>
        <v>0</v>
      </c>
      <c r="I78" s="172">
        <f t="shared" si="31"/>
        <v>0</v>
      </c>
      <c r="J78" s="172">
        <f>+SUM(J79:J80)</f>
        <v>0</v>
      </c>
      <c r="K78" s="219" t="s">
        <v>1108</v>
      </c>
      <c r="M78" s="230" t="str">
        <f>+IFERROR(VLOOKUP(K78,Passivo_Tipologie!$E$5:$G$28,3,FALSE),"")</f>
        <v/>
      </c>
    </row>
    <row r="79" outlineLevel="1" ht="14.5">
      <c r="A79" s="238"/>
      <c r="B79" s="177"/>
      <c r="E79" s="225">
        <f t="shared" si="26"/>
        <v>0</v>
      </c>
      <c r="F79" s="176"/>
      <c r="I79" s="227">
        <f t="shared" ref="I79:I80" si="32">+E79+F79+G79+H79</f>
        <v>0</v>
      </c>
      <c r="J79" s="228">
        <f t="shared" ref="J79:J80" si="33">+B79+I79</f>
        <v>0</v>
      </c>
      <c r="K79" s="229"/>
      <c r="M79" s="230" t="str">
        <f>+IFERROR(VLOOKUP(K79,Passivo_Tipologie!$E$5:$G$28,3,FALSE),"")</f>
        <v/>
      </c>
    </row>
    <row r="80" outlineLevel="1" ht="14.5">
      <c r="A80" s="238"/>
      <c r="B80" s="176"/>
      <c r="E80" s="225">
        <f t="shared" si="26"/>
        <v>0</v>
      </c>
      <c r="F80" s="176"/>
      <c r="I80" s="227">
        <f t="shared" si="32"/>
        <v>0</v>
      </c>
      <c r="J80" s="228">
        <f t="shared" si="33"/>
        <v>0</v>
      </c>
      <c r="K80" s="229"/>
      <c r="M80" s="230" t="str">
        <f>+IFERROR(VLOOKUP(K80,Passivo_Tipologie!$E$5:$G$28,3,FALSE),"")</f>
        <v/>
      </c>
    </row>
    <row r="81" ht="14.5">
      <c r="A81" s="172" t="s">
        <v>857</v>
      </c>
      <c r="B81" s="172">
        <f>B82+B83</f>
        <v>0</v>
      </c>
      <c r="C81" s="172">
        <f t="shared" ref="C81" si="34">+SUM(C82:C83)</f>
        <v>0</v>
      </c>
      <c r="D81" s="172">
        <f t="shared" ref="D81" si="35">+SUM(D82:D83)</f>
        <v>0</v>
      </c>
      <c r="E81" s="172">
        <f t="shared" ref="E81" si="36">+SUM(E82:E83)</f>
        <v>0</v>
      </c>
      <c r="F81" s="172">
        <f t="shared" ref="F81" si="37">+SUM(F82:F83)</f>
        <v>0</v>
      </c>
      <c r="G81" s="172">
        <f t="shared" ref="G81" si="38">+SUM(G82:G83)</f>
        <v>0</v>
      </c>
      <c r="H81" s="172">
        <f t="shared" ref="H81" si="39">+SUM(H82:H83)</f>
        <v>0</v>
      </c>
      <c r="I81" s="172">
        <f t="shared" ref="I81" si="40">+SUM(I82:I83)</f>
        <v>0</v>
      </c>
      <c r="J81" s="172">
        <f>+SUM(J82:J83)</f>
        <v>0</v>
      </c>
      <c r="K81" s="219" t="s">
        <v>1108</v>
      </c>
      <c r="M81" s="230" t="str">
        <f>+IFERROR(VLOOKUP(K81,Passivo_Tipologie!$E$5:$G$28,3,FALSE),"")</f>
        <v/>
      </c>
    </row>
    <row r="82" outlineLevel="1" ht="14.5">
      <c r="A82" s="238" t="s">
        <v>747</v>
      </c>
      <c r="B82" s="234">
        <f>-SUMIF(Raccordo!G:G,$A82,Raccordo!J:J)</f>
        <v>0</v>
      </c>
      <c r="C82" s="224"/>
      <c r="D82" s="224"/>
      <c r="E82" s="225">
        <f t="shared" si="26"/>
        <v>0</v>
      </c>
      <c r="I82" s="227">
        <f t="shared" ref="I82:I83" si="41">+E82+F82+G82+H82</f>
        <v>0</v>
      </c>
      <c r="J82" s="228">
        <f>+B82+I82</f>
        <v>0</v>
      </c>
      <c r="K82" s="229"/>
      <c r="M82" s="230" t="str">
        <f>+IFERROR(VLOOKUP(K82,Passivo_Tipologie!$E$5:$G$28,3,FALSE),"")</f>
        <v/>
      </c>
    </row>
    <row r="83" outlineLevel="1" ht="14.5">
      <c r="A83" s="238" t="s">
        <v>746</v>
      </c>
      <c r="B83" s="234">
        <f>-SUMIF(Raccordo!G:G,$A83,Raccordo!J:J)</f>
        <v>0</v>
      </c>
      <c r="C83" s="224"/>
      <c r="D83" s="224"/>
      <c r="E83" s="225">
        <f t="shared" si="26"/>
        <v>0</v>
      </c>
      <c r="I83" s="227">
        <f t="shared" si="41"/>
        <v>0</v>
      </c>
      <c r="J83" s="228">
        <f>+B83+I83</f>
        <v>0</v>
      </c>
      <c r="K83" s="229"/>
      <c r="M83" s="230" t="str">
        <f>+IFERROR(VLOOKUP(K83,Passivo_Tipologie!$E$5:$G$28,3,FALSE),"")</f>
        <v/>
      </c>
    </row>
    <row r="84" ht="14.5">
      <c r="A84" s="172" t="s">
        <v>858</v>
      </c>
      <c r="B84" s="172">
        <f>-SUMIF(Raccordo!G:G,$A84,Raccordo!H:H)</f>
        <v>0</v>
      </c>
      <c r="C84" s="172">
        <f t="shared" ref="C84" si="42">+SUM(C85:C86)</f>
        <v>0</v>
      </c>
      <c r="D84" s="172">
        <f t="shared" ref="D84" si="43">+SUM(D85:D86)</f>
        <v>0</v>
      </c>
      <c r="E84" s="172">
        <f t="shared" ref="E84" si="44">+SUM(E85:E86)</f>
        <v>0</v>
      </c>
      <c r="F84" s="172">
        <f t="shared" ref="F84" si="45">+SUM(F85:F86)</f>
        <v>0</v>
      </c>
      <c r="G84" s="172">
        <f t="shared" ref="G84" si="46">+SUM(G85:G86)</f>
        <v>0</v>
      </c>
      <c r="H84" s="172">
        <f t="shared" ref="H84" si="47">+SUM(H85:H86)</f>
        <v>0</v>
      </c>
      <c r="I84" s="172">
        <f t="shared" ref="I84" si="48">+SUM(I85:I86)</f>
        <v>0</v>
      </c>
      <c r="J84" s="172">
        <f>+SUM(J85:J86)</f>
        <v>0</v>
      </c>
      <c r="K84" s="219" t="s">
        <v>1108</v>
      </c>
      <c r="M84" s="230" t="str">
        <f>+IFERROR(VLOOKUP(K84,Passivo_Tipologie!$E$5:$G$28,3,FALSE),"")</f>
        <v/>
      </c>
    </row>
    <row r="85" outlineLevel="1" ht="14.5">
      <c r="A85" s="238"/>
      <c r="B85" s="226"/>
      <c r="E85" s="225">
        <f t="shared" si="26"/>
        <v>0</v>
      </c>
      <c r="I85" s="227">
        <f>+E85+F85+G85+H85</f>
        <v>0</v>
      </c>
      <c r="J85" s="228">
        <f t="shared" ref="J85:J86" si="49">+B85+I85</f>
        <v>0</v>
      </c>
      <c r="K85" s="229"/>
      <c r="M85" s="230" t="str">
        <f>+IFERROR(VLOOKUP(K85,Passivo_Tipologie!$E$5:$G$28,3,FALSE),"")</f>
        <v/>
      </c>
    </row>
    <row r="86" outlineLevel="1" ht="14.5">
      <c r="A86" s="238"/>
      <c r="B86" s="226"/>
      <c r="E86" s="225">
        <f t="shared" si="26"/>
        <v>0</v>
      </c>
      <c r="I86" s="227">
        <f t="shared" ref="I86" si="50">+E86+F86+G86+H86</f>
        <v>0</v>
      </c>
      <c r="J86" s="228">
        <f t="shared" si="49"/>
        <v>0</v>
      </c>
      <c r="K86" s="229"/>
      <c r="M86" s="230" t="str">
        <f>+IFERROR(VLOOKUP(K86,Passivo_Tipologie!$E$5:$G$28,3,FALSE),"")</f>
        <v/>
      </c>
    </row>
    <row r="87" ht="14.5">
      <c r="A87" s="172" t="s">
        <v>859</v>
      </c>
      <c r="B87" s="172">
        <f>SUM(B88:B94)</f>
        <v>0</v>
      </c>
      <c r="C87" s="172"/>
      <c r="D87" s="172"/>
      <c r="E87" s="172"/>
      <c r="F87" s="172"/>
      <c r="G87" s="172"/>
      <c r="H87" s="172"/>
      <c r="I87" s="172"/>
      <c r="J87" s="172">
        <f>+SUM(J88:J95)</f>
        <v>0</v>
      </c>
      <c r="K87" s="172"/>
      <c r="M87" s="230" t="str">
        <f>+IFERROR(VLOOKUP(K87,Passivo_Tipologie!$E$5:$G$28,3,FALSE),"")</f>
        <v/>
      </c>
    </row>
    <row r="88" outlineLevel="1" ht="14.5">
      <c r="A88" s="231" t="s">
        <v>751</v>
      </c>
      <c r="B88" s="234">
        <f>-SUMIF(Raccordo!G:G,$A88,Raccordo!J:J)</f>
        <v>0</v>
      </c>
      <c r="J88" s="228">
        <f>+B88</f>
        <v>0</v>
      </c>
      <c r="K88" s="229"/>
      <c r="M88" s="230" t="str">
        <f>+IFERROR(VLOOKUP(K88,Passivo_Tipologie!$E$5:$G$28,3,FALSE),"")</f>
        <v/>
      </c>
    </row>
    <row r="89" outlineLevel="1" ht="14.5">
      <c r="A89" s="231" t="s">
        <v>750</v>
      </c>
      <c r="B89" s="234">
        <f>-SUMIF(Raccordo!G:G,$A89,Raccordo!J:J)</f>
        <v>0</v>
      </c>
      <c r="J89" s="228">
        <f t="shared" ref="J89:J95" si="51">+B89</f>
        <v>0</v>
      </c>
      <c r="K89" s="229"/>
      <c r="M89" s="230" t="str">
        <f>+IFERROR(VLOOKUP(K89,Passivo_Tipologie!$E$5:$G$28,3,FALSE),"")</f>
        <v/>
      </c>
    </row>
    <row r="90" outlineLevel="1" ht="14.5">
      <c r="A90" s="231" t="s">
        <v>754</v>
      </c>
      <c r="B90" s="234">
        <f>-SUMIF(Raccordo!G:G,$A90,Raccordo!J:J)</f>
        <v>0</v>
      </c>
      <c r="J90" s="228">
        <f t="shared" si="51"/>
        <v>0</v>
      </c>
      <c r="K90" s="229"/>
      <c r="M90" s="230" t="str">
        <f>+IFERROR(VLOOKUP(K90,Passivo_Tipologie!$E$5:$G$28,3,FALSE),"")</f>
        <v/>
      </c>
    </row>
    <row r="91" outlineLevel="1" ht="14.5">
      <c r="A91" s="231" t="s">
        <v>753</v>
      </c>
      <c r="B91" s="234">
        <f>-SUMIF(Raccordo!G:G,$A91,Raccordo!J:J)</f>
        <v>0</v>
      </c>
      <c r="J91" s="228">
        <f t="shared" si="51"/>
        <v>0</v>
      </c>
      <c r="K91" s="229"/>
      <c r="M91" s="230" t="str">
        <f>+IFERROR(VLOOKUP(K91,Passivo_Tipologie!$E$5:$G$28,3,FALSE),"")</f>
        <v/>
      </c>
    </row>
    <row r="92" outlineLevel="1" ht="14.5">
      <c r="A92" s="231" t="s">
        <v>752</v>
      </c>
      <c r="B92" s="234">
        <f>-SUMIF(Raccordo!G:G,$A92,Raccordo!J:J)</f>
        <v>0</v>
      </c>
      <c r="D92" s="228"/>
      <c r="J92" s="228">
        <f t="shared" si="51"/>
        <v>0</v>
      </c>
      <c r="K92" s="229"/>
      <c r="M92" s="230" t="str">
        <f>+IFERROR(VLOOKUP(K92,Passivo_Tipologie!$E$5:$G$28,3,FALSE),"")</f>
        <v/>
      </c>
    </row>
    <row r="93" outlineLevel="1" ht="14.5">
      <c r="A93" s="231" t="s">
        <v>755</v>
      </c>
      <c r="B93" s="234">
        <f>-SUMIF(Raccordo!G:G,$A93,Raccordo!J:J)</f>
        <v>0</v>
      </c>
      <c r="J93" s="228">
        <f t="shared" si="51"/>
        <v>0</v>
      </c>
      <c r="K93" s="229"/>
      <c r="M93" s="230" t="str">
        <f>+IFERROR(VLOOKUP(K93,Passivo_Tipologie!$E$5:$G$28,3,FALSE),"")</f>
        <v/>
      </c>
    </row>
    <row r="94" outlineLevel="1" ht="14.5">
      <c r="A94" s="231" t="s">
        <v>1153</v>
      </c>
      <c r="B94" s="234">
        <f>SUM('SW_SP_REP-01'!T4:T200)</f>
        <v>0</v>
      </c>
      <c r="J94" s="228">
        <f t="shared" si="51"/>
        <v>0</v>
      </c>
      <c r="K94" s="229"/>
      <c r="M94" s="230" t="str">
        <f>+IFERROR(VLOOKUP(K94,Passivo_Tipologie!$E$5:$G$28,3,FALSE),"")</f>
        <v/>
      </c>
    </row>
    <row r="95" outlineLevel="1" ht="14.5">
      <c r="A95" s="240"/>
      <c r="B95" s="176"/>
      <c r="J95" s="228">
        <f t="shared" si="51"/>
        <v>0</v>
      </c>
      <c r="K95" s="229"/>
      <c r="M95" s="230" t="str">
        <f>+IFERROR(VLOOKUP(K95,Passivo_Tipologie!$E$5:$G$28,3,FALSE),"")</f>
        <v/>
      </c>
    </row>
    <row r="96" ht="14.5">
      <c r="A96" s="241" t="s">
        <v>987</v>
      </c>
      <c r="B96" s="242">
        <f>+B6+B18+B26+B31+B36+B41+B46+B51+B56+B65+B71+B87+B78+B81+B84</f>
        <v>0</v>
      </c>
      <c r="C96" s="242">
        <f>+C6+C18+C26+C31+C36+C41+C46+C51+C56+C65+C71+C87+C78+C81+C84</f>
        <v>0</v>
      </c>
      <c r="D96" s="242">
        <f t="shared" ref="D96:E96" si="52">+D6+D18+D26+D31+D36+D41+D46+D51+D56+D65+D71+D87+D78+D81+D84</f>
        <v>0</v>
      </c>
      <c r="E96" s="242">
        <f t="shared" si="52"/>
        <v>0</v>
      </c>
      <c r="F96" s="242">
        <f t="shared" ref="F96:I96" si="53">+F6+F18+F26+F31+F36+F41+F46+F51+F56+F65+F71+F87+F78+F81+F84</f>
        <v>0</v>
      </c>
      <c r="G96" s="242">
        <f t="shared" si="53"/>
        <v>0</v>
      </c>
      <c r="H96" s="242">
        <f t="shared" si="53"/>
        <v>0</v>
      </c>
      <c r="I96" s="242">
        <f t="shared" si="53"/>
        <v>0</v>
      </c>
      <c r="J96" s="242">
        <f>+J6+J18+J26+J31+J36+J41+J46+J51+J56+J65+J71+J78+J81+J84</f>
        <v>0</v>
      </c>
      <c r="K96" s="242"/>
    </row>
    <row r="99" ht="14.5">
      <c r="A99" s="243" t="s">
        <v>1154</v>
      </c>
      <c r="B99" s="244">
        <f>Attivo!B122-Passivo!B96</f>
        <v>0</v>
      </c>
    </row>
    <row r="101" ht="14.5">
      <c r="B101" s="245"/>
    </row>
    <row r="102" ht="14.5">
      <c r="B102" s="245"/>
    </row>
    <row r="103" ht="14.5">
      <c r="K103" s="94" t="str">
        <f>+Passivo_Tipologie!E5</f>
        <v>0_1_Non Aderente Scaduto _ XXX</v>
      </c>
    </row>
    <row r="104" ht="14.5">
      <c r="K104" s="94" t="str">
        <f>+Passivo_Tipologie!E6</f>
        <v>0_2_Non Aderente Scaduto _ YYY</v>
      </c>
    </row>
    <row r="105" ht="14.5">
      <c r="K105" s="94" t="str">
        <f>+Passivo_Tipologie!E7</f>
        <v>0_3_Non Aderente Scaduto _ ZZZ</v>
      </c>
    </row>
    <row r="106" ht="14.5">
      <c r="K106" s="94" t="str">
        <f>+Passivo_Tipologie!E8</f>
        <v>0_4_Non Aderente Scaduto _ ZZZ</v>
      </c>
    </row>
    <row r="107" ht="14.5">
      <c r="K107" s="94" t="str">
        <f>+Passivo_Tipologie!E9</f>
        <v>0_5_Non Aderente Scaduto _ ZZZ</v>
      </c>
    </row>
    <row r="108" ht="14.5">
      <c r="K108" s="94" t="str">
        <f>+Passivo_Tipologie!E10</f>
        <v>0_6_Non Aderente non Scaduto _ ZZZ</v>
      </c>
    </row>
    <row r="109" ht="14.5">
      <c r="K109" s="94" t="str">
        <f>+Passivo_Tipologie!E11</f>
        <v>0_7_Non Aderente non Scaduto _ ZZZ</v>
      </c>
    </row>
    <row r="110" ht="14.5">
      <c r="K110" s="94" t="str">
        <f>+Passivo_Tipologie!E12</f>
        <v>0_8_Non Aderente non Scaduto _ ZZZ</v>
      </c>
    </row>
    <row r="111" ht="14.5">
      <c r="K111" s="94" t="str">
        <f>+Passivo_Tipologie!E13</f>
        <v>0_9_Non Aderente non Scaduto _ ZZZ</v>
      </c>
    </row>
    <row r="112" ht="14.5">
      <c r="K112" s="94" t="str">
        <f>+Passivo_Tipologie!E14</f>
        <v>0_10_Non Aderente non Scaduto _ ZZZ</v>
      </c>
    </row>
    <row r="113" ht="14.5">
      <c r="K113" s="94" t="str">
        <f>+Passivo_Tipologie!E19</f>
        <v>0_1_Aderenti _ Accollato</v>
      </c>
    </row>
    <row r="114" ht="14.5">
      <c r="K114" s="94" t="str">
        <f>+Passivo_Tipologie!E20</f>
        <v xml:space="preserve">0_2_Aderenti _ </v>
      </c>
    </row>
    <row r="115" ht="14.5">
      <c r="K115" s="94" t="str">
        <f>+Passivo_Tipologie!E21</f>
        <v xml:space="preserve">0_3_Aderenti _ </v>
      </c>
    </row>
    <row r="116" ht="14.5">
      <c r="K116" s="94" t="str">
        <f>+Passivo_Tipologie!E22</f>
        <v xml:space="preserve">0_4_Aderenti _ </v>
      </c>
    </row>
    <row r="117" ht="14.5">
      <c r="K117" s="94" t="str">
        <f>+Passivo_Tipologie!E23</f>
        <v xml:space="preserve">0_5_Aderenti _ </v>
      </c>
    </row>
    <row r="118" ht="14.5">
      <c r="K118" s="94" t="str">
        <f>+Passivo_Tipologie!E24</f>
        <v xml:space="preserve">0_6_Aderenti _ </v>
      </c>
    </row>
    <row r="119" ht="14.5">
      <c r="K119" s="94" t="str">
        <f>+Passivo_Tipologie!E25</f>
        <v xml:space="preserve">0_7_Aderenti _ </v>
      </c>
    </row>
    <row r="120" ht="14.5">
      <c r="K120" s="94" t="str">
        <f>+Passivo_Tipologie!E26</f>
        <v xml:space="preserve">0_8_Aderenti _ </v>
      </c>
    </row>
    <row r="121" ht="14.5">
      <c r="K121" s="94" t="str">
        <f>+Passivo_Tipologie!E27</f>
        <v xml:space="preserve">0_9_Aderenti _ </v>
      </c>
    </row>
    <row r="122" ht="14.5">
      <c r="K122" s="94" t="str">
        <f>+Passivo_Tipologie!E28</f>
        <v xml:space="preserve">0_10_Aderenti _ </v>
      </c>
    </row>
  </sheetData>
  <mergeCells count="1">
    <mergeCell ref="A2:A3"/>
  </mergeCells>
  <dataValidations count="1">
    <dataValidation type="list" allowBlank="1" showInputMessage="1" showErrorMessage="1" sqref="K85:K86 K7:K17 K79:K80 K27:K30 K32:K35 K37:K40 K47:K50 K42:K45 K52:K55 K66:K70 K57:K64 K19:K25 K82:K83 K72:K77">
      <formula1>$K$103:$K$122</formula1>
    </dataValidation>
  </dataValidations>
  <hyperlinks>
    <hyperlink ref="A1" location="Input!A1" display="MENU"/>
    <hyperlink ref="B1" location="Raccordo!A1" display="Dettaglio Passivo"/>
  </hyperlinks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Passivo_Tipologie!#REF!</xm:f>
          </x14:formula1>
          <xm:sqref>K88:K95</xm:sqref>
        </x14:dataValidation>
        <x14:dataValidation type="list" allowBlank="1" showInputMessage="1" showErrorMessage="1">
          <x14:formula1>
            <xm:f>'Gestione e Proposta concordatar'!$B$29:$B$56</xm:f>
          </x14:formula1>
          <xm:sqref>K88:K95</xm:sqref>
        </x14:dataValidation>
      </x14:dataValidations>
    </ext>
  </extLst>
</worksheet>
</file>

<file path=xl/worksheets/sheet29.xml><?xml version="1.0" encoding="utf-8"?>
<worksheet xmlns:r="http://schemas.openxmlformats.org/officeDocument/2006/relationships" xmlns="http://schemas.openxmlformats.org/spreadsheetml/2006/main">
  <sheetViews>
    <sheetView tabSelected="1" showGridLines="0" zoomScaleNormal="100" workbookViewId="0" topLeftCell="A26">
      <selection activeCell="J61" sqref="J61"/>
    </sheetView>
  </sheetViews>
  <sheetFormatPr defaultColWidth="43.42578" defaultRowHeight="15" outlineLevelCol="1"/>
  <cols>
    <col min="1" max="1" width="18.42578" bestFit="1" customWidth="1"/>
    <col min="2" max="2" width="42.14063" bestFit="1" customWidth="1"/>
    <col min="3" max="3" width="22.42578" customWidth="1" outlineLevel="1"/>
    <col min="4" max="5" width="14.14063" customWidth="1" outlineLevel="1"/>
    <col min="6" max="6" width="13.14063" customWidth="1" outlineLevel="1"/>
    <col min="7" max="7" width="21.57031" customWidth="1" outlineLevel="1"/>
    <col min="8" max="8" width="14.42578" bestFit="1" customWidth="1"/>
    <col min="9" max="9" width="45.42578" bestFit="1" customWidth="1"/>
    <col min="10" max="11" width="13.42578" bestFit="1" customWidth="1"/>
    <col min="12" max="12" width="13.85547" bestFit="1" customWidth="1"/>
    <col min="13" max="14" width="13.42578" bestFit="1" customWidth="1"/>
    <col min="15" max="129" width="15" bestFit="1" customWidth="1"/>
  </cols>
  <sheetData>
    <row r="1" ht="14.5">
      <c r="A1" s="122" t="s">
        <v>38</v>
      </c>
      <c r="B1" s="134" t="s">
        <v>1155</v>
      </c>
      <c r="H1" s="12"/>
      <c r="I1" s="15" t="s">
        <v>1156</v>
      </c>
      <c r="J1" s="12">
        <v>1</v>
      </c>
      <c r="K1" s="12">
        <v>1</v>
      </c>
      <c r="L1" s="12">
        <v>1</v>
      </c>
      <c r="M1" s="12">
        <v>1</v>
      </c>
      <c r="N1" s="12">
        <v>1</v>
      </c>
      <c r="O1" s="12">
        <v>1</v>
      </c>
      <c r="P1" s="12">
        <v>1</v>
      </c>
      <c r="Q1" s="12">
        <v>1</v>
      </c>
      <c r="R1" s="12">
        <v>1</v>
      </c>
      <c r="S1" s="12">
        <v>1</v>
      </c>
      <c r="T1" s="12">
        <v>1</v>
      </c>
      <c r="U1" s="12">
        <v>1</v>
      </c>
      <c r="V1" s="12">
        <f>+J1+1</f>
        <v>2</v>
      </c>
      <c r="W1" s="12">
        <f t="shared" ref="W1:CH1" si="0">+K1+1</f>
        <v>2</v>
      </c>
      <c r="X1" s="12">
        <f t="shared" si="0"/>
        <v>2</v>
      </c>
      <c r="Y1" s="12">
        <f t="shared" si="0"/>
        <v>2</v>
      </c>
      <c r="Z1" s="12">
        <f t="shared" si="0"/>
        <v>2</v>
      </c>
      <c r="AA1" s="12">
        <f t="shared" si="0"/>
        <v>2</v>
      </c>
      <c r="AB1" s="12">
        <f t="shared" si="0"/>
        <v>2</v>
      </c>
      <c r="AC1" s="12">
        <f t="shared" si="0"/>
        <v>2</v>
      </c>
      <c r="AD1" s="12">
        <f t="shared" si="0"/>
        <v>2</v>
      </c>
      <c r="AE1" s="12">
        <f t="shared" si="0"/>
        <v>2</v>
      </c>
      <c r="AF1" s="12">
        <f t="shared" si="0"/>
        <v>2</v>
      </c>
      <c r="AG1" s="12">
        <f t="shared" si="0"/>
        <v>2</v>
      </c>
      <c r="AH1" s="12">
        <f t="shared" si="0"/>
        <v>3</v>
      </c>
      <c r="AI1" s="12">
        <f t="shared" si="0"/>
        <v>3</v>
      </c>
      <c r="AJ1" s="12">
        <f t="shared" si="0"/>
        <v>3</v>
      </c>
      <c r="AK1" s="12">
        <f t="shared" si="0"/>
        <v>3</v>
      </c>
      <c r="AL1" s="12">
        <f t="shared" si="0"/>
        <v>3</v>
      </c>
      <c r="AM1" s="12">
        <f t="shared" si="0"/>
        <v>3</v>
      </c>
      <c r="AN1" s="12">
        <f t="shared" si="0"/>
        <v>3</v>
      </c>
      <c r="AO1" s="12">
        <f t="shared" si="0"/>
        <v>3</v>
      </c>
      <c r="AP1" s="12">
        <f t="shared" si="0"/>
        <v>3</v>
      </c>
      <c r="AQ1" s="12">
        <f t="shared" si="0"/>
        <v>3</v>
      </c>
      <c r="AR1" s="12">
        <f t="shared" si="0"/>
        <v>3</v>
      </c>
      <c r="AS1" s="12">
        <f t="shared" si="0"/>
        <v>3</v>
      </c>
      <c r="AT1" s="12">
        <f t="shared" si="0"/>
        <v>4</v>
      </c>
      <c r="AU1" s="12">
        <f t="shared" si="0"/>
        <v>4</v>
      </c>
      <c r="AV1" s="12">
        <f t="shared" si="0"/>
        <v>4</v>
      </c>
      <c r="AW1" s="12">
        <f t="shared" si="0"/>
        <v>4</v>
      </c>
      <c r="AX1" s="12">
        <f t="shared" si="0"/>
        <v>4</v>
      </c>
      <c r="AY1" s="12">
        <f t="shared" si="0"/>
        <v>4</v>
      </c>
      <c r="AZ1" s="12">
        <f t="shared" si="0"/>
        <v>4</v>
      </c>
      <c r="BA1" s="12">
        <f t="shared" si="0"/>
        <v>4</v>
      </c>
      <c r="BB1" s="12">
        <f t="shared" si="0"/>
        <v>4</v>
      </c>
      <c r="BC1" s="12">
        <f t="shared" si="0"/>
        <v>4</v>
      </c>
      <c r="BD1" s="12">
        <f t="shared" si="0"/>
        <v>4</v>
      </c>
      <c r="BE1" s="12">
        <f t="shared" si="0"/>
        <v>4</v>
      </c>
      <c r="BF1" s="12">
        <f t="shared" si="0"/>
        <v>5</v>
      </c>
      <c r="BG1" s="12">
        <f t="shared" si="0"/>
        <v>5</v>
      </c>
      <c r="BH1" s="12">
        <f t="shared" si="0"/>
        <v>5</v>
      </c>
      <c r="BI1" s="12">
        <f t="shared" si="0"/>
        <v>5</v>
      </c>
      <c r="BJ1" s="12">
        <f t="shared" si="0"/>
        <v>5</v>
      </c>
      <c r="BK1" s="12">
        <f t="shared" si="0"/>
        <v>5</v>
      </c>
      <c r="BL1" s="12">
        <f t="shared" si="0"/>
        <v>5</v>
      </c>
      <c r="BM1" s="12">
        <f t="shared" si="0"/>
        <v>5</v>
      </c>
      <c r="BN1" s="12">
        <f t="shared" si="0"/>
        <v>5</v>
      </c>
      <c r="BO1" s="12">
        <f t="shared" si="0"/>
        <v>5</v>
      </c>
      <c r="BP1" s="12">
        <f t="shared" si="0"/>
        <v>5</v>
      </c>
      <c r="BQ1" s="12">
        <f t="shared" si="0"/>
        <v>5</v>
      </c>
      <c r="BR1" s="12">
        <f t="shared" si="0"/>
        <v>6</v>
      </c>
      <c r="BS1" s="12">
        <f t="shared" si="0"/>
        <v>6</v>
      </c>
      <c r="BT1" s="12">
        <f t="shared" si="0"/>
        <v>6</v>
      </c>
      <c r="BU1" s="12">
        <f t="shared" si="0"/>
        <v>6</v>
      </c>
      <c r="BV1" s="12">
        <f t="shared" si="0"/>
        <v>6</v>
      </c>
      <c r="BW1" s="12">
        <f t="shared" si="0"/>
        <v>6</v>
      </c>
      <c r="BX1" s="12">
        <f t="shared" si="0"/>
        <v>6</v>
      </c>
      <c r="BY1" s="12">
        <f t="shared" si="0"/>
        <v>6</v>
      </c>
      <c r="BZ1" s="12">
        <f t="shared" si="0"/>
        <v>6</v>
      </c>
      <c r="CA1" s="12">
        <f t="shared" si="0"/>
        <v>6</v>
      </c>
      <c r="CB1" s="12">
        <f t="shared" si="0"/>
        <v>6</v>
      </c>
      <c r="CC1" s="12">
        <f t="shared" si="0"/>
        <v>6</v>
      </c>
      <c r="CD1" s="12">
        <f t="shared" si="0"/>
        <v>7</v>
      </c>
      <c r="CE1" s="12">
        <f t="shared" si="0"/>
        <v>7</v>
      </c>
      <c r="CF1" s="12">
        <f t="shared" si="0"/>
        <v>7</v>
      </c>
      <c r="CG1" s="12">
        <f t="shared" si="0"/>
        <v>7</v>
      </c>
      <c r="CH1" s="12">
        <f t="shared" si="0"/>
        <v>7</v>
      </c>
      <c r="CI1" s="12">
        <f t="shared" ref="CI1:DY1" si="1">+BW1+1</f>
        <v>7</v>
      </c>
      <c r="CJ1" s="12">
        <f t="shared" si="1"/>
        <v>7</v>
      </c>
      <c r="CK1" s="12">
        <f t="shared" si="1"/>
        <v>7</v>
      </c>
      <c r="CL1" s="12">
        <f t="shared" si="1"/>
        <v>7</v>
      </c>
      <c r="CM1" s="12">
        <f t="shared" si="1"/>
        <v>7</v>
      </c>
      <c r="CN1" s="12">
        <f t="shared" si="1"/>
        <v>7</v>
      </c>
      <c r="CO1" s="12">
        <f t="shared" si="1"/>
        <v>7</v>
      </c>
      <c r="CP1" s="12">
        <f t="shared" si="1"/>
        <v>8</v>
      </c>
      <c r="CQ1" s="12">
        <f t="shared" si="1"/>
        <v>8</v>
      </c>
      <c r="CR1" s="12">
        <f t="shared" si="1"/>
        <v>8</v>
      </c>
      <c r="CS1" s="12">
        <f t="shared" si="1"/>
        <v>8</v>
      </c>
      <c r="CT1" s="12">
        <f t="shared" si="1"/>
        <v>8</v>
      </c>
      <c r="CU1" s="12">
        <f t="shared" si="1"/>
        <v>8</v>
      </c>
      <c r="CV1" s="12">
        <f t="shared" si="1"/>
        <v>8</v>
      </c>
      <c r="CW1" s="12">
        <f t="shared" si="1"/>
        <v>8</v>
      </c>
      <c r="CX1" s="12">
        <f t="shared" si="1"/>
        <v>8</v>
      </c>
      <c r="CY1" s="12">
        <f t="shared" si="1"/>
        <v>8</v>
      </c>
      <c r="CZ1" s="12">
        <f t="shared" si="1"/>
        <v>8</v>
      </c>
      <c r="DA1" s="12">
        <f t="shared" si="1"/>
        <v>8</v>
      </c>
      <c r="DB1" s="12">
        <f t="shared" si="1"/>
        <v>9</v>
      </c>
      <c r="DC1" s="12">
        <f t="shared" si="1"/>
        <v>9</v>
      </c>
      <c r="DD1" s="12">
        <f t="shared" si="1"/>
        <v>9</v>
      </c>
      <c r="DE1" s="12">
        <f t="shared" si="1"/>
        <v>9</v>
      </c>
      <c r="DF1" s="12">
        <f t="shared" si="1"/>
        <v>9</v>
      </c>
      <c r="DG1" s="12">
        <f t="shared" si="1"/>
        <v>9</v>
      </c>
      <c r="DH1" s="12">
        <f t="shared" si="1"/>
        <v>9</v>
      </c>
      <c r="DI1" s="12">
        <f t="shared" si="1"/>
        <v>9</v>
      </c>
      <c r="DJ1" s="12">
        <f t="shared" si="1"/>
        <v>9</v>
      </c>
      <c r="DK1" s="12">
        <f t="shared" si="1"/>
        <v>9</v>
      </c>
      <c r="DL1" s="12">
        <f t="shared" si="1"/>
        <v>9</v>
      </c>
      <c r="DM1" s="12">
        <f t="shared" si="1"/>
        <v>9</v>
      </c>
      <c r="DN1" s="12">
        <f t="shared" si="1"/>
        <v>10</v>
      </c>
      <c r="DO1" s="12">
        <f t="shared" si="1"/>
        <v>10</v>
      </c>
      <c r="DP1" s="12">
        <f t="shared" si="1"/>
        <v>10</v>
      </c>
      <c r="DQ1" s="12">
        <f t="shared" si="1"/>
        <v>10</v>
      </c>
      <c r="DR1" s="12">
        <f t="shared" si="1"/>
        <v>10</v>
      </c>
      <c r="DS1" s="12">
        <f t="shared" si="1"/>
        <v>10</v>
      </c>
      <c r="DT1" s="12">
        <f t="shared" si="1"/>
        <v>10</v>
      </c>
      <c r="DU1" s="12">
        <f t="shared" si="1"/>
        <v>10</v>
      </c>
      <c r="DV1" s="12">
        <f t="shared" si="1"/>
        <v>10</v>
      </c>
      <c r="DW1" s="12">
        <f t="shared" si="1"/>
        <v>10</v>
      </c>
      <c r="DX1" s="12">
        <f t="shared" si="1"/>
        <v>10</v>
      </c>
      <c r="DY1" s="12">
        <f t="shared" si="1"/>
        <v>10</v>
      </c>
    </row>
    <row r="2" ht="14.5">
      <c r="H2" s="12"/>
      <c r="I2" s="15" t="s">
        <v>888</v>
      </c>
      <c r="J2" s="12" t="str">
        <f>IF(J4=1,"GEN",IF(J4=2,"FEB",IF(J4=3,"MAR",IF(J4=4,"APR",IF(J4=5,"MAG",IF(J4=6,"GIU",IF(J4=7,"LUG",IF(J4=8,"AGO",IF(J4=9,"SET",IF(J4=10,"OTT",IF(J4=11,"NOV","DIC")))))))))))</f>
        <v>OTT</v>
      </c>
      <c r="K2" s="12" t="str">
        <f t="shared" ref="K2:BV2" si="2">IF(K4=1,"GEN",IF(K4=2,"FEB",IF(K4=3,"MAR",IF(K4=4,"APR",IF(K4=5,"MAG",IF(K4=6,"GIU",IF(K4=7,"LUG",IF(K4=8,"AGO",IF(K4=9,"SET",IF(K4=10,"OTT",IF(K4=11,"NOV","DIC")))))))))))</f>
        <v>NOV</v>
      </c>
      <c r="L2" s="12" t="str">
        <f t="shared" si="2"/>
        <v>DIC</v>
      </c>
      <c r="M2" s="12" t="str">
        <f t="shared" si="2"/>
        <v>GEN</v>
      </c>
      <c r="N2" s="12" t="str">
        <f t="shared" si="2"/>
        <v>FEB</v>
      </c>
      <c r="O2" s="12" t="str">
        <f t="shared" si="2"/>
        <v>MAR</v>
      </c>
      <c r="P2" s="12" t="str">
        <f t="shared" si="2"/>
        <v>APR</v>
      </c>
      <c r="Q2" s="12" t="str">
        <f t="shared" si="2"/>
        <v>MAG</v>
      </c>
      <c r="R2" s="12" t="str">
        <f t="shared" si="2"/>
        <v>GIU</v>
      </c>
      <c r="S2" s="12" t="str">
        <f t="shared" si="2"/>
        <v>LUG</v>
      </c>
      <c r="T2" s="12" t="str">
        <f t="shared" si="2"/>
        <v>AGO</v>
      </c>
      <c r="U2" s="12" t="str">
        <f t="shared" si="2"/>
        <v>SET</v>
      </c>
      <c r="V2" s="12" t="str">
        <f t="shared" si="2"/>
        <v>OTT</v>
      </c>
      <c r="W2" s="12" t="str">
        <f t="shared" si="2"/>
        <v>NOV</v>
      </c>
      <c r="X2" s="12" t="str">
        <f t="shared" si="2"/>
        <v>DIC</v>
      </c>
      <c r="Y2" s="12" t="str">
        <f t="shared" si="2"/>
        <v>GEN</v>
      </c>
      <c r="Z2" s="12" t="str">
        <f t="shared" si="2"/>
        <v>FEB</v>
      </c>
      <c r="AA2" s="12" t="str">
        <f t="shared" si="2"/>
        <v>MAR</v>
      </c>
      <c r="AB2" s="12" t="str">
        <f t="shared" si="2"/>
        <v>APR</v>
      </c>
      <c r="AC2" s="12" t="str">
        <f t="shared" si="2"/>
        <v>MAG</v>
      </c>
      <c r="AD2" s="12" t="str">
        <f t="shared" si="2"/>
        <v>GIU</v>
      </c>
      <c r="AE2" s="12" t="str">
        <f t="shared" si="2"/>
        <v>LUG</v>
      </c>
      <c r="AF2" s="12" t="str">
        <f t="shared" si="2"/>
        <v>AGO</v>
      </c>
      <c r="AG2" s="12" t="str">
        <f t="shared" si="2"/>
        <v>SET</v>
      </c>
      <c r="AH2" s="12" t="str">
        <f t="shared" si="2"/>
        <v>OTT</v>
      </c>
      <c r="AI2" s="12" t="str">
        <f t="shared" si="2"/>
        <v>NOV</v>
      </c>
      <c r="AJ2" s="12" t="str">
        <f t="shared" si="2"/>
        <v>DIC</v>
      </c>
      <c r="AK2" s="12" t="str">
        <f t="shared" si="2"/>
        <v>GEN</v>
      </c>
      <c r="AL2" s="12" t="str">
        <f t="shared" si="2"/>
        <v>FEB</v>
      </c>
      <c r="AM2" s="12" t="str">
        <f t="shared" si="2"/>
        <v>MAR</v>
      </c>
      <c r="AN2" s="12" t="str">
        <f t="shared" si="2"/>
        <v>APR</v>
      </c>
      <c r="AO2" s="12" t="str">
        <f t="shared" si="2"/>
        <v>MAG</v>
      </c>
      <c r="AP2" s="12" t="str">
        <f t="shared" si="2"/>
        <v>GIU</v>
      </c>
      <c r="AQ2" s="12" t="str">
        <f t="shared" si="2"/>
        <v>LUG</v>
      </c>
      <c r="AR2" s="12" t="str">
        <f t="shared" si="2"/>
        <v>AGO</v>
      </c>
      <c r="AS2" s="12" t="str">
        <f t="shared" si="2"/>
        <v>SET</v>
      </c>
      <c r="AT2" s="12" t="str">
        <f t="shared" si="2"/>
        <v>OTT</v>
      </c>
      <c r="AU2" s="12" t="str">
        <f t="shared" si="2"/>
        <v>NOV</v>
      </c>
      <c r="AV2" s="12" t="str">
        <f t="shared" si="2"/>
        <v>DIC</v>
      </c>
      <c r="AW2" s="12" t="str">
        <f t="shared" si="2"/>
        <v>GEN</v>
      </c>
      <c r="AX2" s="12" t="str">
        <f t="shared" si="2"/>
        <v>FEB</v>
      </c>
      <c r="AY2" s="12" t="str">
        <f t="shared" si="2"/>
        <v>MAR</v>
      </c>
      <c r="AZ2" s="12" t="str">
        <f t="shared" si="2"/>
        <v>APR</v>
      </c>
      <c r="BA2" s="12" t="str">
        <f t="shared" si="2"/>
        <v>MAG</v>
      </c>
      <c r="BB2" s="12" t="str">
        <f t="shared" si="2"/>
        <v>GIU</v>
      </c>
      <c r="BC2" s="12" t="str">
        <f t="shared" si="2"/>
        <v>LUG</v>
      </c>
      <c r="BD2" s="12" t="str">
        <f t="shared" si="2"/>
        <v>AGO</v>
      </c>
      <c r="BE2" s="12" t="str">
        <f t="shared" si="2"/>
        <v>SET</v>
      </c>
      <c r="BF2" s="12" t="str">
        <f t="shared" si="2"/>
        <v>OTT</v>
      </c>
      <c r="BG2" s="12" t="str">
        <f t="shared" si="2"/>
        <v>NOV</v>
      </c>
      <c r="BH2" s="12" t="str">
        <f t="shared" si="2"/>
        <v>DIC</v>
      </c>
      <c r="BI2" s="12" t="str">
        <f t="shared" si="2"/>
        <v>GEN</v>
      </c>
      <c r="BJ2" s="12" t="str">
        <f t="shared" si="2"/>
        <v>FEB</v>
      </c>
      <c r="BK2" s="12" t="str">
        <f t="shared" si="2"/>
        <v>MAR</v>
      </c>
      <c r="BL2" s="12" t="str">
        <f t="shared" si="2"/>
        <v>APR</v>
      </c>
      <c r="BM2" s="12" t="str">
        <f t="shared" si="2"/>
        <v>MAG</v>
      </c>
      <c r="BN2" s="12" t="str">
        <f t="shared" si="2"/>
        <v>GIU</v>
      </c>
      <c r="BO2" s="12" t="str">
        <f t="shared" si="2"/>
        <v>LUG</v>
      </c>
      <c r="BP2" s="12" t="str">
        <f t="shared" si="2"/>
        <v>AGO</v>
      </c>
      <c r="BQ2" s="12" t="str">
        <f t="shared" si="2"/>
        <v>SET</v>
      </c>
      <c r="BR2" s="12" t="str">
        <f t="shared" si="2"/>
        <v>OTT</v>
      </c>
      <c r="BS2" s="12" t="str">
        <f t="shared" si="2"/>
        <v>NOV</v>
      </c>
      <c r="BT2" s="12" t="str">
        <f t="shared" si="2"/>
        <v>DIC</v>
      </c>
      <c r="BU2" s="12" t="str">
        <f t="shared" si="2"/>
        <v>GEN</v>
      </c>
      <c r="BV2" s="12" t="str">
        <f t="shared" si="2"/>
        <v>FEB</v>
      </c>
      <c r="BW2" s="12" t="str">
        <f t="shared" ref="BW2:DY2" si="3">IF(BW4=1,"GEN",IF(BW4=2,"FEB",IF(BW4=3,"MAR",IF(BW4=4,"APR",IF(BW4=5,"MAG",IF(BW4=6,"GIU",IF(BW4=7,"LUG",IF(BW4=8,"AGO",IF(BW4=9,"SET",IF(BW4=10,"OTT",IF(BW4=11,"NOV","DIC")))))))))))</f>
        <v>MAR</v>
      </c>
      <c r="BX2" s="12" t="str">
        <f t="shared" si="3"/>
        <v>APR</v>
      </c>
      <c r="BY2" s="12" t="str">
        <f t="shared" si="3"/>
        <v>MAG</v>
      </c>
      <c r="BZ2" s="12" t="str">
        <f t="shared" si="3"/>
        <v>GIU</v>
      </c>
      <c r="CA2" s="12" t="str">
        <f t="shared" si="3"/>
        <v>LUG</v>
      </c>
      <c r="CB2" s="12" t="str">
        <f t="shared" si="3"/>
        <v>AGO</v>
      </c>
      <c r="CC2" s="12" t="str">
        <f t="shared" si="3"/>
        <v>SET</v>
      </c>
      <c r="CD2" s="12" t="str">
        <f t="shared" si="3"/>
        <v>OTT</v>
      </c>
      <c r="CE2" s="12" t="str">
        <f t="shared" si="3"/>
        <v>NOV</v>
      </c>
      <c r="CF2" s="12" t="str">
        <f t="shared" si="3"/>
        <v>DIC</v>
      </c>
      <c r="CG2" s="12" t="str">
        <f t="shared" si="3"/>
        <v>GEN</v>
      </c>
      <c r="CH2" s="12" t="str">
        <f t="shared" si="3"/>
        <v>FEB</v>
      </c>
      <c r="CI2" s="12" t="str">
        <f t="shared" si="3"/>
        <v>MAR</v>
      </c>
      <c r="CJ2" s="12" t="str">
        <f t="shared" si="3"/>
        <v>APR</v>
      </c>
      <c r="CK2" s="12" t="str">
        <f t="shared" si="3"/>
        <v>MAG</v>
      </c>
      <c r="CL2" s="12" t="str">
        <f t="shared" si="3"/>
        <v>GIU</v>
      </c>
      <c r="CM2" s="12" t="str">
        <f t="shared" si="3"/>
        <v>LUG</v>
      </c>
      <c r="CN2" s="12" t="str">
        <f t="shared" si="3"/>
        <v>AGO</v>
      </c>
      <c r="CO2" s="12" t="str">
        <f t="shared" si="3"/>
        <v>SET</v>
      </c>
      <c r="CP2" s="12" t="str">
        <f t="shared" si="3"/>
        <v>OTT</v>
      </c>
      <c r="CQ2" s="12" t="str">
        <f t="shared" si="3"/>
        <v>NOV</v>
      </c>
      <c r="CR2" s="12" t="str">
        <f t="shared" si="3"/>
        <v>DIC</v>
      </c>
      <c r="CS2" s="12" t="str">
        <f t="shared" si="3"/>
        <v>GEN</v>
      </c>
      <c r="CT2" s="12" t="str">
        <f t="shared" si="3"/>
        <v>FEB</v>
      </c>
      <c r="CU2" s="12" t="str">
        <f t="shared" si="3"/>
        <v>MAR</v>
      </c>
      <c r="CV2" s="12" t="str">
        <f t="shared" si="3"/>
        <v>APR</v>
      </c>
      <c r="CW2" s="12" t="str">
        <f t="shared" si="3"/>
        <v>MAG</v>
      </c>
      <c r="CX2" s="12" t="str">
        <f t="shared" si="3"/>
        <v>GIU</v>
      </c>
      <c r="CY2" s="12" t="str">
        <f t="shared" si="3"/>
        <v>LUG</v>
      </c>
      <c r="CZ2" s="12" t="str">
        <f t="shared" si="3"/>
        <v>AGO</v>
      </c>
      <c r="DA2" s="12" t="str">
        <f t="shared" si="3"/>
        <v>SET</v>
      </c>
      <c r="DB2" s="12" t="str">
        <f t="shared" si="3"/>
        <v>OTT</v>
      </c>
      <c r="DC2" s="12" t="str">
        <f t="shared" si="3"/>
        <v>NOV</v>
      </c>
      <c r="DD2" s="12" t="str">
        <f t="shared" si="3"/>
        <v>DIC</v>
      </c>
      <c r="DE2" s="12" t="str">
        <f t="shared" si="3"/>
        <v>GEN</v>
      </c>
      <c r="DF2" s="12" t="str">
        <f t="shared" si="3"/>
        <v>FEB</v>
      </c>
      <c r="DG2" s="12" t="str">
        <f t="shared" si="3"/>
        <v>MAR</v>
      </c>
      <c r="DH2" s="12" t="str">
        <f t="shared" si="3"/>
        <v>APR</v>
      </c>
      <c r="DI2" s="12" t="str">
        <f t="shared" si="3"/>
        <v>MAG</v>
      </c>
      <c r="DJ2" s="12" t="str">
        <f t="shared" si="3"/>
        <v>GIU</v>
      </c>
      <c r="DK2" s="12" t="str">
        <f t="shared" si="3"/>
        <v>LUG</v>
      </c>
      <c r="DL2" s="12" t="str">
        <f t="shared" si="3"/>
        <v>AGO</v>
      </c>
      <c r="DM2" s="12" t="str">
        <f t="shared" si="3"/>
        <v>SET</v>
      </c>
      <c r="DN2" s="12" t="str">
        <f t="shared" si="3"/>
        <v>OTT</v>
      </c>
      <c r="DO2" s="12" t="str">
        <f t="shared" si="3"/>
        <v>NOV</v>
      </c>
      <c r="DP2" s="12" t="str">
        <f t="shared" si="3"/>
        <v>DIC</v>
      </c>
      <c r="DQ2" s="12" t="str">
        <f t="shared" si="3"/>
        <v>GEN</v>
      </c>
      <c r="DR2" s="12" t="str">
        <f t="shared" si="3"/>
        <v>FEB</v>
      </c>
      <c r="DS2" s="12" t="str">
        <f t="shared" si="3"/>
        <v>MAR</v>
      </c>
      <c r="DT2" s="12" t="str">
        <f t="shared" si="3"/>
        <v>APR</v>
      </c>
      <c r="DU2" s="12" t="str">
        <f t="shared" si="3"/>
        <v>MAG</v>
      </c>
      <c r="DV2" s="12" t="str">
        <f t="shared" si="3"/>
        <v>GIU</v>
      </c>
      <c r="DW2" s="12" t="str">
        <f t="shared" si="3"/>
        <v>LUG</v>
      </c>
      <c r="DX2" s="12" t="str">
        <f t="shared" si="3"/>
        <v>AGO</v>
      </c>
      <c r="DY2" s="12" t="str">
        <f t="shared" si="3"/>
        <v>SET</v>
      </c>
    </row>
    <row r="3" ht="14.5">
      <c r="I3" s="15" t="s">
        <v>1157</v>
      </c>
      <c r="J3" s="127">
        <f>+'SP-mese'!D3</f>
        <v>2025</v>
      </c>
      <c r="K3" s="127">
        <f>+'SP-mese'!E3</f>
        <v>2025</v>
      </c>
      <c r="L3" s="127">
        <f>+'SP-mese'!F3</f>
        <v>2025</v>
      </c>
      <c r="M3" s="127">
        <f>+'SP-mese'!G3</f>
        <v>2026</v>
      </c>
      <c r="N3" s="127">
        <f>+'SP-mese'!H3</f>
        <v>2026</v>
      </c>
      <c r="O3" s="127">
        <f>+'SP-mese'!I3</f>
        <v>2026</v>
      </c>
      <c r="P3" s="127">
        <f>+'SP-mese'!J3</f>
        <v>2026</v>
      </c>
      <c r="Q3" s="127">
        <f>+'SP-mese'!K3</f>
        <v>2026</v>
      </c>
      <c r="R3" s="127">
        <f>+'SP-mese'!L3</f>
        <v>2026</v>
      </c>
      <c r="S3" s="127">
        <f>+'SP-mese'!M3</f>
        <v>2026</v>
      </c>
      <c r="T3" s="127">
        <f>+'SP-mese'!N3</f>
        <v>2026</v>
      </c>
      <c r="U3" s="127">
        <f>+'SP-mese'!O3</f>
        <v>2026</v>
      </c>
      <c r="V3" s="127">
        <f>+'SP-mese'!P3</f>
        <v>2026</v>
      </c>
      <c r="W3" s="127">
        <f>+'SP-mese'!Q3</f>
        <v>2026</v>
      </c>
      <c r="X3" s="127">
        <f>+'SP-mese'!R3</f>
        <v>2026</v>
      </c>
      <c r="Y3" s="127">
        <f>+'SP-mese'!S3</f>
        <v>2027</v>
      </c>
      <c r="Z3" s="127">
        <f>+'SP-mese'!T3</f>
        <v>2027</v>
      </c>
      <c r="AA3" s="127">
        <f>+'SP-mese'!U3</f>
        <v>2027</v>
      </c>
      <c r="AB3" s="127">
        <f>+'SP-mese'!V3</f>
        <v>2027</v>
      </c>
      <c r="AC3" s="127">
        <f>+'SP-mese'!W3</f>
        <v>2027</v>
      </c>
      <c r="AD3" s="127">
        <f>+'SP-mese'!X3</f>
        <v>2027</v>
      </c>
      <c r="AE3" s="127">
        <f>+'SP-mese'!Y3</f>
        <v>2027</v>
      </c>
      <c r="AF3" s="127">
        <f>+'SP-mese'!Z3</f>
        <v>2027</v>
      </c>
      <c r="AG3" s="127">
        <f>+'SP-mese'!AA3</f>
        <v>2027</v>
      </c>
      <c r="AH3" s="127">
        <f>+'SP-mese'!AB3</f>
        <v>2027</v>
      </c>
      <c r="AI3" s="127">
        <f>+'SP-mese'!AC3</f>
        <v>2027</v>
      </c>
      <c r="AJ3" s="127">
        <f>+'SP-mese'!AD3</f>
        <v>2027</v>
      </c>
      <c r="AK3" s="127">
        <f>+'SP-mese'!AE3</f>
        <v>2028</v>
      </c>
      <c r="AL3" s="127">
        <f>+'SP-mese'!AF3</f>
        <v>2028</v>
      </c>
      <c r="AM3" s="127">
        <f>+'SP-mese'!AG3</f>
        <v>2028</v>
      </c>
      <c r="AN3" s="127">
        <f>+'SP-mese'!AH3</f>
        <v>2028</v>
      </c>
      <c r="AO3" s="127">
        <f>+'SP-mese'!AI3</f>
        <v>2028</v>
      </c>
      <c r="AP3" s="127">
        <f>+'SP-mese'!AJ3</f>
        <v>2028</v>
      </c>
      <c r="AQ3" s="127">
        <f>+'SP-mese'!AK3</f>
        <v>2028</v>
      </c>
      <c r="AR3" s="127">
        <f>+'SP-mese'!AL3</f>
        <v>2028</v>
      </c>
      <c r="AS3" s="127">
        <f>+'SP-mese'!AM3</f>
        <v>2028</v>
      </c>
      <c r="AT3" s="127">
        <f>+'SP-mese'!AN3</f>
        <v>2028</v>
      </c>
      <c r="AU3" s="127">
        <f>+'SP-mese'!AO3</f>
        <v>2028</v>
      </c>
      <c r="AV3" s="127">
        <f>+'SP-mese'!AP3</f>
        <v>2028</v>
      </c>
      <c r="AW3" s="127">
        <f>+'SP-mese'!AQ3</f>
        <v>2029</v>
      </c>
      <c r="AX3" s="127">
        <f>+'SP-mese'!AR3</f>
        <v>2029</v>
      </c>
      <c r="AY3" s="127">
        <f>+'SP-mese'!AS3</f>
        <v>2029</v>
      </c>
      <c r="AZ3" s="127">
        <f>+'SP-mese'!AT3</f>
        <v>2029</v>
      </c>
      <c r="BA3" s="127">
        <f>+'SP-mese'!AU3</f>
        <v>2029</v>
      </c>
      <c r="BB3" s="127">
        <f>+'SP-mese'!AV3</f>
        <v>2029</v>
      </c>
      <c r="BC3" s="127">
        <f>+'SP-mese'!AW3</f>
        <v>2029</v>
      </c>
      <c r="BD3" s="127">
        <f>+'SP-mese'!AX3</f>
        <v>2029</v>
      </c>
      <c r="BE3" s="127">
        <f>+'SP-mese'!AY3</f>
        <v>2029</v>
      </c>
      <c r="BF3" s="127">
        <f>+'SP-mese'!AZ3</f>
        <v>2029</v>
      </c>
      <c r="BG3" s="127">
        <f>+'SP-mese'!BA3</f>
        <v>2029</v>
      </c>
      <c r="BH3" s="127">
        <f>+'SP-mese'!BB3</f>
        <v>2029</v>
      </c>
      <c r="BI3" s="127">
        <f>+'SP-mese'!BC3</f>
        <v>2030</v>
      </c>
      <c r="BJ3" s="127">
        <f>+'SP-mese'!BD3</f>
        <v>2030</v>
      </c>
      <c r="BK3" s="127">
        <f>+'SP-mese'!BE3</f>
        <v>2030</v>
      </c>
      <c r="BL3" s="127">
        <f>+'SP-mese'!BF3</f>
        <v>2030</v>
      </c>
      <c r="BM3" s="127">
        <f>+'SP-mese'!BG3</f>
        <v>2030</v>
      </c>
      <c r="BN3" s="127">
        <f>+'SP-mese'!BH3</f>
        <v>2030</v>
      </c>
      <c r="BO3" s="127">
        <f>+'SP-mese'!BI3</f>
        <v>2030</v>
      </c>
      <c r="BP3" s="127">
        <f>+'SP-mese'!BJ3</f>
        <v>2030</v>
      </c>
      <c r="BQ3" s="127">
        <f>+'SP-mese'!BK3</f>
        <v>2030</v>
      </c>
      <c r="BR3" s="127">
        <f>+'SP-mese'!BL3</f>
        <v>2030</v>
      </c>
      <c r="BS3" s="127">
        <f>+'SP-mese'!BM3</f>
        <v>2030</v>
      </c>
      <c r="BT3" s="127">
        <f>+'SP-mese'!BN3</f>
        <v>2030</v>
      </c>
      <c r="BU3" s="127">
        <f>+'SP-mese'!BO3</f>
        <v>2031</v>
      </c>
      <c r="BV3" s="127">
        <f>+'SP-mese'!BP3</f>
        <v>2031</v>
      </c>
      <c r="BW3" s="127">
        <f>+'SP-mese'!BQ3</f>
        <v>2031</v>
      </c>
      <c r="BX3" s="127">
        <f>+'SP-mese'!BR3</f>
        <v>2031</v>
      </c>
      <c r="BY3" s="127">
        <f>+'SP-mese'!BS3</f>
        <v>2031</v>
      </c>
      <c r="BZ3" s="127">
        <f>+'SP-mese'!BT3</f>
        <v>2031</v>
      </c>
      <c r="CA3" s="127">
        <f>+'SP-mese'!BU3</f>
        <v>2031</v>
      </c>
      <c r="CB3" s="127">
        <f>+'SP-mese'!BV3</f>
        <v>2031</v>
      </c>
      <c r="CC3" s="127">
        <f>+'SP-mese'!BW3</f>
        <v>2031</v>
      </c>
      <c r="CD3" s="127">
        <f>+'SP-mese'!BX3</f>
        <v>2031</v>
      </c>
      <c r="CE3" s="127">
        <f>+'SP-mese'!BY3</f>
        <v>2031</v>
      </c>
      <c r="CF3" s="127">
        <f>+'SP-mese'!BZ3</f>
        <v>2031</v>
      </c>
      <c r="CG3" s="127">
        <f>+'SP-mese'!CA3</f>
        <v>2032</v>
      </c>
      <c r="CH3" s="127">
        <f>+'SP-mese'!CB3</f>
        <v>2032</v>
      </c>
      <c r="CI3" s="127">
        <f>+'SP-mese'!CC3</f>
        <v>2032</v>
      </c>
      <c r="CJ3" s="127">
        <f>+'SP-mese'!CD3</f>
        <v>2032</v>
      </c>
      <c r="CK3" s="127">
        <f>+'SP-mese'!CE3</f>
        <v>2032</v>
      </c>
      <c r="CL3" s="127">
        <f>+'SP-mese'!CF3</f>
        <v>2032</v>
      </c>
      <c r="CM3" s="127">
        <f>+'SP-mese'!CG3</f>
        <v>2032</v>
      </c>
      <c r="CN3" s="127">
        <f>+'SP-mese'!CH3</f>
        <v>2032</v>
      </c>
      <c r="CO3" s="127">
        <f>+'SP-mese'!CI3</f>
        <v>2032</v>
      </c>
      <c r="CP3" s="127">
        <f>+'SP-mese'!CJ3</f>
        <v>2032</v>
      </c>
      <c r="CQ3" s="127">
        <f>+'SP-mese'!CK3</f>
        <v>2032</v>
      </c>
      <c r="CR3" s="127">
        <f>+'SP-mese'!CL3</f>
        <v>2032</v>
      </c>
      <c r="CS3" s="127">
        <f>+'SP-mese'!CM3</f>
        <v>2033</v>
      </c>
      <c r="CT3" s="127">
        <f>+'SP-mese'!CN3</f>
        <v>2033</v>
      </c>
      <c r="CU3" s="127">
        <f>+'SP-mese'!CO3</f>
        <v>2033</v>
      </c>
      <c r="CV3" s="127">
        <f>+'SP-mese'!CP3</f>
        <v>2033</v>
      </c>
      <c r="CW3" s="127">
        <f>+'SP-mese'!CQ3</f>
        <v>2033</v>
      </c>
      <c r="CX3" s="127">
        <f>+'SP-mese'!CR3</f>
        <v>2033</v>
      </c>
      <c r="CY3" s="127">
        <f>+'SP-mese'!CS3</f>
        <v>2033</v>
      </c>
      <c r="CZ3" s="127">
        <f>+'SP-mese'!CT3</f>
        <v>2033</v>
      </c>
      <c r="DA3" s="127">
        <f>+'SP-mese'!CU3</f>
        <v>2033</v>
      </c>
      <c r="DB3" s="127">
        <f>+'SP-mese'!CV3</f>
        <v>2033</v>
      </c>
      <c r="DC3" s="127">
        <f>+'SP-mese'!CW3</f>
        <v>2033</v>
      </c>
      <c r="DD3" s="127">
        <f>+'SP-mese'!CX3</f>
        <v>2033</v>
      </c>
      <c r="DE3" s="127">
        <f>+'SP-mese'!CY3</f>
        <v>2034</v>
      </c>
      <c r="DF3" s="127">
        <f>+'SP-mese'!CZ3</f>
        <v>2034</v>
      </c>
      <c r="DG3" s="127">
        <f>+'SP-mese'!DA3</f>
        <v>2034</v>
      </c>
      <c r="DH3" s="127">
        <f>+'SP-mese'!DB3</f>
        <v>2034</v>
      </c>
      <c r="DI3" s="127">
        <f>+'SP-mese'!DC3</f>
        <v>2034</v>
      </c>
      <c r="DJ3" s="127">
        <f>+'SP-mese'!DD3</f>
        <v>2034</v>
      </c>
      <c r="DK3" s="127">
        <f>+'SP-mese'!DE3</f>
        <v>2034</v>
      </c>
      <c r="DL3" s="127">
        <f>+'SP-mese'!DF3</f>
        <v>2034</v>
      </c>
      <c r="DM3" s="127">
        <f>+'SP-mese'!DG3</f>
        <v>2034</v>
      </c>
      <c r="DN3" s="127">
        <f>+'SP-mese'!DH3</f>
        <v>2034</v>
      </c>
      <c r="DO3" s="127">
        <f>+'SP-mese'!DI3</f>
        <v>2034</v>
      </c>
      <c r="DP3" s="127">
        <f>+'SP-mese'!DJ3</f>
        <v>2034</v>
      </c>
      <c r="DQ3" s="127">
        <f>+'SP-mese'!DK3</f>
        <v>2035</v>
      </c>
      <c r="DR3" s="127">
        <f>+'SP-mese'!DL3</f>
        <v>2035</v>
      </c>
      <c r="DS3" s="127">
        <f>+'SP-mese'!DM3</f>
        <v>2035</v>
      </c>
      <c r="DT3" s="127">
        <f>+'SP-mese'!DN3</f>
        <v>2035</v>
      </c>
      <c r="DU3" s="127">
        <f>+'SP-mese'!DO3</f>
        <v>2035</v>
      </c>
      <c r="DV3" s="127">
        <f>+'SP-mese'!DP3</f>
        <v>2035</v>
      </c>
      <c r="DW3" s="127">
        <f>+'SP-mese'!DQ3</f>
        <v>2035</v>
      </c>
      <c r="DX3" s="127">
        <f>+'SP-mese'!DR3</f>
        <v>2035</v>
      </c>
      <c r="DY3" s="127">
        <f>+'SP-mese'!DS3</f>
        <v>2035</v>
      </c>
    </row>
    <row r="4" ht="14.5">
      <c r="F4" s="15"/>
      <c r="H4" s="127" t="s">
        <v>849</v>
      </c>
      <c r="I4" s="15" t="s">
        <v>1158</v>
      </c>
      <c r="J4" s="127">
        <f>+'SP-mese'!D4</f>
        <v>10</v>
      </c>
      <c r="K4" s="127">
        <f>+'SP-mese'!E4</f>
        <v>11</v>
      </c>
      <c r="L4" s="127">
        <f>+'SP-mese'!F4</f>
        <v>12</v>
      </c>
      <c r="M4" s="127">
        <f>+'SP-mese'!G4</f>
        <v>1</v>
      </c>
      <c r="N4" s="127">
        <f>+'SP-mese'!H4</f>
        <v>2</v>
      </c>
      <c r="O4" s="127">
        <f>+'SP-mese'!I4</f>
        <v>3</v>
      </c>
      <c r="P4" s="127">
        <f>+'SP-mese'!J4</f>
        <v>4</v>
      </c>
      <c r="Q4" s="127">
        <f>+'SP-mese'!K4</f>
        <v>5</v>
      </c>
      <c r="R4" s="127">
        <f>+'SP-mese'!L4</f>
        <v>6</v>
      </c>
      <c r="S4" s="127">
        <f>+'SP-mese'!M4</f>
        <v>7</v>
      </c>
      <c r="T4" s="127">
        <f>+'SP-mese'!N4</f>
        <v>8</v>
      </c>
      <c r="U4" s="127">
        <f>+'SP-mese'!O4</f>
        <v>9</v>
      </c>
      <c r="V4" s="127">
        <f>+'SP-mese'!P4</f>
        <v>10</v>
      </c>
      <c r="W4" s="127">
        <f>+'SP-mese'!Q4</f>
        <v>11</v>
      </c>
      <c r="X4" s="127">
        <f>+'SP-mese'!R4</f>
        <v>12</v>
      </c>
      <c r="Y4" s="127">
        <f>+'SP-mese'!S4</f>
        <v>1</v>
      </c>
      <c r="Z4" s="127">
        <f>+'SP-mese'!T4</f>
        <v>2</v>
      </c>
      <c r="AA4" s="127">
        <f>+'SP-mese'!U4</f>
        <v>3</v>
      </c>
      <c r="AB4" s="127">
        <f>+'SP-mese'!V4</f>
        <v>4</v>
      </c>
      <c r="AC4" s="127">
        <f>+'SP-mese'!W4</f>
        <v>5</v>
      </c>
      <c r="AD4" s="127">
        <f>+'SP-mese'!X4</f>
        <v>6</v>
      </c>
      <c r="AE4" s="127">
        <f>+'SP-mese'!Y4</f>
        <v>7</v>
      </c>
      <c r="AF4" s="127">
        <f>+'SP-mese'!Z4</f>
        <v>8</v>
      </c>
      <c r="AG4" s="127">
        <f>+'SP-mese'!AA4</f>
        <v>9</v>
      </c>
      <c r="AH4" s="127">
        <f>+'SP-mese'!AB4</f>
        <v>10</v>
      </c>
      <c r="AI4" s="127">
        <f>+'SP-mese'!AC4</f>
        <v>11</v>
      </c>
      <c r="AJ4" s="127">
        <f>+'SP-mese'!AD4</f>
        <v>12</v>
      </c>
      <c r="AK4" s="127">
        <f>+'SP-mese'!AE4</f>
        <v>1</v>
      </c>
      <c r="AL4" s="127">
        <f>+'SP-mese'!AF4</f>
        <v>2</v>
      </c>
      <c r="AM4" s="127">
        <f>+'SP-mese'!AG4</f>
        <v>3</v>
      </c>
      <c r="AN4" s="127">
        <f>+'SP-mese'!AH4</f>
        <v>4</v>
      </c>
      <c r="AO4" s="127">
        <f>+'SP-mese'!AI4</f>
        <v>5</v>
      </c>
      <c r="AP4" s="127">
        <f>+'SP-mese'!AJ4</f>
        <v>6</v>
      </c>
      <c r="AQ4" s="127">
        <f>+'SP-mese'!AK4</f>
        <v>7</v>
      </c>
      <c r="AR4" s="127">
        <f>+'SP-mese'!AL4</f>
        <v>8</v>
      </c>
      <c r="AS4" s="127">
        <f>+'SP-mese'!AM4</f>
        <v>9</v>
      </c>
      <c r="AT4" s="127">
        <f>+'SP-mese'!AN4</f>
        <v>10</v>
      </c>
      <c r="AU4" s="127">
        <f>+'SP-mese'!AO4</f>
        <v>11</v>
      </c>
      <c r="AV4" s="127">
        <f>+'SP-mese'!AP4</f>
        <v>12</v>
      </c>
      <c r="AW4" s="127">
        <f>+'SP-mese'!AQ4</f>
        <v>1</v>
      </c>
      <c r="AX4" s="127">
        <f>+'SP-mese'!AR4</f>
        <v>2</v>
      </c>
      <c r="AY4" s="127">
        <f>+'SP-mese'!AS4</f>
        <v>3</v>
      </c>
      <c r="AZ4" s="127">
        <f>+'SP-mese'!AT4</f>
        <v>4</v>
      </c>
      <c r="BA4" s="127">
        <f>+'SP-mese'!AU4</f>
        <v>5</v>
      </c>
      <c r="BB4" s="127">
        <f>+'SP-mese'!AV4</f>
        <v>6</v>
      </c>
      <c r="BC4" s="127">
        <f>+'SP-mese'!AW4</f>
        <v>7</v>
      </c>
      <c r="BD4" s="127">
        <f>+'SP-mese'!AX4</f>
        <v>8</v>
      </c>
      <c r="BE4" s="127">
        <f>+'SP-mese'!AY4</f>
        <v>9</v>
      </c>
      <c r="BF4" s="127">
        <f>+'SP-mese'!AZ4</f>
        <v>10</v>
      </c>
      <c r="BG4" s="127">
        <f>+'SP-mese'!BA4</f>
        <v>11</v>
      </c>
      <c r="BH4" s="127">
        <f>+'SP-mese'!BB4</f>
        <v>12</v>
      </c>
      <c r="BI4" s="127">
        <f>+'SP-mese'!BC4</f>
        <v>1</v>
      </c>
      <c r="BJ4" s="127">
        <f>+'SP-mese'!BD4</f>
        <v>2</v>
      </c>
      <c r="BK4" s="127">
        <f>+'SP-mese'!BE4</f>
        <v>3</v>
      </c>
      <c r="BL4" s="127">
        <f>+'SP-mese'!BF4</f>
        <v>4</v>
      </c>
      <c r="BM4" s="127">
        <f>+'SP-mese'!BG4</f>
        <v>5</v>
      </c>
      <c r="BN4" s="127">
        <f>+'SP-mese'!BH4</f>
        <v>6</v>
      </c>
      <c r="BO4" s="127">
        <f>+'SP-mese'!BI4</f>
        <v>7</v>
      </c>
      <c r="BP4" s="127">
        <f>+'SP-mese'!BJ4</f>
        <v>8</v>
      </c>
      <c r="BQ4" s="127">
        <f>+'SP-mese'!BK4</f>
        <v>9</v>
      </c>
      <c r="BR4" s="127">
        <f>+'SP-mese'!BL4</f>
        <v>10</v>
      </c>
      <c r="BS4" s="127">
        <f>+'SP-mese'!BM4</f>
        <v>11</v>
      </c>
      <c r="BT4" s="127">
        <f>+'SP-mese'!BN4</f>
        <v>12</v>
      </c>
      <c r="BU4" s="127">
        <f>+'SP-mese'!BO4</f>
        <v>1</v>
      </c>
      <c r="BV4" s="127">
        <f>+'SP-mese'!BP4</f>
        <v>2</v>
      </c>
      <c r="BW4" s="127">
        <f>+'SP-mese'!BQ4</f>
        <v>3</v>
      </c>
      <c r="BX4" s="127">
        <f>+'SP-mese'!BR4</f>
        <v>4</v>
      </c>
      <c r="BY4" s="127">
        <f>+'SP-mese'!BS4</f>
        <v>5</v>
      </c>
      <c r="BZ4" s="127">
        <f>+'SP-mese'!BT4</f>
        <v>6</v>
      </c>
      <c r="CA4" s="127">
        <f>+'SP-mese'!BU4</f>
        <v>7</v>
      </c>
      <c r="CB4" s="127">
        <f>+'SP-mese'!BV4</f>
        <v>8</v>
      </c>
      <c r="CC4" s="127">
        <f>+'SP-mese'!BW4</f>
        <v>9</v>
      </c>
      <c r="CD4" s="127">
        <f>+'SP-mese'!BX4</f>
        <v>10</v>
      </c>
      <c r="CE4" s="127">
        <f>+'SP-mese'!BY4</f>
        <v>11</v>
      </c>
      <c r="CF4" s="127">
        <f>+'SP-mese'!BZ4</f>
        <v>12</v>
      </c>
      <c r="CG4" s="127">
        <f>+'SP-mese'!CA4</f>
        <v>1</v>
      </c>
      <c r="CH4" s="127">
        <f>+'SP-mese'!CB4</f>
        <v>2</v>
      </c>
      <c r="CI4" s="127">
        <f>+'SP-mese'!CC4</f>
        <v>3</v>
      </c>
      <c r="CJ4" s="127">
        <f>+'SP-mese'!CD4</f>
        <v>4</v>
      </c>
      <c r="CK4" s="127">
        <f>+'SP-mese'!CE4</f>
        <v>5</v>
      </c>
      <c r="CL4" s="127">
        <f>+'SP-mese'!CF4</f>
        <v>6</v>
      </c>
      <c r="CM4" s="127">
        <f>+'SP-mese'!CG4</f>
        <v>7</v>
      </c>
      <c r="CN4" s="127">
        <f>+'SP-mese'!CH4</f>
        <v>8</v>
      </c>
      <c r="CO4" s="127">
        <f>+'SP-mese'!CI4</f>
        <v>9</v>
      </c>
      <c r="CP4" s="127">
        <f>+'SP-mese'!CJ4</f>
        <v>10</v>
      </c>
      <c r="CQ4" s="127">
        <f>+'SP-mese'!CK4</f>
        <v>11</v>
      </c>
      <c r="CR4" s="127">
        <f>+'SP-mese'!CL4</f>
        <v>12</v>
      </c>
      <c r="CS4" s="127">
        <f>+'SP-mese'!CM4</f>
        <v>1</v>
      </c>
      <c r="CT4" s="127">
        <f>+'SP-mese'!CN4</f>
        <v>2</v>
      </c>
      <c r="CU4" s="127">
        <f>+'SP-mese'!CO4</f>
        <v>3</v>
      </c>
      <c r="CV4" s="127">
        <f>+'SP-mese'!CP4</f>
        <v>4</v>
      </c>
      <c r="CW4" s="127">
        <f>+'SP-mese'!CQ4</f>
        <v>5</v>
      </c>
      <c r="CX4" s="127">
        <f>+'SP-mese'!CR4</f>
        <v>6</v>
      </c>
      <c r="CY4" s="127">
        <f>+'SP-mese'!CS4</f>
        <v>7</v>
      </c>
      <c r="CZ4" s="127">
        <f>+'SP-mese'!CT4</f>
        <v>8</v>
      </c>
      <c r="DA4" s="127">
        <f>+'SP-mese'!CU4</f>
        <v>9</v>
      </c>
      <c r="DB4" s="127">
        <f>+'SP-mese'!CV4</f>
        <v>10</v>
      </c>
      <c r="DC4" s="127">
        <f>+'SP-mese'!CW4</f>
        <v>11</v>
      </c>
      <c r="DD4" s="127">
        <f>+'SP-mese'!CX4</f>
        <v>12</v>
      </c>
      <c r="DE4" s="127">
        <f>+'SP-mese'!CY4</f>
        <v>1</v>
      </c>
      <c r="DF4" s="127">
        <f>+'SP-mese'!CZ4</f>
        <v>2</v>
      </c>
      <c r="DG4" s="127">
        <f>+'SP-mese'!DA4</f>
        <v>3</v>
      </c>
      <c r="DH4" s="127">
        <f>+'SP-mese'!DB4</f>
        <v>4</v>
      </c>
      <c r="DI4" s="127">
        <f>+'SP-mese'!DC4</f>
        <v>5</v>
      </c>
      <c r="DJ4" s="127">
        <f>+'SP-mese'!DD4</f>
        <v>6</v>
      </c>
      <c r="DK4" s="127">
        <f>+'SP-mese'!DE4</f>
        <v>7</v>
      </c>
      <c r="DL4" s="127">
        <f>+'SP-mese'!DF4</f>
        <v>8</v>
      </c>
      <c r="DM4" s="127">
        <f>+'SP-mese'!DG4</f>
        <v>9</v>
      </c>
      <c r="DN4" s="127">
        <f>+'SP-mese'!DH4</f>
        <v>10</v>
      </c>
      <c r="DO4" s="127">
        <f>+'SP-mese'!DI4</f>
        <v>11</v>
      </c>
      <c r="DP4" s="127">
        <f>+'SP-mese'!DJ4</f>
        <v>12</v>
      </c>
      <c r="DQ4" s="127">
        <f>+'SP-mese'!DK4</f>
        <v>1</v>
      </c>
      <c r="DR4" s="127">
        <f>+'SP-mese'!DL4</f>
        <v>2</v>
      </c>
      <c r="DS4" s="127">
        <f>+'SP-mese'!DM4</f>
        <v>3</v>
      </c>
      <c r="DT4" s="127">
        <f>+'SP-mese'!DN4</f>
        <v>4</v>
      </c>
      <c r="DU4" s="127">
        <f>+'SP-mese'!DO4</f>
        <v>5</v>
      </c>
      <c r="DV4" s="127">
        <f>+'SP-mese'!DP4</f>
        <v>6</v>
      </c>
      <c r="DW4" s="127">
        <f>+'SP-mese'!DQ4</f>
        <v>7</v>
      </c>
      <c r="DX4" s="127">
        <f>+'SP-mese'!DR4</f>
        <v>8</v>
      </c>
      <c r="DY4" s="127">
        <f>+'SP-mese'!DS4</f>
        <v>9</v>
      </c>
    </row>
    <row r="5" ht="14.5">
      <c r="H5" s="246">
        <f>SUM(J5:DY5)</f>
        <v>0</v>
      </c>
      <c r="I5" s="103" t="s">
        <v>1159</v>
      </c>
      <c r="J5" s="247">
        <f>+Attivo!R98*(1+$C$5)*((1/(1+($D5/12))^J4))</f>
        <v>0</v>
      </c>
      <c r="K5" s="247">
        <f>+Attivo!S98*(1+$C$5)*((1/(1+($D5/12))^K4))</f>
        <v>0</v>
      </c>
      <c r="L5" s="247">
        <f>+Attivo!T98*(1+$C$5)*((1/(1+($D5/12))^L4))</f>
        <v>0</v>
      </c>
      <c r="M5" s="247">
        <f>+Attivo!U98*(1+$C$5)*((1/(1+($D5/12))^M4))</f>
        <v>0</v>
      </c>
      <c r="N5" s="247">
        <f>+Attivo!V98*(1+$C$5)*((1/(1+($D5/12))^N4))</f>
        <v>0</v>
      </c>
      <c r="O5" s="247">
        <f>+Attivo!W98*(1+$C$5)*((1/(1+($D5/12))^O4))</f>
        <v>0</v>
      </c>
      <c r="P5" s="247">
        <f>+Attivo!X98*(1+$C$5)*((1/(1+($D5/12))^P4))</f>
        <v>0</v>
      </c>
      <c r="Q5" s="247">
        <f>+Attivo!Y98*(1+$C$5)*((1/(1+($D5/12))^Q4))</f>
        <v>0</v>
      </c>
      <c r="R5" s="247">
        <f>+Attivo!Z98*(1+$C$5)*((1/(1+($D5/12))^R4))</f>
        <v>0</v>
      </c>
      <c r="S5" s="247">
        <f>+Attivo!AA98*(1+$C$5)*((1/(1+($D5/12))^S4))</f>
        <v>0</v>
      </c>
      <c r="T5" s="247">
        <f>+Attivo!AB98*(1+$C$5)*((1/(1+($D5/12))^T4))</f>
        <v>0</v>
      </c>
      <c r="U5" s="247">
        <f>+Attivo!AC98*(1+$C$5)*((1/(1+($D5/12))^U4))</f>
        <v>0</v>
      </c>
      <c r="V5" s="247">
        <f>+Attivo!AD98*(1+$C$5)*((1/(1+($D5/12))^V4))</f>
        <v>0</v>
      </c>
      <c r="W5" s="247">
        <f>+Attivo!AE98*(1+$C$5)*((1/(1+($D5/12))^W4))</f>
        <v>0</v>
      </c>
      <c r="X5" s="247">
        <f>+Attivo!AF98*(1+$C$5)*((1/(1+($D5/12))^X4))</f>
        <v>0</v>
      </c>
      <c r="Y5" s="247">
        <f>+Attivo!AG98*(1+$C$5)*((1/(1+($D5/12))^Y4))</f>
        <v>0</v>
      </c>
      <c r="Z5" s="247">
        <f>+Attivo!AH98*(1+$C$5)*((1/(1+($D5/12))^Z4))</f>
        <v>0</v>
      </c>
      <c r="AA5" s="247">
        <f>+Attivo!AI98*(1+$C$5)*((1/(1+($D5/12))^AA4))</f>
        <v>0</v>
      </c>
      <c r="AB5" s="247">
        <f>+Attivo!AJ98*(1+$C$5)*((1/(1+($D5/12))^AB4))</f>
        <v>0</v>
      </c>
      <c r="AC5" s="247">
        <f>+Attivo!AK98*(1+$C$5)*((1/(1+($D5/12))^AC4))</f>
        <v>0</v>
      </c>
      <c r="AD5" s="247">
        <f>+Attivo!AL98*(1+$C$5)*((1/(1+($D5/12))^AD4))</f>
        <v>0</v>
      </c>
      <c r="AE5" s="247">
        <f>+Attivo!AM98*(1+$C$5)*((1/(1+($D5/12))^AE4))</f>
        <v>0</v>
      </c>
      <c r="AF5" s="247">
        <f>+Attivo!AN98*(1+$C$5)*((1/(1+($D5/12))^AF4))</f>
        <v>0</v>
      </c>
      <c r="AG5" s="247">
        <f>+Attivo!AO98*(1+$C$5)*((1/(1+($D5/12))^AG4))</f>
        <v>0</v>
      </c>
      <c r="AH5" s="247">
        <f>+Attivo!AP98*(1+$C$5)*((1/(1+($D5/12))^AH4))</f>
        <v>0</v>
      </c>
      <c r="AI5" s="247">
        <f>+Attivo!AQ98*(1+$C$5)*((1/(1+($D5/12))^AI4))</f>
        <v>0</v>
      </c>
      <c r="AJ5" s="247">
        <f>+Attivo!AR98*(1+$C$5)*((1/(1+($D5/12))^AJ4))</f>
        <v>0</v>
      </c>
      <c r="AK5" s="247">
        <f>+Attivo!AS98*(1+$C$5)*((1/(1+($D5/12))^AK4))</f>
        <v>0</v>
      </c>
      <c r="AL5" s="247">
        <f>+Attivo!AT98*(1+$C$5)*((1/(1+($D5/12))^AL4))</f>
        <v>0</v>
      </c>
      <c r="AM5" s="247">
        <f>+Attivo!AU98*(1+$C$5)*((1/(1+($D5/12))^AM4))</f>
        <v>0</v>
      </c>
      <c r="AN5" s="247">
        <f>+Attivo!AV98*(1+$C$5)*((1/(1+($D5/12))^AN4))</f>
        <v>0</v>
      </c>
      <c r="AO5" s="247">
        <f>+Attivo!AW98*(1+$C$5)*((1/(1+($D5/12))^AO4))</f>
        <v>0</v>
      </c>
      <c r="AP5" s="247">
        <f>+Attivo!AX98*(1+$C$5)*((1/(1+($D5/12))^AP4))</f>
        <v>0</v>
      </c>
      <c r="AQ5" s="247">
        <f>+Attivo!AY98*(1+$C$5)*((1/(1+($D5/12))^AQ4))</f>
        <v>0</v>
      </c>
      <c r="AR5" s="247">
        <f>+Attivo!AZ98*(1+$C$5)*((1/(1+($D5/12))^AR4))</f>
        <v>0</v>
      </c>
      <c r="AS5" s="247">
        <f>+Attivo!BA98*(1+$C$5)*((1/(1+($D5/12))^AS4))</f>
        <v>0</v>
      </c>
      <c r="AT5" s="247">
        <f>+Attivo!BB98*(1+$C$5)*((1/(1+($D5/12))^AT4))</f>
        <v>0</v>
      </c>
      <c r="AU5" s="247">
        <f>+Attivo!BC98*(1+$C$5)*((1/(1+($D5/12))^AU4))</f>
        <v>0</v>
      </c>
      <c r="AV5" s="247">
        <f>+Attivo!BD98*(1+$C$5)*((1/(1+($D5/12))^AV4))</f>
        <v>0</v>
      </c>
      <c r="AW5" s="247">
        <f>+Attivo!BE98*(1+$C$5)*((1/(1+($D5/12))^AW4))</f>
        <v>0</v>
      </c>
      <c r="AX5" s="247">
        <f>+Attivo!BF98*(1+$C$5)*((1/(1+($D5/12))^AX4))</f>
        <v>0</v>
      </c>
      <c r="AY5" s="247">
        <f>+Attivo!BG98*(1+$C$5)*((1/(1+($D5/12))^AY4))</f>
        <v>0</v>
      </c>
      <c r="AZ5" s="247">
        <f>+Attivo!BH98*(1+$C$5)*((1/(1+($D5/12))^AZ4))</f>
        <v>0</v>
      </c>
      <c r="BA5" s="247">
        <f>+Attivo!BI98*(1+$C$5)*((1/(1+($D5/12))^BA4))</f>
        <v>0</v>
      </c>
      <c r="BB5" s="247">
        <f>+Attivo!BJ98*(1+$C$5)*((1/(1+($D5/12))^BB4))</f>
        <v>0</v>
      </c>
      <c r="BC5" s="247">
        <f>+Attivo!BK98*(1+$C$5)*((1/(1+($D5/12))^BC4))</f>
        <v>0</v>
      </c>
      <c r="BD5" s="247">
        <f>+Attivo!BL98*(1+$C$5)*((1/(1+($D5/12))^BD4))</f>
        <v>0</v>
      </c>
      <c r="BE5" s="247">
        <f>+Attivo!BM98*(1+$C$5)*((1/(1+($D5/12))^BE4))</f>
        <v>0</v>
      </c>
      <c r="BF5" s="247">
        <f>+Attivo!BN98*(1+$C$5)*((1/(1+($D5/12))^BF4))</f>
        <v>0</v>
      </c>
      <c r="BG5" s="247">
        <f>+Attivo!BO98*(1+$C$5)*((1/(1+($D5/12))^BG4))</f>
        <v>0</v>
      </c>
      <c r="BH5" s="247">
        <f>+Attivo!BP98*(1+$C$5)*((1/(1+($D5/12))^BH4))</f>
        <v>0</v>
      </c>
      <c r="BI5" s="247">
        <f>+Attivo!BQ98*(1+$C$5)*((1/(1+($D5/12))^BI4))</f>
        <v>0</v>
      </c>
      <c r="BJ5" s="247">
        <f>+Attivo!BR98*(1+$C$5)*((1/(1+($D5/12))^BJ4))</f>
        <v>0</v>
      </c>
      <c r="BK5" s="247">
        <f>+Attivo!BS98*(1+$C$5)*((1/(1+($D5/12))^BK4))</f>
        <v>0</v>
      </c>
      <c r="BL5" s="247">
        <f>+Attivo!BT98*(1+$C$5)*((1/(1+($D5/12))^BL4))</f>
        <v>0</v>
      </c>
      <c r="BM5" s="247">
        <f>+Attivo!BU98*(1+$C$5)*((1/(1+($D5/12))^BM4))</f>
        <v>0</v>
      </c>
      <c r="BN5" s="247">
        <f>+Attivo!BV98*(1+$C$5)*((1/(1+($D5/12))^BN4))</f>
        <v>0</v>
      </c>
      <c r="BO5" s="247">
        <f>+Attivo!BW98*(1+$C$5)*((1/(1+($D5/12))^BO4))</f>
        <v>0</v>
      </c>
      <c r="BP5" s="247">
        <f>+Attivo!BX98*(1+$C$5)*((1/(1+($D5/12))^BP4))</f>
        <v>0</v>
      </c>
      <c r="BQ5" s="247">
        <f>+Attivo!BY98*(1+$C$5)*((1/(1+($D5/12))^BQ4))</f>
        <v>0</v>
      </c>
      <c r="BR5" s="247">
        <f>+Attivo!BZ98*(1+$C$5)*((1/(1+($D5/12))^BR4))</f>
        <v>0</v>
      </c>
      <c r="BS5" s="247">
        <f>+Attivo!CA98*(1+$C$5)*((1/(1+($D5/12))^BS4))</f>
        <v>0</v>
      </c>
      <c r="BT5" s="247">
        <f>+Attivo!CB98*(1+$C$5)*((1/(1+($D5/12))^BT4))</f>
        <v>0</v>
      </c>
      <c r="BU5" s="247">
        <f>+Attivo!CC98*(1+$C$5)*((1/(1+($D5/12))^BU4))</f>
        <v>0</v>
      </c>
      <c r="BV5" s="247">
        <f>+Attivo!CD98*(1+$C$5)*((1/(1+($D5/12))^BV4))</f>
        <v>0</v>
      </c>
      <c r="BW5" s="247">
        <f>+Attivo!CE98*(1+$C$5)*((1/(1+($D5/12))^BW4))</f>
        <v>0</v>
      </c>
      <c r="BX5" s="247">
        <f>+Attivo!CF98*(1+$C$5)*((1/(1+($D5/12))^BX4))</f>
        <v>0</v>
      </c>
      <c r="BY5" s="247">
        <f>+Attivo!CG98*(1+$C$5)*((1/(1+($D5/12))^BY4))</f>
        <v>0</v>
      </c>
      <c r="BZ5" s="247">
        <f>+Attivo!CH98*(1+$C$5)*((1/(1+($D5/12))^BZ4))</f>
        <v>0</v>
      </c>
      <c r="CA5" s="247">
        <f>+Attivo!CI98*(1+$C$5)*((1/(1+($D5/12))^CA4))</f>
        <v>0</v>
      </c>
      <c r="CB5" s="247">
        <f>+Attivo!CJ98*(1+$C$5)*((1/(1+($D5/12))^CB4))</f>
        <v>0</v>
      </c>
      <c r="CC5" s="247">
        <f>+Attivo!CK98*(1+$C$5)*((1/(1+($D5/12))^CC4))</f>
        <v>0</v>
      </c>
      <c r="CD5" s="247">
        <f>+Attivo!CL98*(1+$C$5)*((1/(1+($D5/12))^CD4))</f>
        <v>0</v>
      </c>
      <c r="CE5" s="247">
        <f>+Attivo!CM98*(1+$C$5)*((1/(1+($D5/12))^CE4))</f>
        <v>0</v>
      </c>
      <c r="CF5" s="247">
        <f>+Attivo!CN98*(1+$C$5)*((1/(1+($D5/12))^CF4))</f>
        <v>0</v>
      </c>
      <c r="CG5" s="247">
        <f>+Attivo!CO98*(1+$C$5)*((1/(1+($D5/12))^CG4))</f>
        <v>0</v>
      </c>
      <c r="CH5" s="247">
        <f>+Attivo!CP98*(1+$C$5)*((1/(1+($D5/12))^CH4))</f>
        <v>0</v>
      </c>
      <c r="CI5" s="247">
        <f>+Attivo!CQ98*(1+$C$5)*((1/(1+($D5/12))^CI4))</f>
        <v>0</v>
      </c>
      <c r="CJ5" s="247">
        <f>+Attivo!CR98*(1+$C$5)*((1/(1+($D5/12))^CJ4))</f>
        <v>0</v>
      </c>
      <c r="CK5" s="247">
        <f>+Attivo!CS98*(1+$C$5)*((1/(1+($D5/12))^CK4))</f>
        <v>0</v>
      </c>
      <c r="CL5" s="247">
        <f>+Attivo!CT98*(1+$C$5)*((1/(1+($D5/12))^CL4))</f>
        <v>0</v>
      </c>
      <c r="CM5" s="247">
        <f>+Attivo!CU98*(1+$C$5)*((1/(1+($D5/12))^CM4))</f>
        <v>0</v>
      </c>
      <c r="CN5" s="247">
        <f>+Attivo!CV98*(1+$C$5)*((1/(1+($D5/12))^CN4))</f>
        <v>0</v>
      </c>
      <c r="CO5" s="247">
        <f>+Attivo!CW98*(1+$C$5)*((1/(1+($D5/12))^CO4))</f>
        <v>0</v>
      </c>
      <c r="CP5" s="247">
        <f>+Attivo!CX98*(1+$C$5)*((1/(1+($D5/12))^CP4))</f>
        <v>0</v>
      </c>
      <c r="CQ5" s="247">
        <f>+Attivo!CY98*(1+$C$5)*((1/(1+($D5/12))^CQ4))</f>
        <v>0</v>
      </c>
      <c r="CR5" s="247">
        <f>+Attivo!CZ98*(1+$C$5)*((1/(1+($D5/12))^CR4))</f>
        <v>0</v>
      </c>
      <c r="CS5" s="247">
        <f>+Attivo!DA98*(1+$C$5)*((1/(1+($D5/12))^CS4))</f>
        <v>0</v>
      </c>
      <c r="CT5" s="247">
        <f>+Attivo!DB98*(1+$C$5)*((1/(1+($D5/12))^CT4))</f>
        <v>0</v>
      </c>
      <c r="CU5" s="247">
        <f>+Attivo!DC98*(1+$C$5)*((1/(1+($D5/12))^CU4))</f>
        <v>0</v>
      </c>
      <c r="CV5" s="247">
        <f>+Attivo!DD98*(1+$C$5)*((1/(1+($D5/12))^CV4))</f>
        <v>0</v>
      </c>
      <c r="CW5" s="247">
        <f>+Attivo!DE98*(1+$C$5)*((1/(1+($D5/12))^CW4))</f>
        <v>0</v>
      </c>
      <c r="CX5" s="247">
        <f>+Attivo!DF98*(1+$C$5)*((1/(1+($D5/12))^CX4))</f>
        <v>0</v>
      </c>
      <c r="CY5" s="247">
        <f>+Attivo!DG98*(1+$C$5)*((1/(1+($D5/12))^CY4))</f>
        <v>0</v>
      </c>
      <c r="CZ5" s="247">
        <f>+Attivo!DH98*(1+$C$5)*((1/(1+($D5/12))^CZ4))</f>
        <v>0</v>
      </c>
      <c r="DA5" s="247">
        <f>+Attivo!DI98*(1+$C$5)*((1/(1+($D5/12))^DA4))</f>
        <v>0</v>
      </c>
      <c r="DB5" s="247">
        <f>+Attivo!DJ98*(1+$C$5)*((1/(1+($D5/12))^DB4))</f>
        <v>0</v>
      </c>
      <c r="DC5" s="247">
        <f>+Attivo!DK98*(1+$C$5)*((1/(1+($D5/12))^DC4))</f>
        <v>0</v>
      </c>
      <c r="DD5" s="247">
        <f>+Attivo!DL98*(1+$C$5)*((1/(1+($D5/12))^DD4))</f>
        <v>0</v>
      </c>
      <c r="DE5" s="247">
        <f>+Attivo!DM98*(1+$C$5)*((1/(1+($D5/12))^DE4))</f>
        <v>0</v>
      </c>
      <c r="DF5" s="247">
        <f>+Attivo!DN98*(1+$C$5)*((1/(1+($D5/12))^DF4))</f>
        <v>0</v>
      </c>
      <c r="DG5" s="247">
        <f>+Attivo!DO98*(1+$C$5)*((1/(1+($D5/12))^DG4))</f>
        <v>0</v>
      </c>
      <c r="DH5" s="247">
        <f>+Attivo!DP98*(1+$C$5)*((1/(1+($D5/12))^DH4))</f>
        <v>0</v>
      </c>
      <c r="DI5" s="247">
        <f>+Attivo!DQ98*(1+$C$5)*((1/(1+($D5/12))^DI4))</f>
        <v>0</v>
      </c>
      <c r="DJ5" s="247">
        <f>+Attivo!DR98*(1+$C$5)*((1/(1+($D5/12))^DJ4))</f>
        <v>0</v>
      </c>
      <c r="DK5" s="247">
        <f>+Attivo!DS98*(1+$C$5)*((1/(1+($D5/12))^DK4))</f>
        <v>0</v>
      </c>
      <c r="DL5" s="247">
        <f>+Attivo!DT98*(1+$C$5)*((1/(1+($D5/12))^DL4))</f>
        <v>0</v>
      </c>
      <c r="DM5" s="247">
        <f>+Attivo!DU98*(1+$C$5)*((1/(1+($D5/12))^DM4))</f>
        <v>0</v>
      </c>
      <c r="DN5" s="247">
        <f>+Attivo!DV98*(1+$C$5)*((1/(1+($D5/12))^DN4))</f>
        <v>0</v>
      </c>
      <c r="DO5" s="247">
        <f>+Attivo!DW98*(1+$C$5)*((1/(1+($D5/12))^DO4))</f>
        <v>0</v>
      </c>
      <c r="DP5" s="247">
        <f>+Attivo!DX98*(1+$C$5)*((1/(1+($D5/12))^DP4))</f>
        <v>0</v>
      </c>
      <c r="DQ5" s="247">
        <f>+Attivo!DY98*(1+$C$5)*((1/(1+($D5/12))^DQ4))</f>
        <v>0</v>
      </c>
      <c r="DR5" s="247">
        <f>+Attivo!DZ98*(1+$C$5)*((1/(1+($D5/12))^DR4))</f>
        <v>0</v>
      </c>
      <c r="DS5" s="247">
        <f>+Attivo!EA98*(1+$C$5)*((1/(1+($D5/12))^DS4))</f>
        <v>0</v>
      </c>
      <c r="DT5" s="247">
        <f>+Attivo!EB98*(1+$C$5)*((1/(1+($D5/12))^DT4))</f>
        <v>0</v>
      </c>
      <c r="DU5" s="247">
        <f>+Attivo!EC98*(1+$C$5)*((1/(1+($D5/12))^DU4))</f>
        <v>0</v>
      </c>
      <c r="DV5" s="247">
        <f>+Attivo!ED98*(1+$C$5)*((1/(1+($D5/12))^DV4))</f>
        <v>0</v>
      </c>
      <c r="DW5" s="247">
        <f>+Attivo!EE98*(1+$C$5)*((1/(1+($D5/12))^DW4))</f>
        <v>0</v>
      </c>
      <c r="DX5" s="247">
        <f>+Attivo!EF98*(1+$C$5)*((1/(1+($D5/12))^DX4))</f>
        <v>0</v>
      </c>
      <c r="DY5" s="247">
        <f>+Attivo!EG98*(1+$C$5)*((1/(1+($D5/12))^DY4))</f>
        <v>0</v>
      </c>
    </row>
    <row r="6" ht="14.5">
      <c r="H6" s="246">
        <f>SUM(J6:DY6)</f>
        <v>0</v>
      </c>
      <c r="I6" s="103" t="s">
        <v>1160</v>
      </c>
      <c r="J6" s="247">
        <f>+Attivo!R91*(1+$C$6)*((1/(1+($D6/12))^J4))</f>
        <v>0</v>
      </c>
      <c r="K6" s="247">
        <f>+Attivo!S91*(1+$C$6)*((1/(1+($D6/12))^K4))</f>
        <v>0</v>
      </c>
      <c r="L6" s="247">
        <f>+Attivo!T91*(1+$C$6)*((1/(1+($D6/12))^L4))</f>
        <v>0</v>
      </c>
      <c r="M6" s="247">
        <f>+Attivo!U91*(1+$C$6)*((1/(1+($D6/12))^M4))</f>
        <v>0</v>
      </c>
      <c r="N6" s="247">
        <f>+Attivo!V91*(1+$C$6)*((1/(1+($D6/12))^N4))</f>
        <v>0</v>
      </c>
      <c r="O6" s="247">
        <f>+Attivo!W91*(1+$C$6)*((1/(1+($D6/12))^O4))</f>
        <v>0</v>
      </c>
      <c r="P6" s="247">
        <f>+Attivo!X91*(1+$C$6)*((1/(1+($D6/12))^P4))</f>
        <v>0</v>
      </c>
      <c r="Q6" s="247">
        <f>+Attivo!Y91*(1+$C$6)*((1/(1+($D6/12))^Q4))</f>
        <v>0</v>
      </c>
      <c r="R6" s="247">
        <f>+Attivo!Z91*(1+$C$6)*((1/(1+($D6/12))^R4))</f>
        <v>0</v>
      </c>
      <c r="S6" s="247">
        <f>+Attivo!AA91*(1+$C$6)*((1/(1+($D6/12))^S4))</f>
        <v>0</v>
      </c>
      <c r="T6" s="247">
        <f>+Attivo!AB91*(1+$C$6)*((1/(1+($D6/12))^T4))</f>
        <v>0</v>
      </c>
      <c r="U6" s="247">
        <f>+Attivo!AC91*(1+$C$6)*((1/(1+($D6/12))^U4))</f>
        <v>0</v>
      </c>
      <c r="V6" s="247">
        <f>+Attivo!AD91*(1+$C$6)*((1/(1+($D6/12))^V4))</f>
        <v>0</v>
      </c>
      <c r="W6" s="247">
        <f>+Attivo!AE91*(1+$C$6)*((1/(1+($D6/12))^W4))</f>
        <v>0</v>
      </c>
      <c r="X6" s="247">
        <f>+Attivo!AF91*(1+$C$6)*((1/(1+($D6/12))^X4))</f>
        <v>0</v>
      </c>
      <c r="Y6" s="247">
        <f>+Attivo!AG91*(1+$C$6)*((1/(1+($D6/12))^Y4))</f>
        <v>0</v>
      </c>
      <c r="Z6" s="247">
        <f>+Attivo!AH91*(1+$C$6)*((1/(1+($D6/12))^Z4))</f>
        <v>0</v>
      </c>
      <c r="AA6" s="247">
        <f>+Attivo!AI91*(1+$C$6)*((1/(1+($D6/12))^AA4))</f>
        <v>0</v>
      </c>
      <c r="AB6" s="247">
        <f>+Attivo!AJ91*(1+$C$6)*((1/(1+($D6/12))^AB4))</f>
        <v>0</v>
      </c>
      <c r="AC6" s="247">
        <f>+Attivo!AK91*(1+$C$6)*((1/(1+($D6/12))^AC4))</f>
        <v>0</v>
      </c>
      <c r="AD6" s="247">
        <f>+Attivo!AL91*(1+$C$6)*((1/(1+($D6/12))^AD4))</f>
        <v>0</v>
      </c>
      <c r="AE6" s="247">
        <f>+Attivo!AM91*(1+$C$6)*((1/(1+($D6/12))^AE4))</f>
        <v>0</v>
      </c>
      <c r="AF6" s="247">
        <f>+Attivo!AN91*(1+$C$6)*((1/(1+($D6/12))^AF4))</f>
        <v>0</v>
      </c>
      <c r="AG6" s="247">
        <f>+Attivo!AO91*(1+$C$6)*((1/(1+($D6/12))^AG4))</f>
        <v>0</v>
      </c>
      <c r="AH6" s="247">
        <f>+Attivo!AP91*(1+$C$6)*((1/(1+($D6/12))^AH4))</f>
        <v>0</v>
      </c>
      <c r="AI6" s="247">
        <f>+Attivo!AQ91*(1+$C$6)*((1/(1+($D6/12))^AI4))</f>
        <v>0</v>
      </c>
      <c r="AJ6" s="247">
        <f>+Attivo!AR91*(1+$C$6)*((1/(1+($D6/12))^AJ4))</f>
        <v>0</v>
      </c>
      <c r="AK6" s="247">
        <f>+Attivo!AS91*(1+$C$6)*((1/(1+($D6/12))^AK4))</f>
        <v>0</v>
      </c>
      <c r="AL6" s="247">
        <f>+Attivo!AT91*(1+$C$6)*((1/(1+($D6/12))^AL4))</f>
        <v>0</v>
      </c>
      <c r="AM6" s="247">
        <f>+Attivo!AU91*(1+$C$6)*((1/(1+($D6/12))^AM4))</f>
        <v>0</v>
      </c>
      <c r="AN6" s="247">
        <f>+Attivo!AV91*(1+$C$6)*((1/(1+($D6/12))^AN4))</f>
        <v>0</v>
      </c>
      <c r="AO6" s="247">
        <f>+Attivo!AW91*(1+$C$6)*((1/(1+($D6/12))^AO4))</f>
        <v>0</v>
      </c>
      <c r="AP6" s="247">
        <f>+Attivo!AX91*(1+$C$6)*((1/(1+($D6/12))^AP4))</f>
        <v>0</v>
      </c>
      <c r="AQ6" s="247">
        <f>+Attivo!AY91*(1+$C$6)*((1/(1+($D6/12))^AQ4))</f>
        <v>0</v>
      </c>
      <c r="AR6" s="247">
        <f>+Attivo!AZ91*(1+$C$6)*((1/(1+($D6/12))^AR4))</f>
        <v>0</v>
      </c>
      <c r="AS6" s="247">
        <f>+Attivo!BA91*(1+$C$6)*((1/(1+($D6/12))^AS4))</f>
        <v>0</v>
      </c>
      <c r="AT6" s="247">
        <f>+Attivo!BB91*(1+$C$6)*((1/(1+($D6/12))^AT4))</f>
        <v>0</v>
      </c>
      <c r="AU6" s="247">
        <f>+Attivo!BC91*(1+$C$6)*((1/(1+($D6/12))^AU4))</f>
        <v>0</v>
      </c>
      <c r="AV6" s="247">
        <f>+Attivo!BD91*(1+$C$6)*((1/(1+($D6/12))^AV4))</f>
        <v>0</v>
      </c>
      <c r="AW6" s="247">
        <f>+Attivo!BE91*(1+$C$6)*((1/(1+($D6/12))^AW4))</f>
        <v>0</v>
      </c>
      <c r="AX6" s="247">
        <f>+Attivo!BF91*(1+$C$6)*((1/(1+($D6/12))^AX4))</f>
        <v>0</v>
      </c>
      <c r="AY6" s="247">
        <f>+Attivo!BG91*(1+$C$6)*((1/(1+($D6/12))^AY4))</f>
        <v>0</v>
      </c>
      <c r="AZ6" s="247">
        <f>+Attivo!BH91*(1+$C$6)*((1/(1+($D6/12))^AZ4))</f>
        <v>0</v>
      </c>
      <c r="BA6" s="247">
        <f>+Attivo!BI91*(1+$C$6)*((1/(1+($D6/12))^BA4))</f>
        <v>0</v>
      </c>
      <c r="BB6" s="247">
        <f>+Attivo!BJ91*(1+$C$6)*((1/(1+($D6/12))^BB4))</f>
        <v>0</v>
      </c>
      <c r="BC6" s="247">
        <f>+Attivo!BK91*(1+$C$6)*((1/(1+($D6/12))^BC4))</f>
        <v>0</v>
      </c>
      <c r="BD6" s="247">
        <f>+Attivo!BL91*(1+$C$6)*((1/(1+($D6/12))^BD4))</f>
        <v>0</v>
      </c>
      <c r="BE6" s="247">
        <f>+Attivo!BM91*(1+$C$6)*((1/(1+($D6/12))^BE4))</f>
        <v>0</v>
      </c>
      <c r="BF6" s="247">
        <f>+Attivo!BN91*(1+$C$6)*((1/(1+($D6/12))^BF4))</f>
        <v>0</v>
      </c>
      <c r="BG6" s="247">
        <f>+Attivo!BO91*(1+$C$6)*((1/(1+($D6/12))^BG4))</f>
        <v>0</v>
      </c>
      <c r="BH6" s="247">
        <f>+Attivo!BP91*(1+$C$6)*((1/(1+($D6/12))^BH4))</f>
        <v>0</v>
      </c>
      <c r="BI6" s="247">
        <f>+Attivo!BQ91*(1+$C$6)*((1/(1+($D6/12))^BI4))</f>
        <v>0</v>
      </c>
      <c r="BJ6" s="247">
        <f>+Attivo!BR91*(1+$C$6)*((1/(1+($D6/12))^BJ4))</f>
        <v>0</v>
      </c>
      <c r="BK6" s="247">
        <f>+Attivo!BS91*(1+$C$6)*((1/(1+($D6/12))^BK4))</f>
        <v>0</v>
      </c>
      <c r="BL6" s="247">
        <f>+Attivo!BT91*(1+$C$6)*((1/(1+($D6/12))^BL4))</f>
        <v>0</v>
      </c>
      <c r="BM6" s="247">
        <f>+Attivo!BU91*(1+$C$6)*((1/(1+($D6/12))^BM4))</f>
        <v>0</v>
      </c>
      <c r="BN6" s="247">
        <f>+Attivo!BV91*(1+$C$6)*((1/(1+($D6/12))^BN4))</f>
        <v>0</v>
      </c>
      <c r="BO6" s="247">
        <f>+Attivo!BW91*(1+$C$6)*((1/(1+($D6/12))^BO4))</f>
        <v>0</v>
      </c>
      <c r="BP6" s="247">
        <f>+Attivo!BX91*(1+$C$6)*((1/(1+($D6/12))^BP4))</f>
        <v>0</v>
      </c>
      <c r="BQ6" s="247">
        <f>+Attivo!BY91*(1+$C$6)*((1/(1+($D6/12))^BQ4))</f>
        <v>0</v>
      </c>
      <c r="BR6" s="247">
        <f>+Attivo!BZ91*(1+$C$6)*((1/(1+($D6/12))^BR4))</f>
        <v>0</v>
      </c>
      <c r="BS6" s="247">
        <f>+Attivo!CA91*(1+$C$6)*((1/(1+($D6/12))^BS4))</f>
        <v>0</v>
      </c>
      <c r="BT6" s="247">
        <f>+Attivo!CB91*(1+$C$6)*((1/(1+($D6/12))^BT4))</f>
        <v>0</v>
      </c>
      <c r="BU6" s="247">
        <f>+Attivo!CC91*(1+$C$6)*((1/(1+($D6/12))^BU4))</f>
        <v>0</v>
      </c>
      <c r="BV6" s="247">
        <f>+Attivo!CD91*(1+$C$6)*((1/(1+($D6/12))^BV4))</f>
        <v>0</v>
      </c>
      <c r="BW6" s="247">
        <f>+Attivo!CE91*(1+$C$6)*((1/(1+($D6/12))^BW4))</f>
        <v>0</v>
      </c>
      <c r="BX6" s="247">
        <f>+Attivo!CF91*(1+$C$6)*((1/(1+($D6/12))^BX4))</f>
        <v>0</v>
      </c>
      <c r="BY6" s="247">
        <f>+Attivo!CG91*(1+$C$6)*((1/(1+($D6/12))^BY4))</f>
        <v>0</v>
      </c>
      <c r="BZ6" s="247">
        <f>+Attivo!CH91*(1+$C$6)*((1/(1+($D6/12))^BZ4))</f>
        <v>0</v>
      </c>
      <c r="CA6" s="247">
        <f>+Attivo!CI91*(1+$C$6)*((1/(1+($D6/12))^CA4))</f>
        <v>0</v>
      </c>
      <c r="CB6" s="247">
        <f>+Attivo!CJ91*(1+$C$6)*((1/(1+($D6/12))^CB4))</f>
        <v>0</v>
      </c>
      <c r="CC6" s="247">
        <f>+Attivo!CK91*(1+$C$6)*((1/(1+($D6/12))^CC4))</f>
        <v>0</v>
      </c>
      <c r="CD6" s="247">
        <f>+Attivo!CL91*(1+$C$6)*((1/(1+($D6/12))^CD4))</f>
        <v>0</v>
      </c>
      <c r="CE6" s="247">
        <f>+Attivo!CM91*(1+$C$6)*((1/(1+($D6/12))^CE4))</f>
        <v>0</v>
      </c>
      <c r="CF6" s="247">
        <f>+Attivo!CN91*(1+$C$6)*((1/(1+($D6/12))^CF4))</f>
        <v>0</v>
      </c>
      <c r="CG6" s="247">
        <f>+Attivo!CO91*(1+$C$6)*((1/(1+($D6/12))^CG4))</f>
        <v>0</v>
      </c>
      <c r="CH6" s="247">
        <f>+Attivo!CP91*(1+$C$6)*((1/(1+($D6/12))^CH4))</f>
        <v>0</v>
      </c>
      <c r="CI6" s="247">
        <f>+Attivo!CQ91*(1+$C$6)*((1/(1+($D6/12))^CI4))</f>
        <v>0</v>
      </c>
      <c r="CJ6" s="247">
        <f>+Attivo!CR91*(1+$C$6)*((1/(1+($D6/12))^CJ4))</f>
        <v>0</v>
      </c>
      <c r="CK6" s="247">
        <f>+Attivo!CS91*(1+$C$6)*((1/(1+($D6/12))^CK4))</f>
        <v>0</v>
      </c>
      <c r="CL6" s="247">
        <f>+Attivo!CT91*(1+$C$6)*((1/(1+($D6/12))^CL4))</f>
        <v>0</v>
      </c>
      <c r="CM6" s="247">
        <f>+Attivo!CU91*(1+$C$6)*((1/(1+($D6/12))^CM4))</f>
        <v>0</v>
      </c>
      <c r="CN6" s="247">
        <f>+Attivo!CV91*(1+$C$6)*((1/(1+($D6/12))^CN4))</f>
        <v>0</v>
      </c>
      <c r="CO6" s="247">
        <f>+Attivo!CW91*(1+$C$6)*((1/(1+($D6/12))^CO4))</f>
        <v>0</v>
      </c>
      <c r="CP6" s="247">
        <f>+Attivo!CX91*(1+$C$6)*((1/(1+($D6/12))^CP4))</f>
        <v>0</v>
      </c>
      <c r="CQ6" s="247">
        <f>+Attivo!CY91*(1+$C$6)*((1/(1+($D6/12))^CQ4))</f>
        <v>0</v>
      </c>
      <c r="CR6" s="247">
        <f>+Attivo!CZ91*(1+$C$6)*((1/(1+($D6/12))^CR4))</f>
        <v>0</v>
      </c>
      <c r="CS6" s="247">
        <f>+Attivo!DA91*(1+$C$6)*((1/(1+($D6/12))^CS4))</f>
        <v>0</v>
      </c>
      <c r="CT6" s="247">
        <f>+Attivo!DB91*(1+$C$6)*((1/(1+($D6/12))^CT4))</f>
        <v>0</v>
      </c>
      <c r="CU6" s="247">
        <f>+Attivo!DC91*(1+$C$6)*((1/(1+($D6/12))^CU4))</f>
        <v>0</v>
      </c>
      <c r="CV6" s="247">
        <f>+Attivo!DD91*(1+$C$6)*((1/(1+($D6/12))^CV4))</f>
        <v>0</v>
      </c>
      <c r="CW6" s="247">
        <f>+Attivo!DE91*(1+$C$6)*((1/(1+($D6/12))^CW4))</f>
        <v>0</v>
      </c>
      <c r="CX6" s="247">
        <f>+Attivo!DF91*(1+$C$6)*((1/(1+($D6/12))^CX4))</f>
        <v>0</v>
      </c>
      <c r="CY6" s="247">
        <f>+Attivo!DG91*(1+$C$6)*((1/(1+($D6/12))^CY4))</f>
        <v>0</v>
      </c>
      <c r="CZ6" s="247">
        <f>+Attivo!DH91*(1+$C$6)*((1/(1+($D6/12))^CZ4))</f>
        <v>0</v>
      </c>
      <c r="DA6" s="247">
        <f>+Attivo!DI91*(1+$C$6)*((1/(1+($D6/12))^DA4))</f>
        <v>0</v>
      </c>
      <c r="DB6" s="247">
        <f>+Attivo!DJ91*(1+$C$6)*((1/(1+($D6/12))^DB4))</f>
        <v>0</v>
      </c>
      <c r="DC6" s="247">
        <f>+Attivo!DK91*(1+$C$6)*((1/(1+($D6/12))^DC4))</f>
        <v>0</v>
      </c>
      <c r="DD6" s="247">
        <f>+Attivo!DL91*(1+$C$6)*((1/(1+($D6/12))^DD4))</f>
        <v>0</v>
      </c>
      <c r="DE6" s="247">
        <f>+Attivo!DM91*(1+$C$6)*((1/(1+($D6/12))^DE4))</f>
        <v>0</v>
      </c>
      <c r="DF6" s="247">
        <f>+Attivo!DN91*(1+$C$6)*((1/(1+($D6/12))^DF4))</f>
        <v>0</v>
      </c>
      <c r="DG6" s="247">
        <f>+Attivo!DO91*(1+$C$6)*((1/(1+($D6/12))^DG4))</f>
        <v>0</v>
      </c>
      <c r="DH6" s="247">
        <f>+Attivo!DP91*(1+$C$6)*((1/(1+($D6/12))^DH4))</f>
        <v>0</v>
      </c>
      <c r="DI6" s="247">
        <f>+Attivo!DQ91*(1+$C$6)*((1/(1+($D6/12))^DI4))</f>
        <v>0</v>
      </c>
      <c r="DJ6" s="247">
        <f>+Attivo!DR91*(1+$C$6)*((1/(1+($D6/12))^DJ4))</f>
        <v>0</v>
      </c>
      <c r="DK6" s="247">
        <f>+Attivo!DS91*(1+$C$6)*((1/(1+($D6/12))^DK4))</f>
        <v>0</v>
      </c>
      <c r="DL6" s="247">
        <f>+Attivo!DT91*(1+$C$6)*((1/(1+($D6/12))^DL4))</f>
        <v>0</v>
      </c>
      <c r="DM6" s="247">
        <f>+Attivo!DU91*(1+$C$6)*((1/(1+($D6/12))^DM4))</f>
        <v>0</v>
      </c>
      <c r="DN6" s="247">
        <f>+Attivo!DV91*(1+$C$6)*((1/(1+($D6/12))^DN4))</f>
        <v>0</v>
      </c>
      <c r="DO6" s="247">
        <f>+Attivo!DW91*(1+$C$6)*((1/(1+($D6/12))^DO4))</f>
        <v>0</v>
      </c>
      <c r="DP6" s="247">
        <f>+Attivo!DX91*(1+$C$6)*((1/(1+($D6/12))^DP4))</f>
        <v>0</v>
      </c>
      <c r="DQ6" s="247">
        <f>+Attivo!DY91*(1+$C$6)*((1/(1+($D6/12))^DQ4))</f>
        <v>0</v>
      </c>
      <c r="DR6" s="247">
        <f>+Attivo!DZ91*(1+$C$6)*((1/(1+($D6/12))^DR4))</f>
        <v>0</v>
      </c>
      <c r="DS6" s="247">
        <f>+Attivo!EA91*(1+$C$6)*((1/(1+($D6/12))^DS4))</f>
        <v>0</v>
      </c>
      <c r="DT6" s="247">
        <f>+Attivo!EB91*(1+$C$6)*((1/(1+($D6/12))^DT4))</f>
        <v>0</v>
      </c>
      <c r="DU6" s="247">
        <f>+Attivo!EC91*(1+$C$6)*((1/(1+($D6/12))^DU4))</f>
        <v>0</v>
      </c>
      <c r="DV6" s="247">
        <f>+Attivo!ED91*(1+$C$6)*((1/(1+($D6/12))^DV4))</f>
        <v>0</v>
      </c>
      <c r="DW6" s="247">
        <f>+Attivo!EE91*(1+$C$6)*((1/(1+($D6/12))^DW4))</f>
        <v>0</v>
      </c>
      <c r="DX6" s="247">
        <f>+Attivo!EF91*(1+$C$6)*((1/(1+($D6/12))^DX4))</f>
        <v>0</v>
      </c>
      <c r="DY6" s="247">
        <f>+Attivo!EG91*(1+$C$6)*((1/(1+($D6/12))^DY4))</f>
        <v>0</v>
      </c>
    </row>
    <row r="7" ht="14.5">
      <c r="H7" s="246">
        <f>SUM(J7:DY7)</f>
        <v>0</v>
      </c>
      <c r="I7" s="103" t="s">
        <v>1161</v>
      </c>
      <c r="J7" s="247">
        <f>+Attivo!R121*(1+$C$7)*((1/(1+($D7/12))^J4))</f>
        <v>0</v>
      </c>
      <c r="K7" s="247">
        <f>+Attivo!S121*(1+$C$7)*((1/(1+($D7/12))^K4))</f>
        <v>0</v>
      </c>
      <c r="L7" s="247">
        <f>+Attivo!T121*(1+$C$7)*((1/(1+($D7/12))^L4))</f>
        <v>0</v>
      </c>
      <c r="M7" s="247">
        <f>+Attivo!U121*(1+$C$7)*((1/(1+($D7/12))^M4))</f>
        <v>0</v>
      </c>
      <c r="N7" s="247">
        <f>+Attivo!V121*(1+$C$7)*((1/(1+($D7/12))^N4))</f>
        <v>0</v>
      </c>
      <c r="O7" s="247">
        <f>+Attivo!W121*(1+$C$7)*((1/(1+($D7/12))^O4))</f>
        <v>0</v>
      </c>
      <c r="P7" s="247">
        <f>+Attivo!X121*(1+$C$7)*((1/(1+($D7/12))^P4))</f>
        <v>0</v>
      </c>
      <c r="Q7" s="247">
        <f>+Attivo!Y121*(1+$C$7)*((1/(1+($D7/12))^Q4))</f>
        <v>0</v>
      </c>
      <c r="R7" s="247">
        <f>+Attivo!Z121*(1+$C$7)*((1/(1+($D7/12))^R4))</f>
        <v>0</v>
      </c>
      <c r="S7" s="247">
        <f>+Attivo!AA121*(1+$C$7)*((1/(1+($D7/12))^S4))</f>
        <v>0</v>
      </c>
      <c r="T7" s="247">
        <f>+Attivo!AB121*(1+$C$7)*((1/(1+($D7/12))^T4))</f>
        <v>0</v>
      </c>
      <c r="U7" s="247">
        <f>+Attivo!AC121*(1+$C$7)*((1/(1+($D7/12))^U4))</f>
        <v>0</v>
      </c>
      <c r="V7" s="247">
        <f>+Attivo!AD121*(1+$C$7)*((1/(1+($D7/12))^V4))</f>
        <v>0</v>
      </c>
      <c r="W7" s="247">
        <f>+Attivo!AE121*(1+$C$7)*((1/(1+($D7/12))^W4))</f>
        <v>0</v>
      </c>
      <c r="X7" s="247">
        <f>+Attivo!AF121*(1+$C$7)*((1/(1+($D7/12))^X4))</f>
        <v>0</v>
      </c>
      <c r="Y7" s="247">
        <f>+Attivo!AG121*(1+$C$7)*((1/(1+($D7/12))^Y4))</f>
        <v>0</v>
      </c>
      <c r="Z7" s="247">
        <f>+Attivo!AH121*(1+$C$7)*((1/(1+($D7/12))^Z4))</f>
        <v>0</v>
      </c>
      <c r="AA7" s="247">
        <f>+Attivo!AI121*(1+$C$7)*((1/(1+($D7/12))^AA4))</f>
        <v>0</v>
      </c>
      <c r="AB7" s="247">
        <f>+Attivo!AJ121*(1+$C$7)*((1/(1+($D7/12))^AB4))</f>
        <v>0</v>
      </c>
      <c r="AC7" s="247">
        <f>+Attivo!AK121*(1+$C$7)*((1/(1+($D7/12))^AC4))</f>
        <v>0</v>
      </c>
      <c r="AD7" s="247">
        <f>+Attivo!AL121*(1+$C$7)*((1/(1+($D7/12))^AD4))</f>
        <v>0</v>
      </c>
      <c r="AE7" s="247">
        <f>+Attivo!AM121*(1+$C$7)*((1/(1+($D7/12))^AE4))</f>
        <v>0</v>
      </c>
      <c r="AF7" s="247">
        <f>+Attivo!AN121*(1+$C$7)*((1/(1+($D7/12))^AF4))</f>
        <v>0</v>
      </c>
      <c r="AG7" s="247">
        <f>+Attivo!AO121*(1+$C$7)*((1/(1+($D7/12))^AG4))</f>
        <v>0</v>
      </c>
      <c r="AH7" s="247">
        <f>+Attivo!AP121*(1+$C$7)*((1/(1+($D7/12))^AH4))</f>
        <v>0</v>
      </c>
      <c r="AI7" s="247">
        <f>+Attivo!AQ121*(1+$C$7)*((1/(1+($D7/12))^AI4))</f>
        <v>0</v>
      </c>
      <c r="AJ7" s="247">
        <f>+Attivo!AR121*(1+$C$7)*((1/(1+($D7/12))^AJ4))</f>
        <v>0</v>
      </c>
      <c r="AK7" s="247">
        <f>+Attivo!AS121*(1+$C$7)*((1/(1+($D7/12))^AK4))</f>
        <v>0</v>
      </c>
      <c r="AL7" s="247">
        <f>+Attivo!AT121*(1+$C$7)*((1/(1+($D7/12))^AL4))</f>
        <v>0</v>
      </c>
      <c r="AM7" s="247">
        <f>+Attivo!AU121*(1+$C$7)*((1/(1+($D7/12))^AM4))</f>
        <v>0</v>
      </c>
      <c r="AN7" s="247">
        <f>+Attivo!AV121*(1+$C$7)*((1/(1+($D7/12))^AN4))</f>
        <v>0</v>
      </c>
      <c r="AO7" s="247">
        <f>+Attivo!AW121*(1+$C$7)*((1/(1+($D7/12))^AO4))</f>
        <v>0</v>
      </c>
      <c r="AP7" s="247">
        <f>+Attivo!AX121*(1+$C$7)*((1/(1+($D7/12))^AP4))</f>
        <v>0</v>
      </c>
      <c r="AQ7" s="247">
        <f>+Attivo!AY121*(1+$C$7)*((1/(1+($D7/12))^AQ4))</f>
        <v>0</v>
      </c>
      <c r="AR7" s="247">
        <f>+Attivo!AZ121*(1+$C$7)*((1/(1+($D7/12))^AR4))</f>
        <v>0</v>
      </c>
      <c r="AS7" s="247">
        <f>+Attivo!BA121*(1+$C$7)*((1/(1+($D7/12))^AS4))</f>
        <v>0</v>
      </c>
      <c r="AT7" s="247">
        <f>+Attivo!BB121*(1+$C$7)*((1/(1+($D7/12))^AT4))</f>
        <v>0</v>
      </c>
      <c r="AU7" s="247">
        <f>+Attivo!BC121*(1+$C$7)*((1/(1+($D7/12))^AU4))</f>
        <v>0</v>
      </c>
      <c r="AV7" s="247">
        <f>+Attivo!BD121*(1+$C$7)*((1/(1+($D7/12))^AV4))</f>
        <v>0</v>
      </c>
      <c r="AW7" s="247">
        <f>+Attivo!BE121*(1+$C$7)*((1/(1+($D7/12))^AW4))</f>
        <v>0</v>
      </c>
      <c r="AX7" s="247">
        <f>+Attivo!BF121*(1+$C$7)*((1/(1+($D7/12))^AX4))</f>
        <v>0</v>
      </c>
      <c r="AY7" s="247">
        <f>+Attivo!BG121*(1+$C$7)*((1/(1+($D7/12))^AY4))</f>
        <v>0</v>
      </c>
      <c r="AZ7" s="247">
        <f>+Attivo!BH121*(1+$C$7)*((1/(1+($D7/12))^AZ4))</f>
        <v>0</v>
      </c>
      <c r="BA7" s="247">
        <f>+Attivo!BI121*(1+$C$7)*((1/(1+($D7/12))^BA4))</f>
        <v>0</v>
      </c>
      <c r="BB7" s="247">
        <f>+Attivo!BJ121*(1+$C$7)*((1/(1+($D7/12))^BB4))</f>
        <v>0</v>
      </c>
      <c r="BC7" s="247">
        <f>+Attivo!BK121*(1+$C$7)*((1/(1+($D7/12))^BC4))</f>
        <v>0</v>
      </c>
      <c r="BD7" s="247">
        <f>+Attivo!BL121*(1+$C$7)*((1/(1+($D7/12))^BD4))</f>
        <v>0</v>
      </c>
      <c r="BE7" s="247">
        <f>+Attivo!BM121*(1+$C$7)*((1/(1+($D7/12))^BE4))</f>
        <v>0</v>
      </c>
      <c r="BF7" s="247">
        <f>+Attivo!BN121*(1+$C$7)*((1/(1+($D7/12))^BF4))</f>
        <v>0</v>
      </c>
      <c r="BG7" s="247">
        <f>+Attivo!BO121*(1+$C$7)*((1/(1+($D7/12))^BG4))</f>
        <v>0</v>
      </c>
      <c r="BH7" s="247">
        <f>+Attivo!BP121*(1+$C$7)*((1/(1+($D7/12))^BH4))</f>
        <v>0</v>
      </c>
      <c r="BI7" s="247">
        <f>+Attivo!BQ121*(1+$C$7)*((1/(1+($D7/12))^BI4))</f>
        <v>0</v>
      </c>
      <c r="BJ7" s="247">
        <f>+Attivo!BR121*(1+$C$7)*((1/(1+($D7/12))^BJ4))</f>
        <v>0</v>
      </c>
      <c r="BK7" s="247">
        <f>+Attivo!BS121*(1+$C$7)*((1/(1+($D7/12))^BK4))</f>
        <v>0</v>
      </c>
      <c r="BL7" s="247">
        <f>+Attivo!BT121*(1+$C$7)*((1/(1+($D7/12))^BL4))</f>
        <v>0</v>
      </c>
      <c r="BM7" s="247">
        <f>+Attivo!BU121*(1+$C$7)*((1/(1+($D7/12))^BM4))</f>
        <v>0</v>
      </c>
      <c r="BN7" s="247">
        <f>+Attivo!BV121*(1+$C$7)*((1/(1+($D7/12))^BN4))</f>
        <v>0</v>
      </c>
      <c r="BO7" s="247">
        <f>+Attivo!BW121*(1+$C$7)*((1/(1+($D7/12))^BO4))</f>
        <v>0</v>
      </c>
      <c r="BP7" s="247">
        <f>+Attivo!BX121*(1+$C$7)*((1/(1+($D7/12))^BP4))</f>
        <v>0</v>
      </c>
      <c r="BQ7" s="247">
        <f>+Attivo!BY121*(1+$C$7)*((1/(1+($D7/12))^BQ4))</f>
        <v>0</v>
      </c>
      <c r="BR7" s="247">
        <f>+Attivo!BZ121*(1+$C$7)*((1/(1+($D7/12))^BR4))</f>
        <v>0</v>
      </c>
      <c r="BS7" s="247">
        <f>+Attivo!CA121*(1+$C$7)*((1/(1+($D7/12))^BS4))</f>
        <v>0</v>
      </c>
      <c r="BT7" s="247">
        <f>+Attivo!CB121*(1+$C$7)*((1/(1+($D7/12))^BT4))</f>
        <v>0</v>
      </c>
      <c r="BU7" s="247">
        <f>+Attivo!CC121*(1+$C$7)*((1/(1+($D7/12))^BU4))</f>
        <v>0</v>
      </c>
      <c r="BV7" s="247">
        <f>+Attivo!CD121*(1+$C$7)*((1/(1+($D7/12))^BV4))</f>
        <v>0</v>
      </c>
      <c r="BW7" s="247">
        <f>+Attivo!CE121*(1+$C$7)*((1/(1+($D7/12))^BW4))</f>
        <v>0</v>
      </c>
      <c r="BX7" s="247">
        <f>+Attivo!CF121*(1+$C$7)*((1/(1+($D7/12))^BX4))</f>
        <v>0</v>
      </c>
      <c r="BY7" s="247">
        <f>+Attivo!CG121*(1+$C$7)*((1/(1+($D7/12))^BY4))</f>
        <v>0</v>
      </c>
      <c r="BZ7" s="247">
        <f>+Attivo!CH121*(1+$C$7)*((1/(1+($D7/12))^BZ4))</f>
        <v>0</v>
      </c>
      <c r="CA7" s="247">
        <f>+Attivo!CI121*(1+$C$7)*((1/(1+($D7/12))^CA4))</f>
        <v>0</v>
      </c>
      <c r="CB7" s="247">
        <f>+Attivo!CJ121*(1+$C$7)*((1/(1+($D7/12))^CB4))</f>
        <v>0</v>
      </c>
      <c r="CC7" s="247">
        <f>+Attivo!CK121*(1+$C$7)*((1/(1+($D7/12))^CC4))</f>
        <v>0</v>
      </c>
      <c r="CD7" s="247">
        <f>+Attivo!CL121*(1+$C$7)*((1/(1+($D7/12))^CD4))</f>
        <v>0</v>
      </c>
      <c r="CE7" s="247">
        <f>+Attivo!CM121*(1+$C$7)*((1/(1+($D7/12))^CE4))</f>
        <v>0</v>
      </c>
      <c r="CF7" s="247">
        <f>+Attivo!CN121*(1+$C$7)*((1/(1+($D7/12))^CF4))</f>
        <v>0</v>
      </c>
      <c r="CG7" s="247">
        <f>+Attivo!CO121*(1+$C$7)*((1/(1+($D7/12))^CG4))</f>
        <v>0</v>
      </c>
      <c r="CH7" s="247">
        <f>+Attivo!CP121*(1+$C$7)*((1/(1+($D7/12))^CH4))</f>
        <v>0</v>
      </c>
      <c r="CI7" s="247">
        <f>+Attivo!CQ121*(1+$C$7)*((1/(1+($D7/12))^CI4))</f>
        <v>0</v>
      </c>
      <c r="CJ7" s="247">
        <f>+Attivo!CR121*(1+$C$7)*((1/(1+($D7/12))^CJ4))</f>
        <v>0</v>
      </c>
      <c r="CK7" s="247">
        <f>+Attivo!CS121*(1+$C$7)*((1/(1+($D7/12))^CK4))</f>
        <v>0</v>
      </c>
      <c r="CL7" s="247">
        <f>+Attivo!CT121*(1+$C$7)*((1/(1+($D7/12))^CL4))</f>
        <v>0</v>
      </c>
      <c r="CM7" s="247">
        <f>+Attivo!CU121*(1+$C$7)*((1/(1+($D7/12))^CM4))</f>
        <v>0</v>
      </c>
      <c r="CN7" s="247">
        <f>+Attivo!CV121*(1+$C$7)*((1/(1+($D7/12))^CN4))</f>
        <v>0</v>
      </c>
      <c r="CO7" s="247">
        <f>+Attivo!CW121*(1+$C$7)*((1/(1+($D7/12))^CO4))</f>
        <v>0</v>
      </c>
      <c r="CP7" s="247">
        <f>+Attivo!CX121*(1+$C$7)*((1/(1+($D7/12))^CP4))</f>
        <v>0</v>
      </c>
      <c r="CQ7" s="247">
        <f>+Attivo!CY121*(1+$C$7)*((1/(1+($D7/12))^CQ4))</f>
        <v>0</v>
      </c>
      <c r="CR7" s="247">
        <f>+Attivo!CZ121*(1+$C$7)*((1/(1+($D7/12))^CR4))</f>
        <v>0</v>
      </c>
      <c r="CS7" s="247">
        <f>+Attivo!DA121*(1+$C$7)*((1/(1+($D7/12))^CS4))</f>
        <v>0</v>
      </c>
      <c r="CT7" s="247">
        <f>+Attivo!DB121*(1+$C$7)*((1/(1+($D7/12))^CT4))</f>
        <v>0</v>
      </c>
      <c r="CU7" s="247">
        <f>+Attivo!DC121*(1+$C$7)*((1/(1+($D7/12))^CU4))</f>
        <v>0</v>
      </c>
      <c r="CV7" s="247">
        <f>+Attivo!DD121*(1+$C$7)*((1/(1+($D7/12))^CV4))</f>
        <v>0</v>
      </c>
      <c r="CW7" s="247">
        <f>+Attivo!DE121*(1+$C$7)*((1/(1+($D7/12))^CW4))</f>
        <v>0</v>
      </c>
      <c r="CX7" s="247">
        <f>+Attivo!DF121*(1+$C$7)*((1/(1+($D7/12))^CX4))</f>
        <v>0</v>
      </c>
      <c r="CY7" s="247">
        <f>+Attivo!DG121*(1+$C$7)*((1/(1+($D7/12))^CY4))</f>
        <v>0</v>
      </c>
      <c r="CZ7" s="247">
        <f>+Attivo!DH121*(1+$C$7)*((1/(1+($D7/12))^CZ4))</f>
        <v>0</v>
      </c>
      <c r="DA7" s="247">
        <f>+Attivo!DI121*(1+$C$7)*((1/(1+($D7/12))^DA4))</f>
        <v>0</v>
      </c>
      <c r="DB7" s="247">
        <f>+Attivo!DJ121*(1+$C$7)*((1/(1+($D7/12))^DB4))</f>
        <v>0</v>
      </c>
      <c r="DC7" s="247">
        <f>+Attivo!DK121*(1+$C$7)*((1/(1+($D7/12))^DC4))</f>
        <v>0</v>
      </c>
      <c r="DD7" s="247">
        <f>+Attivo!DL121*(1+$C$7)*((1/(1+($D7/12))^DD4))</f>
        <v>0</v>
      </c>
      <c r="DE7" s="247">
        <f>+Attivo!DM121*(1+$C$7)*((1/(1+($D7/12))^DE4))</f>
        <v>0</v>
      </c>
      <c r="DF7" s="247">
        <f>+Attivo!DN121*(1+$C$7)*((1/(1+($D7/12))^DF4))</f>
        <v>0</v>
      </c>
      <c r="DG7" s="247">
        <f>+Attivo!DO121*(1+$C$7)*((1/(1+($D7/12))^DG4))</f>
        <v>0</v>
      </c>
      <c r="DH7" s="247">
        <f>+Attivo!DP121*(1+$C$7)*((1/(1+($D7/12))^DH4))</f>
        <v>0</v>
      </c>
      <c r="DI7" s="247">
        <f>+Attivo!DQ121*(1+$C$7)*((1/(1+($D7/12))^DI4))</f>
        <v>0</v>
      </c>
      <c r="DJ7" s="247">
        <f>+Attivo!DR121*(1+$C$7)*((1/(1+($D7/12))^DJ4))</f>
        <v>0</v>
      </c>
      <c r="DK7" s="247">
        <f>+Attivo!DS121*(1+$C$7)*((1/(1+($D7/12))^DK4))</f>
        <v>0</v>
      </c>
      <c r="DL7" s="247">
        <f>+Attivo!DT121*(1+$C$7)*((1/(1+($D7/12))^DL4))</f>
        <v>0</v>
      </c>
      <c r="DM7" s="247">
        <f>+Attivo!DU121*(1+$C$7)*((1/(1+($D7/12))^DM4))</f>
        <v>0</v>
      </c>
      <c r="DN7" s="247">
        <f>+Attivo!DV121*(1+$C$7)*((1/(1+($D7/12))^DN4))</f>
        <v>0</v>
      </c>
      <c r="DO7" s="247">
        <f>+Attivo!DW121*(1+$C$7)*((1/(1+($D7/12))^DO4))</f>
        <v>0</v>
      </c>
      <c r="DP7" s="247">
        <f>+Attivo!DX121*(1+$C$7)*((1/(1+($D7/12))^DP4))</f>
        <v>0</v>
      </c>
      <c r="DQ7" s="247">
        <f>+Attivo!DY121*(1+$C$7)*((1/(1+($D7/12))^DQ4))</f>
        <v>0</v>
      </c>
      <c r="DR7" s="247">
        <f>+Attivo!DZ121*(1+$C$7)*((1/(1+($D7/12))^DR4))</f>
        <v>0</v>
      </c>
      <c r="DS7" s="247">
        <f>+Attivo!EA121*(1+$C$7)*((1/(1+($D7/12))^DS4))</f>
        <v>0</v>
      </c>
      <c r="DT7" s="247">
        <f>+Attivo!EB121*(1+$C$7)*((1/(1+($D7/12))^DT4))</f>
        <v>0</v>
      </c>
      <c r="DU7" s="247">
        <f>+Attivo!EC121*(1+$C$7)*((1/(1+($D7/12))^DU4))</f>
        <v>0</v>
      </c>
      <c r="DV7" s="247">
        <f>+Attivo!ED121*(1+$C$7)*((1/(1+($D7/12))^DV4))</f>
        <v>0</v>
      </c>
      <c r="DW7" s="247">
        <f>+Attivo!EE121*(1+$C$7)*((1/(1+($D7/12))^DW4))</f>
        <v>0</v>
      </c>
      <c r="DX7" s="247">
        <f>+Attivo!EF121*(1+$C$7)*((1/(1+($D7/12))^DX4))</f>
        <v>0</v>
      </c>
      <c r="DY7" s="247">
        <f>+Attivo!EG121*(1+$C$7)*((1/(1+($D7/12))^DY4))</f>
        <v>0</v>
      </c>
    </row>
    <row r="8" ht="14.5">
      <c r="H8" s="24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</row>
    <row r="9" ht="14.25" customHeight="1">
      <c r="A9" s="248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</row>
    <row r="10" ht="14.5">
      <c r="H10" s="246">
        <f>SUM(J10:DY10)</f>
        <v>0</v>
      </c>
      <c r="I10" s="249" t="s">
        <v>1162</v>
      </c>
      <c r="J10" s="247">
        <f>+Affitto!F10</f>
        <v>0</v>
      </c>
      <c r="K10" s="247">
        <f>+Affitto!G10</f>
        <v>0</v>
      </c>
      <c r="L10" s="247">
        <f>+Affitto!H10</f>
        <v>0</v>
      </c>
      <c r="M10" s="247">
        <f>+Affitto!I10</f>
        <v>0</v>
      </c>
      <c r="N10" s="247">
        <f>+Affitto!J10</f>
        <v>0</v>
      </c>
      <c r="O10" s="247">
        <f>+Affitto!K10</f>
        <v>0</v>
      </c>
      <c r="P10" s="247">
        <f>+Affitto!L10</f>
        <v>0</v>
      </c>
      <c r="Q10" s="247">
        <f>+Affitto!M10</f>
        <v>0</v>
      </c>
      <c r="R10" s="247">
        <f>+Affitto!N10</f>
        <v>0</v>
      </c>
      <c r="S10" s="247">
        <f>+Affitto!O10</f>
        <v>0</v>
      </c>
      <c r="T10" s="247">
        <f>+Affitto!P10</f>
        <v>0</v>
      </c>
      <c r="U10" s="247">
        <f>+Affitto!Q10</f>
        <v>0</v>
      </c>
      <c r="V10" s="247">
        <f>+Affitto!R10</f>
        <v>0</v>
      </c>
      <c r="W10" s="247">
        <f>+Affitto!S10</f>
        <v>0</v>
      </c>
      <c r="X10" s="247">
        <f>+Affitto!T10</f>
        <v>0</v>
      </c>
      <c r="Y10" s="247">
        <f>+Affitto!U10</f>
        <v>0</v>
      </c>
      <c r="Z10" s="247">
        <f>+Affitto!V10</f>
        <v>0</v>
      </c>
      <c r="AA10" s="247">
        <f>+Affitto!W10</f>
        <v>0</v>
      </c>
      <c r="AB10" s="247">
        <f>+Affitto!X10</f>
        <v>0</v>
      </c>
      <c r="AC10" s="247">
        <f>+Affitto!Y10</f>
        <v>0</v>
      </c>
      <c r="AD10" s="247">
        <f>+Affitto!Z10</f>
        <v>0</v>
      </c>
      <c r="AE10" s="247">
        <f>+Affitto!AA10</f>
        <v>0</v>
      </c>
      <c r="AF10" s="247">
        <f>+Affitto!AB10</f>
        <v>0</v>
      </c>
      <c r="AG10" s="247">
        <f>+Affitto!AC10</f>
        <v>0</v>
      </c>
      <c r="AH10" s="247">
        <f>+Affitto!AD10</f>
        <v>0</v>
      </c>
      <c r="AI10" s="247">
        <f>+Affitto!AE10</f>
        <v>0</v>
      </c>
      <c r="AJ10" s="247">
        <f>+Affitto!AF10</f>
        <v>0</v>
      </c>
      <c r="AK10" s="247">
        <f>+Affitto!AG10</f>
        <v>0</v>
      </c>
      <c r="AL10" s="247">
        <f>+Affitto!AH10</f>
        <v>0</v>
      </c>
      <c r="AM10" s="247">
        <f>+Affitto!AI10</f>
        <v>0</v>
      </c>
      <c r="AN10" s="247">
        <f>+Affitto!AJ10</f>
        <v>0</v>
      </c>
      <c r="AO10" s="247">
        <f>+Affitto!AK10</f>
        <v>0</v>
      </c>
      <c r="AP10" s="247">
        <f>+Affitto!AL10</f>
        <v>0</v>
      </c>
      <c r="AQ10" s="247">
        <f>+Affitto!AM10</f>
        <v>0</v>
      </c>
      <c r="AR10" s="247">
        <f>+Affitto!AN10</f>
        <v>0</v>
      </c>
      <c r="AS10" s="247">
        <f>+Affitto!AO10</f>
        <v>0</v>
      </c>
      <c r="AT10" s="247">
        <f>+Affitto!AP10</f>
        <v>0</v>
      </c>
      <c r="AU10" s="247">
        <f>+Affitto!AQ10</f>
        <v>0</v>
      </c>
      <c r="AV10" s="247">
        <f>+Affitto!AR10</f>
        <v>0</v>
      </c>
      <c r="AW10" s="247">
        <f>+Affitto!AS10</f>
        <v>0</v>
      </c>
      <c r="AX10" s="247">
        <f>+Affitto!AT10</f>
        <v>0</v>
      </c>
      <c r="AY10" s="247">
        <f>+Affitto!AU10</f>
        <v>0</v>
      </c>
      <c r="AZ10" s="247">
        <f>+Affitto!AV10</f>
        <v>0</v>
      </c>
      <c r="BA10" s="247">
        <f>+Affitto!AW10</f>
        <v>0</v>
      </c>
      <c r="BB10" s="247">
        <f>+Affitto!AX10</f>
        <v>0</v>
      </c>
      <c r="BC10" s="247">
        <f>+Affitto!AY10</f>
        <v>0</v>
      </c>
      <c r="BD10" s="247">
        <f>+Affitto!AZ10</f>
        <v>0</v>
      </c>
      <c r="BE10" s="247">
        <f>+Affitto!BA10</f>
        <v>0</v>
      </c>
      <c r="BF10" s="247">
        <f>+Affitto!BB10</f>
        <v>0</v>
      </c>
      <c r="BG10" s="247">
        <f>+Affitto!BC10</f>
        <v>0</v>
      </c>
      <c r="BH10" s="247">
        <f>+Affitto!BD10</f>
        <v>0</v>
      </c>
      <c r="BI10" s="247">
        <f>+Affitto!BE10</f>
        <v>0</v>
      </c>
      <c r="BJ10" s="247">
        <f>+Affitto!BF10</f>
        <v>0</v>
      </c>
      <c r="BK10" s="247">
        <f>+Affitto!BG10</f>
        <v>0</v>
      </c>
      <c r="BL10" s="247">
        <f>+Affitto!BH10</f>
        <v>0</v>
      </c>
      <c r="BM10" s="247">
        <f>+Affitto!BI10</f>
        <v>0</v>
      </c>
      <c r="BN10" s="247">
        <f>+Affitto!BJ10</f>
        <v>0</v>
      </c>
      <c r="BO10" s="247">
        <f>+Affitto!BK10</f>
        <v>0</v>
      </c>
      <c r="BP10" s="247">
        <f>+Affitto!BL10</f>
        <v>0</v>
      </c>
      <c r="BQ10" s="247">
        <f>+Affitto!BM10</f>
        <v>0</v>
      </c>
      <c r="BR10" s="247">
        <f>+Affitto!BN10</f>
        <v>0</v>
      </c>
      <c r="BS10" s="247">
        <f>+Affitto!BO10</f>
        <v>0</v>
      </c>
      <c r="BT10" s="247">
        <f>+Affitto!BP10</f>
        <v>0</v>
      </c>
      <c r="BU10" s="247">
        <f>+Affitto!BQ10</f>
        <v>0</v>
      </c>
      <c r="BV10" s="247">
        <f>+Affitto!BR10</f>
        <v>0</v>
      </c>
      <c r="BW10" s="247">
        <f>+Affitto!BS10</f>
        <v>0</v>
      </c>
      <c r="BX10" s="247">
        <f>+Affitto!BT10</f>
        <v>0</v>
      </c>
      <c r="BY10" s="247">
        <f>+Affitto!BU10</f>
        <v>0</v>
      </c>
      <c r="BZ10" s="247">
        <f>+Affitto!BV10</f>
        <v>0</v>
      </c>
      <c r="CA10" s="247">
        <f>+Affitto!BW10</f>
        <v>0</v>
      </c>
      <c r="CB10" s="247">
        <f>+Affitto!BX10</f>
        <v>0</v>
      </c>
      <c r="CC10" s="247">
        <f>+Affitto!BY10</f>
        <v>0</v>
      </c>
      <c r="CD10" s="247">
        <f>+Affitto!BZ10</f>
        <v>0</v>
      </c>
      <c r="CE10" s="247">
        <f>+Affitto!CA10</f>
        <v>0</v>
      </c>
      <c r="CF10" s="247">
        <f>+Affitto!CB10</f>
        <v>0</v>
      </c>
      <c r="CG10" s="247">
        <f>+Affitto!CC10</f>
        <v>0</v>
      </c>
      <c r="CH10" s="247">
        <f>+Affitto!CD10</f>
        <v>0</v>
      </c>
      <c r="CI10" s="247">
        <f>+Affitto!CE10</f>
        <v>0</v>
      </c>
      <c r="CJ10" s="247">
        <f>+Affitto!CF10</f>
        <v>0</v>
      </c>
      <c r="CK10" s="247">
        <f>+Affitto!CG10</f>
        <v>0</v>
      </c>
      <c r="CL10" s="247">
        <f>+Affitto!CH10</f>
        <v>0</v>
      </c>
      <c r="CM10" s="247">
        <f>+Affitto!CI10</f>
        <v>0</v>
      </c>
      <c r="CN10" s="247">
        <f>+Affitto!CJ10</f>
        <v>0</v>
      </c>
      <c r="CO10" s="247">
        <f>+Affitto!CK10</f>
        <v>0</v>
      </c>
      <c r="CP10" s="247">
        <f>+Affitto!CL10</f>
        <v>0</v>
      </c>
      <c r="CQ10" s="247">
        <f>+Affitto!CM10</f>
        <v>0</v>
      </c>
      <c r="CR10" s="247">
        <f>+Affitto!CN10</f>
        <v>0</v>
      </c>
      <c r="CS10" s="247">
        <f>+Affitto!CO10</f>
        <v>0</v>
      </c>
      <c r="CT10" s="247">
        <f>+Affitto!CP10</f>
        <v>0</v>
      </c>
      <c r="CU10" s="247">
        <f>+Affitto!CQ10</f>
        <v>0</v>
      </c>
      <c r="CV10" s="247">
        <f>+Affitto!CR10</f>
        <v>0</v>
      </c>
      <c r="CW10" s="247">
        <f>+Affitto!CS10</f>
        <v>0</v>
      </c>
      <c r="CX10" s="247">
        <f>+Affitto!CT10</f>
        <v>0</v>
      </c>
      <c r="CY10" s="247">
        <f>+Affitto!CU10</f>
        <v>0</v>
      </c>
      <c r="CZ10" s="247">
        <f>+Affitto!CV10</f>
        <v>0</v>
      </c>
      <c r="DA10" s="247">
        <f>+Affitto!CW10</f>
        <v>0</v>
      </c>
      <c r="DB10" s="247">
        <f>+Affitto!CX10</f>
        <v>0</v>
      </c>
      <c r="DC10" s="247">
        <f>+Affitto!CY10</f>
        <v>0</v>
      </c>
      <c r="DD10" s="247">
        <f>+Affitto!CZ10</f>
        <v>0</v>
      </c>
      <c r="DE10" s="247">
        <f>+Affitto!DA10</f>
        <v>0</v>
      </c>
      <c r="DF10" s="247">
        <f>+Affitto!DB10</f>
        <v>0</v>
      </c>
      <c r="DG10" s="247">
        <f>+Affitto!DC10</f>
        <v>0</v>
      </c>
      <c r="DH10" s="247">
        <f>+Affitto!DD10</f>
        <v>0</v>
      </c>
      <c r="DI10" s="247">
        <f>+Affitto!DE10</f>
        <v>0</v>
      </c>
      <c r="DJ10" s="247">
        <f>+Affitto!DF10</f>
        <v>0</v>
      </c>
      <c r="DK10" s="247">
        <f>+Affitto!DG10</f>
        <v>0</v>
      </c>
      <c r="DL10" s="247">
        <f>+Affitto!DH10</f>
        <v>0</v>
      </c>
      <c r="DM10" s="247">
        <f>+Affitto!DI10</f>
        <v>0</v>
      </c>
      <c r="DN10" s="247">
        <f>+Affitto!DJ10</f>
        <v>0</v>
      </c>
      <c r="DO10" s="247">
        <f>+Affitto!DK10</f>
        <v>0</v>
      </c>
      <c r="DP10" s="247">
        <f>+Affitto!DL10</f>
        <v>0</v>
      </c>
      <c r="DQ10" s="247">
        <f>+Affitto!DM10</f>
        <v>0</v>
      </c>
      <c r="DR10" s="247">
        <f>+Affitto!DN10</f>
        <v>0</v>
      </c>
      <c r="DS10" s="247">
        <f>+Affitto!DO10</f>
        <v>0</v>
      </c>
      <c r="DT10" s="247">
        <f>+Affitto!DP10</f>
        <v>0</v>
      </c>
      <c r="DU10" s="247">
        <f>+Affitto!DQ10</f>
        <v>0</v>
      </c>
      <c r="DV10" s="247">
        <f>+Affitto!DR10</f>
        <v>0</v>
      </c>
      <c r="DW10" s="247">
        <f>+Affitto!DS10</f>
        <v>0</v>
      </c>
      <c r="DX10" s="247">
        <f>+Affitto!DT10</f>
        <v>0</v>
      </c>
      <c r="DY10" s="247">
        <f>+Affitto!DU10</f>
        <v>0</v>
      </c>
    </row>
    <row r="11" ht="14.5">
      <c r="H11" s="246">
        <f t="shared" ref="H11" si="4">SUM(J11:DY11)</f>
        <v>0</v>
      </c>
      <c r="I11" s="249" t="s">
        <v>1163</v>
      </c>
      <c r="J11" s="247">
        <f>+C_Azienda!F16</f>
        <v>0</v>
      </c>
      <c r="K11" s="247">
        <f>+C_Azienda!G16</f>
        <v>0</v>
      </c>
      <c r="L11" s="247">
        <f>+C_Azienda!H16</f>
        <v>0</v>
      </c>
      <c r="M11" s="247">
        <f>+C_Azienda!I16</f>
        <v>0</v>
      </c>
      <c r="N11" s="247">
        <f>+C_Azienda!J16</f>
        <v>0</v>
      </c>
      <c r="O11" s="247">
        <f>+C_Azienda!K16</f>
        <v>0</v>
      </c>
      <c r="P11" s="247">
        <f>+C_Azienda!L16</f>
        <v>0</v>
      </c>
      <c r="Q11" s="247">
        <f>+C_Azienda!M16</f>
        <v>0</v>
      </c>
      <c r="R11" s="247">
        <f>+C_Azienda!N16</f>
        <v>0</v>
      </c>
      <c r="S11" s="247">
        <f>+C_Azienda!O16</f>
        <v>0</v>
      </c>
      <c r="T11" s="247">
        <f>+C_Azienda!P16</f>
        <v>0</v>
      </c>
      <c r="U11" s="247">
        <f>+C_Azienda!Q16</f>
        <v>0</v>
      </c>
      <c r="V11" s="247">
        <f>+C_Azienda!R16</f>
        <v>0</v>
      </c>
      <c r="W11" s="247">
        <f>+C_Azienda!S16</f>
        <v>0</v>
      </c>
      <c r="X11" s="247">
        <f>+C_Azienda!T16</f>
        <v>0</v>
      </c>
      <c r="Y11" s="247">
        <f>+C_Azienda!U16</f>
        <v>0</v>
      </c>
      <c r="Z11" s="247">
        <f>+C_Azienda!V16</f>
        <v>0</v>
      </c>
      <c r="AA11" s="247">
        <f>+C_Azienda!W16</f>
        <v>0</v>
      </c>
      <c r="AB11" s="247">
        <f>+C_Azienda!X16</f>
        <v>0</v>
      </c>
      <c r="AC11" s="247">
        <f>+C_Azienda!Y16</f>
        <v>0</v>
      </c>
      <c r="AD11" s="247">
        <f>+C_Azienda!Z16</f>
        <v>0</v>
      </c>
      <c r="AE11" s="247">
        <f>+C_Azienda!AA16</f>
        <v>0</v>
      </c>
      <c r="AF11" s="247">
        <f>+C_Azienda!AB16</f>
        <v>0</v>
      </c>
      <c r="AG11" s="247">
        <f>+C_Azienda!AC16</f>
        <v>0</v>
      </c>
      <c r="AH11" s="247">
        <f>+C_Azienda!AD16</f>
        <v>0</v>
      </c>
      <c r="AI11" s="247">
        <f>+C_Azienda!AE16</f>
        <v>0</v>
      </c>
      <c r="AJ11" s="247">
        <f>+C_Azienda!AF16</f>
        <v>0</v>
      </c>
      <c r="AK11" s="247">
        <f>+C_Azienda!AG16</f>
        <v>0</v>
      </c>
      <c r="AL11" s="247">
        <f>+C_Azienda!AH16</f>
        <v>0</v>
      </c>
      <c r="AM11" s="247">
        <f>+C_Azienda!AI16</f>
        <v>0</v>
      </c>
      <c r="AN11" s="247">
        <f>+C_Azienda!AJ16</f>
        <v>0</v>
      </c>
      <c r="AO11" s="247">
        <f>+C_Azienda!AK16</f>
        <v>0</v>
      </c>
      <c r="AP11" s="247">
        <f>+C_Azienda!AL16</f>
        <v>0</v>
      </c>
      <c r="AQ11" s="247">
        <f>+C_Azienda!AM16</f>
        <v>0</v>
      </c>
      <c r="AR11" s="247">
        <f>+C_Azienda!AN16</f>
        <v>0</v>
      </c>
      <c r="AS11" s="247">
        <f>+C_Azienda!AO16</f>
        <v>0</v>
      </c>
      <c r="AT11" s="247">
        <f>+C_Azienda!AP16</f>
        <v>0</v>
      </c>
      <c r="AU11" s="247">
        <f>+C_Azienda!AQ16</f>
        <v>0</v>
      </c>
      <c r="AV11" s="247">
        <f>+C_Azienda!AR16</f>
        <v>0</v>
      </c>
      <c r="AW11" s="247">
        <f>+C_Azienda!AS16</f>
        <v>0</v>
      </c>
      <c r="AX11" s="247">
        <f>+C_Azienda!AT16</f>
        <v>0</v>
      </c>
      <c r="AY11" s="247">
        <f>+C_Azienda!AU16</f>
        <v>0</v>
      </c>
      <c r="AZ11" s="247">
        <f>+C_Azienda!AV16</f>
        <v>0</v>
      </c>
      <c r="BA11" s="247">
        <f>+C_Azienda!AW16</f>
        <v>0</v>
      </c>
      <c r="BB11" s="247">
        <f>+C_Azienda!AX16</f>
        <v>0</v>
      </c>
      <c r="BC11" s="247">
        <f>+C_Azienda!AY16</f>
        <v>0</v>
      </c>
      <c r="BD11" s="247">
        <f>+C_Azienda!AZ16</f>
        <v>0</v>
      </c>
      <c r="BE11" s="247">
        <f>+C_Azienda!BA16</f>
        <v>0</v>
      </c>
      <c r="BF11" s="247">
        <f>+C_Azienda!BB16</f>
        <v>0</v>
      </c>
      <c r="BG11" s="247">
        <f>+C_Azienda!BC16</f>
        <v>0</v>
      </c>
      <c r="BH11" s="247">
        <f>+C_Azienda!BD16</f>
        <v>0</v>
      </c>
      <c r="BI11" s="247">
        <f>+C_Azienda!BE16</f>
        <v>0</v>
      </c>
      <c r="BJ11" s="247">
        <f>+C_Azienda!BF16</f>
        <v>0</v>
      </c>
      <c r="BK11" s="247">
        <f>+C_Azienda!BG16</f>
        <v>0</v>
      </c>
      <c r="BL11" s="247">
        <f>+C_Azienda!BH16</f>
        <v>0</v>
      </c>
      <c r="BM11" s="247">
        <f>+C_Azienda!BI16</f>
        <v>0</v>
      </c>
      <c r="BN11" s="247">
        <f>+C_Azienda!BJ16</f>
        <v>0</v>
      </c>
      <c r="BO11" s="247">
        <f>+C_Azienda!BK16</f>
        <v>0</v>
      </c>
      <c r="BP11" s="247">
        <f>+C_Azienda!BL16</f>
        <v>0</v>
      </c>
      <c r="BQ11" s="247">
        <f>+C_Azienda!BM16</f>
        <v>0</v>
      </c>
      <c r="BR11" s="247">
        <f>+C_Azienda!BN16</f>
        <v>0</v>
      </c>
      <c r="BS11" s="247">
        <f>+C_Azienda!BO16</f>
        <v>0</v>
      </c>
      <c r="BT11" s="247">
        <f>+C_Azienda!BP16</f>
        <v>0</v>
      </c>
      <c r="BU11" s="247">
        <f>+C_Azienda!BQ16</f>
        <v>0</v>
      </c>
      <c r="BV11" s="247">
        <f>+C_Azienda!BR16</f>
        <v>0</v>
      </c>
      <c r="BW11" s="247">
        <f>+C_Azienda!BS16</f>
        <v>0</v>
      </c>
      <c r="BX11" s="247">
        <f>+C_Azienda!BT16</f>
        <v>0</v>
      </c>
      <c r="BY11" s="247">
        <f>+C_Azienda!BU16</f>
        <v>0</v>
      </c>
      <c r="BZ11" s="247">
        <f>+C_Azienda!BV16</f>
        <v>0</v>
      </c>
      <c r="CA11" s="247">
        <f>+C_Azienda!BW16</f>
        <v>0</v>
      </c>
      <c r="CB11" s="247">
        <f>+C_Azienda!BX16</f>
        <v>0</v>
      </c>
      <c r="CC11" s="247">
        <f>+C_Azienda!BY16</f>
        <v>0</v>
      </c>
      <c r="CD11" s="247">
        <f>+C_Azienda!BZ16</f>
        <v>0</v>
      </c>
      <c r="CE11" s="247">
        <f>+C_Azienda!CA16</f>
        <v>0</v>
      </c>
      <c r="CF11" s="247">
        <f>+C_Azienda!CB16</f>
        <v>0</v>
      </c>
      <c r="CG11" s="247">
        <f>+C_Azienda!CC16</f>
        <v>0</v>
      </c>
      <c r="CH11" s="247">
        <f>+C_Azienda!CD16</f>
        <v>0</v>
      </c>
      <c r="CI11" s="247">
        <f>+C_Azienda!CE16</f>
        <v>0</v>
      </c>
      <c r="CJ11" s="247">
        <f>+C_Azienda!CF16</f>
        <v>0</v>
      </c>
      <c r="CK11" s="247">
        <f>+C_Azienda!CG16</f>
        <v>0</v>
      </c>
      <c r="CL11" s="247">
        <f>+C_Azienda!CH16</f>
        <v>0</v>
      </c>
      <c r="CM11" s="247">
        <f>+C_Azienda!CI16</f>
        <v>0</v>
      </c>
      <c r="CN11" s="247">
        <f>+C_Azienda!CJ16</f>
        <v>0</v>
      </c>
      <c r="CO11" s="247">
        <f>+C_Azienda!CK16</f>
        <v>0</v>
      </c>
      <c r="CP11" s="247">
        <f>+C_Azienda!CL16</f>
        <v>0</v>
      </c>
      <c r="CQ11" s="247">
        <f>+C_Azienda!CM16</f>
        <v>0</v>
      </c>
      <c r="CR11" s="247">
        <f>+C_Azienda!CN16</f>
        <v>0</v>
      </c>
      <c r="CS11" s="247">
        <f>+C_Azienda!CO16</f>
        <v>0</v>
      </c>
      <c r="CT11" s="247">
        <f>+C_Azienda!CP16</f>
        <v>0</v>
      </c>
      <c r="CU11" s="247">
        <f>+C_Azienda!CQ16</f>
        <v>0</v>
      </c>
      <c r="CV11" s="247">
        <f>+C_Azienda!CR16</f>
        <v>0</v>
      </c>
      <c r="CW11" s="247">
        <f>+C_Azienda!CS16</f>
        <v>0</v>
      </c>
      <c r="CX11" s="247">
        <f>+C_Azienda!CT16</f>
        <v>0</v>
      </c>
      <c r="CY11" s="247">
        <f>+C_Azienda!CU16</f>
        <v>0</v>
      </c>
      <c r="CZ11" s="247">
        <f>+C_Azienda!CV16</f>
        <v>0</v>
      </c>
      <c r="DA11" s="247">
        <f>+C_Azienda!CW16</f>
        <v>0</v>
      </c>
      <c r="DB11" s="247">
        <f>+C_Azienda!CX16</f>
        <v>0</v>
      </c>
      <c r="DC11" s="247">
        <f>+C_Azienda!CY16</f>
        <v>0</v>
      </c>
      <c r="DD11" s="247">
        <f>+C_Azienda!CZ16</f>
        <v>0</v>
      </c>
      <c r="DE11" s="247">
        <f>+C_Azienda!DA16</f>
        <v>0</v>
      </c>
      <c r="DF11" s="247">
        <f>+C_Azienda!DB16</f>
        <v>0</v>
      </c>
      <c r="DG11" s="247">
        <f>+C_Azienda!DC16</f>
        <v>0</v>
      </c>
      <c r="DH11" s="247">
        <f>+C_Azienda!DD16</f>
        <v>0</v>
      </c>
      <c r="DI11" s="247">
        <f>+C_Azienda!DE16</f>
        <v>0</v>
      </c>
      <c r="DJ11" s="247">
        <f>+C_Azienda!DF16</f>
        <v>0</v>
      </c>
      <c r="DK11" s="247">
        <f>+C_Azienda!DG16</f>
        <v>0</v>
      </c>
      <c r="DL11" s="247">
        <f>+C_Azienda!DH16</f>
        <v>0</v>
      </c>
      <c r="DM11" s="247">
        <f>+C_Azienda!DI16</f>
        <v>0</v>
      </c>
      <c r="DN11" s="247">
        <f>+C_Azienda!DJ16</f>
        <v>0</v>
      </c>
      <c r="DO11" s="247">
        <f>+C_Azienda!DK16</f>
        <v>0</v>
      </c>
      <c r="DP11" s="247">
        <f>+C_Azienda!DL16</f>
        <v>0</v>
      </c>
      <c r="DQ11" s="247">
        <f>+C_Azienda!DM16</f>
        <v>0</v>
      </c>
      <c r="DR11" s="247">
        <f>+C_Azienda!DN16</f>
        <v>0</v>
      </c>
      <c r="DS11" s="247">
        <f>+C_Azienda!DO16</f>
        <v>0</v>
      </c>
      <c r="DT11" s="247">
        <f>+C_Azienda!DP16</f>
        <v>0</v>
      </c>
      <c r="DU11" s="247">
        <f>+C_Azienda!DQ16</f>
        <v>0</v>
      </c>
      <c r="DV11" s="247">
        <f>+C_Azienda!DR16</f>
        <v>0</v>
      </c>
      <c r="DW11" s="247">
        <f>+C_Azienda!DS16</f>
        <v>0</v>
      </c>
      <c r="DX11" s="247">
        <f>+C_Azienda!DT16</f>
        <v>0</v>
      </c>
      <c r="DY11" s="247">
        <f>+C_Azienda!DU16</f>
        <v>0</v>
      </c>
    </row>
    <row r="12" ht="15.5">
      <c r="H12" s="246"/>
      <c r="I12" s="250" t="s">
        <v>782</v>
      </c>
      <c r="J12" s="247">
        <f>-L_Iva!G27</f>
        <v>0</v>
      </c>
      <c r="K12" s="247">
        <f>-L_Iva!H27</f>
        <v>0</v>
      </c>
      <c r="L12" s="247">
        <f>-L_Iva!I27</f>
        <v>0</v>
      </c>
      <c r="M12" s="247">
        <f>-L_Iva!J27</f>
        <v>0</v>
      </c>
      <c r="N12" s="247">
        <f>-L_Iva!K27</f>
        <v>0</v>
      </c>
      <c r="O12" s="247">
        <f>-L_Iva!L27</f>
        <v>0</v>
      </c>
      <c r="P12" s="247">
        <f>-L_Iva!M27</f>
        <v>0</v>
      </c>
      <c r="Q12" s="247">
        <f>-L_Iva!N27</f>
        <v>0</v>
      </c>
      <c r="R12" s="247">
        <f>-L_Iva!O27</f>
        <v>0</v>
      </c>
      <c r="S12" s="247">
        <f>-L_Iva!P27</f>
        <v>0</v>
      </c>
      <c r="T12" s="247">
        <f>-L_Iva!Q27</f>
        <v>0</v>
      </c>
      <c r="U12" s="247">
        <f>-L_Iva!R27</f>
        <v>0</v>
      </c>
      <c r="V12" s="247">
        <f>-L_Iva!S27</f>
        <v>0</v>
      </c>
      <c r="W12" s="247">
        <f>-L_Iva!T27</f>
        <v>0</v>
      </c>
      <c r="X12" s="247">
        <f>-L_Iva!U27</f>
        <v>0</v>
      </c>
      <c r="Y12" s="247">
        <f>-L_Iva!V27</f>
        <v>0</v>
      </c>
      <c r="Z12" s="247">
        <f>-L_Iva!W27</f>
        <v>0</v>
      </c>
      <c r="AA12" s="247">
        <f>-L_Iva!X27</f>
        <v>0</v>
      </c>
      <c r="AB12" s="247">
        <f>-L_Iva!Y27</f>
        <v>0</v>
      </c>
      <c r="AC12" s="247">
        <f>-L_Iva!Z27</f>
        <v>0</v>
      </c>
      <c r="AD12" s="247">
        <f>-L_Iva!AA27</f>
        <v>0</v>
      </c>
      <c r="AE12" s="247">
        <f>-L_Iva!AB27</f>
        <v>0</v>
      </c>
      <c r="AF12" s="247">
        <f>-L_Iva!AC27</f>
        <v>0</v>
      </c>
      <c r="AG12" s="247">
        <f>-L_Iva!AD27</f>
        <v>0</v>
      </c>
      <c r="AH12" s="247">
        <f>-L_Iva!AE27</f>
        <v>0</v>
      </c>
      <c r="AI12" s="247">
        <f>-L_Iva!AF27</f>
        <v>0</v>
      </c>
      <c r="AJ12" s="247">
        <f>-L_Iva!AG27</f>
        <v>0</v>
      </c>
      <c r="AK12" s="247">
        <f>-L_Iva!AH27</f>
        <v>0</v>
      </c>
      <c r="AL12" s="247">
        <f>-L_Iva!AI27</f>
        <v>0</v>
      </c>
      <c r="AM12" s="247">
        <f>-L_Iva!AJ27</f>
        <v>0</v>
      </c>
      <c r="AN12" s="247">
        <f>-L_Iva!AK27</f>
        <v>0</v>
      </c>
      <c r="AO12" s="247">
        <f>-L_Iva!AL27</f>
        <v>0</v>
      </c>
      <c r="AP12" s="247">
        <f>-L_Iva!AM27</f>
        <v>0</v>
      </c>
      <c r="AQ12" s="247">
        <f>-L_Iva!AN27</f>
        <v>0</v>
      </c>
      <c r="AR12" s="247">
        <f>-L_Iva!AO27</f>
        <v>0</v>
      </c>
      <c r="AS12" s="247">
        <f>-L_Iva!AP27</f>
        <v>0</v>
      </c>
      <c r="AT12" s="247">
        <f>-L_Iva!AQ27</f>
        <v>0</v>
      </c>
      <c r="AU12" s="247">
        <f>-L_Iva!AR27</f>
        <v>0</v>
      </c>
      <c r="AV12" s="247">
        <f>-L_Iva!AS27</f>
        <v>0</v>
      </c>
      <c r="AW12" s="247">
        <f>-L_Iva!AT27</f>
        <v>0</v>
      </c>
      <c r="AX12" s="247">
        <f>-L_Iva!AU27</f>
        <v>0</v>
      </c>
      <c r="AY12" s="247">
        <f>-L_Iva!AV27</f>
        <v>0</v>
      </c>
      <c r="AZ12" s="247">
        <f>-L_Iva!AW27</f>
        <v>0</v>
      </c>
      <c r="BA12" s="247">
        <f>-L_Iva!AX27</f>
        <v>0</v>
      </c>
      <c r="BB12" s="247">
        <f>-L_Iva!AY27</f>
        <v>0</v>
      </c>
      <c r="BC12" s="247">
        <f>-L_Iva!AZ27</f>
        <v>0</v>
      </c>
      <c r="BD12" s="247">
        <f>-L_Iva!BA27</f>
        <v>0</v>
      </c>
      <c r="BE12" s="247">
        <f>-L_Iva!BB27</f>
        <v>0</v>
      </c>
      <c r="BF12" s="247">
        <f>-L_Iva!BC27</f>
        <v>0</v>
      </c>
      <c r="BG12" s="247">
        <f>-L_Iva!BD27</f>
        <v>0</v>
      </c>
      <c r="BH12" s="247">
        <f>-L_Iva!BE27</f>
        <v>0</v>
      </c>
      <c r="BI12" s="247">
        <f>-L_Iva!BF27</f>
        <v>0</v>
      </c>
      <c r="BJ12" s="247">
        <f>-L_Iva!BG27</f>
        <v>0</v>
      </c>
      <c r="BK12" s="247">
        <f>-L_Iva!BH27</f>
        <v>0</v>
      </c>
      <c r="BL12" s="247">
        <f>-L_Iva!BI27</f>
        <v>0</v>
      </c>
      <c r="BM12" s="247">
        <f>-L_Iva!BJ27</f>
        <v>0</v>
      </c>
      <c r="BN12" s="247">
        <f>-L_Iva!BK27</f>
        <v>0</v>
      </c>
      <c r="BO12" s="247">
        <f>-L_Iva!BL27</f>
        <v>0</v>
      </c>
      <c r="BP12" s="247">
        <f>-L_Iva!BM27</f>
        <v>0</v>
      </c>
      <c r="BQ12" s="247">
        <f>-L_Iva!BN27</f>
        <v>0</v>
      </c>
      <c r="BR12" s="247">
        <f>-L_Iva!BO27</f>
        <v>0</v>
      </c>
      <c r="BS12" s="247">
        <f>-L_Iva!BP27</f>
        <v>0</v>
      </c>
      <c r="BT12" s="247">
        <f>-L_Iva!BQ27</f>
        <v>0</v>
      </c>
      <c r="BU12" s="247">
        <f>-L_Iva!BR27</f>
        <v>0</v>
      </c>
      <c r="BV12" s="247">
        <f>-L_Iva!BS27</f>
        <v>0</v>
      </c>
      <c r="BW12" s="247">
        <f>-L_Iva!BT27</f>
        <v>0</v>
      </c>
      <c r="BX12" s="247">
        <f>-L_Iva!BU27</f>
        <v>0</v>
      </c>
      <c r="BY12" s="247">
        <f>-L_Iva!BV27</f>
        <v>0</v>
      </c>
      <c r="BZ12" s="247">
        <f>-L_Iva!BW27</f>
        <v>0</v>
      </c>
      <c r="CA12" s="247">
        <f>-L_Iva!BX27</f>
        <v>0</v>
      </c>
      <c r="CB12" s="247">
        <f>-L_Iva!BY27</f>
        <v>0</v>
      </c>
      <c r="CC12" s="247">
        <f>-L_Iva!BZ27</f>
        <v>0</v>
      </c>
      <c r="CD12" s="247">
        <f>-L_Iva!CA27</f>
        <v>0</v>
      </c>
      <c r="CE12" s="247">
        <f>-L_Iva!CB27</f>
        <v>0</v>
      </c>
      <c r="CF12" s="247">
        <f>-L_Iva!CC27</f>
        <v>0</v>
      </c>
      <c r="CG12" s="247">
        <f>-L_Iva!CD27</f>
        <v>0</v>
      </c>
      <c r="CH12" s="247">
        <f>-L_Iva!CE27</f>
        <v>0</v>
      </c>
      <c r="CI12" s="247">
        <f>-L_Iva!CF27</f>
        <v>0</v>
      </c>
      <c r="CJ12" s="247">
        <f>-L_Iva!CG27</f>
        <v>0</v>
      </c>
      <c r="CK12" s="247">
        <f>-L_Iva!CH27</f>
        <v>0</v>
      </c>
      <c r="CL12" s="247">
        <f>-L_Iva!CI27</f>
        <v>0</v>
      </c>
      <c r="CM12" s="247">
        <f>-L_Iva!CJ27</f>
        <v>0</v>
      </c>
      <c r="CN12" s="247">
        <f>-L_Iva!CK27</f>
        <v>0</v>
      </c>
      <c r="CO12" s="247">
        <f>-L_Iva!CL27</f>
        <v>0</v>
      </c>
      <c r="CP12" s="247">
        <f>-L_Iva!CM27</f>
        <v>0</v>
      </c>
      <c r="CQ12" s="247">
        <f>-L_Iva!CN27</f>
        <v>0</v>
      </c>
      <c r="CR12" s="247">
        <f>-L_Iva!CO27</f>
        <v>0</v>
      </c>
      <c r="CS12" s="247">
        <f>-L_Iva!CP27</f>
        <v>0</v>
      </c>
      <c r="CT12" s="247">
        <f>-L_Iva!CQ27</f>
        <v>0</v>
      </c>
      <c r="CU12" s="247">
        <f>-L_Iva!CR27</f>
        <v>0</v>
      </c>
      <c r="CV12" s="247">
        <f>-L_Iva!CS27</f>
        <v>0</v>
      </c>
      <c r="CW12" s="247">
        <f>-L_Iva!CT27</f>
        <v>0</v>
      </c>
      <c r="CX12" s="247">
        <f>-L_Iva!CU27</f>
        <v>0</v>
      </c>
      <c r="CY12" s="247">
        <f>-L_Iva!CV27</f>
        <v>0</v>
      </c>
      <c r="CZ12" s="247">
        <f>-L_Iva!CW27</f>
        <v>0</v>
      </c>
      <c r="DA12" s="247">
        <f>-L_Iva!CX27</f>
        <v>0</v>
      </c>
      <c r="DB12" s="247">
        <f>-L_Iva!CY27</f>
        <v>0</v>
      </c>
      <c r="DC12" s="247">
        <f>-L_Iva!CZ27</f>
        <v>0</v>
      </c>
      <c r="DD12" s="247">
        <f>-L_Iva!DA27</f>
        <v>0</v>
      </c>
      <c r="DE12" s="247">
        <f>-L_Iva!DB27</f>
        <v>0</v>
      </c>
      <c r="DF12" s="247">
        <f>-L_Iva!DC27</f>
        <v>0</v>
      </c>
      <c r="DG12" s="247">
        <f>-L_Iva!DD27</f>
        <v>0</v>
      </c>
      <c r="DH12" s="247">
        <f>-L_Iva!DE27</f>
        <v>0</v>
      </c>
      <c r="DI12" s="247">
        <f>-L_Iva!DF27</f>
        <v>0</v>
      </c>
      <c r="DJ12" s="247">
        <f>-L_Iva!DG27</f>
        <v>0</v>
      </c>
      <c r="DK12" s="247">
        <f>-L_Iva!DH27</f>
        <v>0</v>
      </c>
      <c r="DL12" s="247">
        <f>-L_Iva!DI27</f>
        <v>0</v>
      </c>
      <c r="DM12" s="247">
        <f>-L_Iva!DJ27</f>
        <v>0</v>
      </c>
      <c r="DN12" s="247">
        <f>-L_Iva!DK27</f>
        <v>0</v>
      </c>
      <c r="DO12" s="247">
        <f>-L_Iva!DL27</f>
        <v>0</v>
      </c>
      <c r="DP12" s="247">
        <f>-L_Iva!DM27</f>
        <v>0</v>
      </c>
      <c r="DQ12" s="247">
        <f>-L_Iva!DN27</f>
        <v>0</v>
      </c>
      <c r="DR12" s="247">
        <f>-L_Iva!DO27</f>
        <v>0</v>
      </c>
      <c r="DS12" s="247">
        <f>-L_Iva!DP27</f>
        <v>0</v>
      </c>
      <c r="DT12" s="247">
        <f>-L_Iva!DQ27</f>
        <v>0</v>
      </c>
      <c r="DU12" s="247">
        <f>-L_Iva!DR27</f>
        <v>0</v>
      </c>
      <c r="DV12" s="247">
        <f>-L_Iva!DS27</f>
        <v>0</v>
      </c>
      <c r="DW12" s="247">
        <f>-L_Iva!DT27</f>
        <v>0</v>
      </c>
      <c r="DX12" s="247">
        <f>-L_Iva!DU27</f>
        <v>0</v>
      </c>
      <c r="DY12" s="247">
        <f>-L_Iva!DV27</f>
        <v>0</v>
      </c>
    </row>
    <row r="13" ht="14.5">
      <c r="I13" s="249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</row>
    <row r="14" thickBot="1" ht="19">
      <c r="G14" s="18" t="s">
        <v>1164</v>
      </c>
      <c r="H14" s="251">
        <f>SUM(J14:DY14)</f>
        <v>0</v>
      </c>
      <c r="I14" s="249" t="s">
        <v>1165</v>
      </c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247"/>
      <c r="U14" s="247"/>
      <c r="V14" s="247"/>
      <c r="W14" s="247"/>
      <c r="X14" s="247"/>
      <c r="Y14" s="247"/>
      <c r="Z14" s="247"/>
      <c r="AA14" s="247"/>
      <c r="AB14" s="247"/>
      <c r="AC14" s="247"/>
      <c r="AD14" s="247"/>
      <c r="AE14" s="247"/>
      <c r="AF14" s="247"/>
      <c r="AG14" s="247"/>
      <c r="AH14" s="247"/>
      <c r="AI14" s="247"/>
      <c r="AJ14" s="247"/>
      <c r="AK14" s="247"/>
      <c r="AL14" s="247"/>
      <c r="AM14" s="247"/>
      <c r="AN14" s="247"/>
      <c r="AO14" s="247"/>
      <c r="AP14" s="247"/>
      <c r="AQ14" s="247"/>
      <c r="AR14" s="247"/>
      <c r="AS14" s="247"/>
      <c r="AT14" s="247"/>
      <c r="AU14" s="247"/>
      <c r="AV14" s="247"/>
      <c r="AW14" s="247"/>
      <c r="AX14" s="247"/>
      <c r="AY14" s="247"/>
      <c r="AZ14" s="247"/>
      <c r="BA14" s="247"/>
      <c r="BB14" s="247"/>
      <c r="BC14" s="247"/>
      <c r="BD14" s="247"/>
      <c r="BE14" s="247"/>
      <c r="BF14" s="247"/>
      <c r="BG14" s="247"/>
      <c r="BH14" s="247"/>
      <c r="BI14" s="247"/>
      <c r="BJ14" s="247"/>
      <c r="BK14" s="247"/>
      <c r="BL14" s="247"/>
      <c r="BM14" s="247"/>
      <c r="BN14" s="247"/>
      <c r="BO14" s="247"/>
      <c r="BP14" s="247"/>
      <c r="BQ14" s="247"/>
      <c r="BR14" s="247"/>
      <c r="BS14" s="247"/>
      <c r="BT14" s="247"/>
      <c r="BU14" s="247"/>
      <c r="BV14" s="247"/>
      <c r="BW14" s="247"/>
      <c r="BX14" s="247"/>
      <c r="BY14" s="247"/>
      <c r="BZ14" s="247"/>
      <c r="CA14" s="247"/>
      <c r="CB14" s="247"/>
      <c r="CC14" s="247"/>
      <c r="CD14" s="247"/>
      <c r="CE14" s="247"/>
      <c r="CF14" s="247"/>
      <c r="CG14" s="247"/>
      <c r="CH14" s="247"/>
      <c r="CI14" s="247"/>
      <c r="CJ14" s="247"/>
      <c r="CK14" s="247"/>
      <c r="CL14" s="247"/>
      <c r="CM14" s="247"/>
      <c r="CN14" s="247"/>
      <c r="CO14" s="247"/>
      <c r="CP14" s="247"/>
      <c r="CQ14" s="247"/>
      <c r="CR14" s="247"/>
      <c r="CS14" s="247"/>
      <c r="CT14" s="247"/>
      <c r="CU14" s="247"/>
      <c r="CV14" s="247"/>
      <c r="CW14" s="247"/>
      <c r="CX14" s="247"/>
      <c r="CY14" s="247"/>
      <c r="CZ14" s="247"/>
      <c r="DA14" s="247"/>
      <c r="DB14" s="247"/>
      <c r="DC14" s="247"/>
      <c r="DD14" s="247"/>
      <c r="DE14" s="247"/>
      <c r="DF14" s="247"/>
      <c r="DG14" s="247"/>
      <c r="DH14" s="247"/>
      <c r="DI14" s="247"/>
      <c r="DJ14" s="247"/>
      <c r="DK14" s="247"/>
      <c r="DL14" s="247"/>
      <c r="DM14" s="247"/>
      <c r="DN14" s="247"/>
      <c r="DO14" s="247"/>
      <c r="DP14" s="247"/>
      <c r="DQ14" s="247"/>
      <c r="DR14" s="247"/>
      <c r="DS14" s="247"/>
      <c r="DT14" s="247"/>
      <c r="DU14" s="247"/>
      <c r="DV14" s="247"/>
      <c r="DW14" s="247"/>
      <c r="DX14" s="247"/>
      <c r="DY14" s="247"/>
    </row>
    <row r="15" thickTop="1" thickBot="1" ht="15.5"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</row>
    <row r="16" thickBot="1">
      <c r="H16" s="252" t="s">
        <v>798</v>
      </c>
      <c r="I16" s="146" t="s">
        <v>1166</v>
      </c>
      <c r="J16" s="253">
        <f>SUM(J5:J7,J10:J12,J14)</f>
        <v>0</v>
      </c>
      <c r="K16" s="253">
        <f t="shared" ref="K16:BV16" si="5">SUM(K5:K7,K10:K12,K14)</f>
        <v>0</v>
      </c>
      <c r="L16" s="253">
        <f t="shared" si="5"/>
        <v>0</v>
      </c>
      <c r="M16" s="253">
        <f t="shared" si="5"/>
        <v>0</v>
      </c>
      <c r="N16" s="253">
        <f t="shared" si="5"/>
        <v>0</v>
      </c>
      <c r="O16" s="253">
        <f t="shared" si="5"/>
        <v>0</v>
      </c>
      <c r="P16" s="253">
        <f t="shared" si="5"/>
        <v>0</v>
      </c>
      <c r="Q16" s="253">
        <f t="shared" si="5"/>
        <v>0</v>
      </c>
      <c r="R16" s="253">
        <f t="shared" si="5"/>
        <v>0</v>
      </c>
      <c r="S16" s="253">
        <f t="shared" si="5"/>
        <v>0</v>
      </c>
      <c r="T16" s="253">
        <f t="shared" si="5"/>
        <v>0</v>
      </c>
      <c r="U16" s="253">
        <f t="shared" si="5"/>
        <v>0</v>
      </c>
      <c r="V16" s="253">
        <f t="shared" si="5"/>
        <v>0</v>
      </c>
      <c r="W16" s="253">
        <f t="shared" si="5"/>
        <v>0</v>
      </c>
      <c r="X16" s="253">
        <f t="shared" si="5"/>
        <v>0</v>
      </c>
      <c r="Y16" s="253">
        <f t="shared" si="5"/>
        <v>0</v>
      </c>
      <c r="Z16" s="253">
        <f t="shared" si="5"/>
        <v>0</v>
      </c>
      <c r="AA16" s="253">
        <f t="shared" si="5"/>
        <v>0</v>
      </c>
      <c r="AB16" s="253">
        <f t="shared" si="5"/>
        <v>0</v>
      </c>
      <c r="AC16" s="253">
        <f t="shared" si="5"/>
        <v>0</v>
      </c>
      <c r="AD16" s="253">
        <f t="shared" si="5"/>
        <v>0</v>
      </c>
      <c r="AE16" s="253">
        <f t="shared" si="5"/>
        <v>0</v>
      </c>
      <c r="AF16" s="253">
        <f t="shared" si="5"/>
        <v>0</v>
      </c>
      <c r="AG16" s="253">
        <f t="shared" si="5"/>
        <v>0</v>
      </c>
      <c r="AH16" s="253">
        <f t="shared" si="5"/>
        <v>0</v>
      </c>
      <c r="AI16" s="253">
        <f t="shared" si="5"/>
        <v>0</v>
      </c>
      <c r="AJ16" s="253">
        <f t="shared" si="5"/>
        <v>0</v>
      </c>
      <c r="AK16" s="253">
        <f t="shared" si="5"/>
        <v>0</v>
      </c>
      <c r="AL16" s="253">
        <f t="shared" si="5"/>
        <v>0</v>
      </c>
      <c r="AM16" s="253">
        <f t="shared" si="5"/>
        <v>0</v>
      </c>
      <c r="AN16" s="253">
        <f t="shared" si="5"/>
        <v>0</v>
      </c>
      <c r="AO16" s="253">
        <f t="shared" si="5"/>
        <v>0</v>
      </c>
      <c r="AP16" s="253">
        <f t="shared" si="5"/>
        <v>0</v>
      </c>
      <c r="AQ16" s="253">
        <f t="shared" si="5"/>
        <v>0</v>
      </c>
      <c r="AR16" s="253">
        <f t="shared" si="5"/>
        <v>0</v>
      </c>
      <c r="AS16" s="253">
        <f t="shared" si="5"/>
        <v>0</v>
      </c>
      <c r="AT16" s="253">
        <f t="shared" si="5"/>
        <v>0</v>
      </c>
      <c r="AU16" s="253">
        <f t="shared" si="5"/>
        <v>0</v>
      </c>
      <c r="AV16" s="253">
        <f t="shared" si="5"/>
        <v>0</v>
      </c>
      <c r="AW16" s="253">
        <f t="shared" si="5"/>
        <v>0</v>
      </c>
      <c r="AX16" s="253">
        <f t="shared" si="5"/>
        <v>0</v>
      </c>
      <c r="AY16" s="253">
        <f t="shared" si="5"/>
        <v>0</v>
      </c>
      <c r="AZ16" s="253">
        <f t="shared" si="5"/>
        <v>0</v>
      </c>
      <c r="BA16" s="253">
        <f t="shared" si="5"/>
        <v>0</v>
      </c>
      <c r="BB16" s="253">
        <f t="shared" si="5"/>
        <v>0</v>
      </c>
      <c r="BC16" s="253">
        <f t="shared" si="5"/>
        <v>0</v>
      </c>
      <c r="BD16" s="253">
        <f t="shared" si="5"/>
        <v>0</v>
      </c>
      <c r="BE16" s="253">
        <f t="shared" si="5"/>
        <v>0</v>
      </c>
      <c r="BF16" s="253">
        <f t="shared" si="5"/>
        <v>0</v>
      </c>
      <c r="BG16" s="253">
        <f t="shared" si="5"/>
        <v>0</v>
      </c>
      <c r="BH16" s="253">
        <f t="shared" si="5"/>
        <v>0</v>
      </c>
      <c r="BI16" s="253">
        <f t="shared" si="5"/>
        <v>0</v>
      </c>
      <c r="BJ16" s="253">
        <f t="shared" si="5"/>
        <v>0</v>
      </c>
      <c r="BK16" s="253">
        <f t="shared" si="5"/>
        <v>0</v>
      </c>
      <c r="BL16" s="253">
        <f t="shared" si="5"/>
        <v>0</v>
      </c>
      <c r="BM16" s="253">
        <f t="shared" si="5"/>
        <v>0</v>
      </c>
      <c r="BN16" s="253">
        <f t="shared" si="5"/>
        <v>0</v>
      </c>
      <c r="BO16" s="253">
        <f t="shared" si="5"/>
        <v>0</v>
      </c>
      <c r="BP16" s="253">
        <f t="shared" si="5"/>
        <v>0</v>
      </c>
      <c r="BQ16" s="253">
        <f t="shared" si="5"/>
        <v>0</v>
      </c>
      <c r="BR16" s="253">
        <f t="shared" si="5"/>
        <v>0</v>
      </c>
      <c r="BS16" s="253">
        <f t="shared" si="5"/>
        <v>0</v>
      </c>
      <c r="BT16" s="253">
        <f t="shared" si="5"/>
        <v>0</v>
      </c>
      <c r="BU16" s="253">
        <f t="shared" si="5"/>
        <v>0</v>
      </c>
      <c r="BV16" s="253">
        <f t="shared" si="5"/>
        <v>0</v>
      </c>
      <c r="BW16" s="253">
        <f t="shared" ref="BW16:DY16" si="6">SUM(BW5:BW7,BW10:BW12,BW14)</f>
        <v>0</v>
      </c>
      <c r="BX16" s="253">
        <f t="shared" si="6"/>
        <v>0</v>
      </c>
      <c r="BY16" s="253">
        <f t="shared" si="6"/>
        <v>0</v>
      </c>
      <c r="BZ16" s="253">
        <f t="shared" si="6"/>
        <v>0</v>
      </c>
      <c r="CA16" s="253">
        <f t="shared" si="6"/>
        <v>0</v>
      </c>
      <c r="CB16" s="253">
        <f t="shared" si="6"/>
        <v>0</v>
      </c>
      <c r="CC16" s="253">
        <f t="shared" si="6"/>
        <v>0</v>
      </c>
      <c r="CD16" s="253">
        <f t="shared" si="6"/>
        <v>0</v>
      </c>
      <c r="CE16" s="253">
        <f t="shared" si="6"/>
        <v>0</v>
      </c>
      <c r="CF16" s="253">
        <f t="shared" si="6"/>
        <v>0</v>
      </c>
      <c r="CG16" s="253">
        <f t="shared" si="6"/>
        <v>0</v>
      </c>
      <c r="CH16" s="253">
        <f t="shared" si="6"/>
        <v>0</v>
      </c>
      <c r="CI16" s="253">
        <f t="shared" si="6"/>
        <v>0</v>
      </c>
      <c r="CJ16" s="253">
        <f t="shared" si="6"/>
        <v>0</v>
      </c>
      <c r="CK16" s="253">
        <f t="shared" si="6"/>
        <v>0</v>
      </c>
      <c r="CL16" s="253">
        <f t="shared" si="6"/>
        <v>0</v>
      </c>
      <c r="CM16" s="253">
        <f t="shared" si="6"/>
        <v>0</v>
      </c>
      <c r="CN16" s="253">
        <f t="shared" si="6"/>
        <v>0</v>
      </c>
      <c r="CO16" s="253">
        <f t="shared" si="6"/>
        <v>0</v>
      </c>
      <c r="CP16" s="253">
        <f t="shared" si="6"/>
        <v>0</v>
      </c>
      <c r="CQ16" s="253">
        <f t="shared" si="6"/>
        <v>0</v>
      </c>
      <c r="CR16" s="253">
        <f t="shared" si="6"/>
        <v>0</v>
      </c>
      <c r="CS16" s="253">
        <f t="shared" si="6"/>
        <v>0</v>
      </c>
      <c r="CT16" s="253">
        <f t="shared" si="6"/>
        <v>0</v>
      </c>
      <c r="CU16" s="253">
        <f t="shared" si="6"/>
        <v>0</v>
      </c>
      <c r="CV16" s="253">
        <f t="shared" si="6"/>
        <v>0</v>
      </c>
      <c r="CW16" s="253">
        <f t="shared" si="6"/>
        <v>0</v>
      </c>
      <c r="CX16" s="253">
        <f t="shared" si="6"/>
        <v>0</v>
      </c>
      <c r="CY16" s="253">
        <f t="shared" si="6"/>
        <v>0</v>
      </c>
      <c r="CZ16" s="253">
        <f t="shared" si="6"/>
        <v>0</v>
      </c>
      <c r="DA16" s="253">
        <f t="shared" si="6"/>
        <v>0</v>
      </c>
      <c r="DB16" s="253">
        <f t="shared" si="6"/>
        <v>0</v>
      </c>
      <c r="DC16" s="253">
        <f t="shared" si="6"/>
        <v>0</v>
      </c>
      <c r="DD16" s="253">
        <f t="shared" si="6"/>
        <v>0</v>
      </c>
      <c r="DE16" s="253">
        <f t="shared" si="6"/>
        <v>0</v>
      </c>
      <c r="DF16" s="253">
        <f t="shared" si="6"/>
        <v>0</v>
      </c>
      <c r="DG16" s="253">
        <f t="shared" si="6"/>
        <v>0</v>
      </c>
      <c r="DH16" s="253">
        <f t="shared" si="6"/>
        <v>0</v>
      </c>
      <c r="DI16" s="253">
        <f t="shared" si="6"/>
        <v>0</v>
      </c>
      <c r="DJ16" s="253">
        <f t="shared" si="6"/>
        <v>0</v>
      </c>
      <c r="DK16" s="253">
        <f t="shared" si="6"/>
        <v>0</v>
      </c>
      <c r="DL16" s="253">
        <f t="shared" si="6"/>
        <v>0</v>
      </c>
      <c r="DM16" s="253">
        <f t="shared" si="6"/>
        <v>0</v>
      </c>
      <c r="DN16" s="253">
        <f t="shared" si="6"/>
        <v>0</v>
      </c>
      <c r="DO16" s="253">
        <f t="shared" si="6"/>
        <v>0</v>
      </c>
      <c r="DP16" s="253">
        <f t="shared" si="6"/>
        <v>0</v>
      </c>
      <c r="DQ16" s="253">
        <f t="shared" si="6"/>
        <v>0</v>
      </c>
      <c r="DR16" s="253">
        <f t="shared" si="6"/>
        <v>0</v>
      </c>
      <c r="DS16" s="253">
        <f t="shared" si="6"/>
        <v>0</v>
      </c>
      <c r="DT16" s="253">
        <f t="shared" si="6"/>
        <v>0</v>
      </c>
      <c r="DU16" s="253">
        <f t="shared" si="6"/>
        <v>0</v>
      </c>
      <c r="DV16" s="253">
        <f t="shared" si="6"/>
        <v>0</v>
      </c>
      <c r="DW16" s="253">
        <f t="shared" si="6"/>
        <v>0</v>
      </c>
      <c r="DX16" s="253">
        <f t="shared" si="6"/>
        <v>0</v>
      </c>
      <c r="DY16" s="253">
        <f t="shared" si="6"/>
        <v>0</v>
      </c>
    </row>
    <row r="17" thickBot="1"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  <c r="AB17" s="125"/>
      <c r="AC17" s="125"/>
      <c r="AD17" s="125"/>
      <c r="AE17" s="125"/>
      <c r="AF17" s="125"/>
      <c r="AG17" s="125"/>
      <c r="AH17" s="125"/>
      <c r="AI17" s="125"/>
      <c r="AJ17" s="125"/>
      <c r="AK17" s="125"/>
      <c r="AL17" s="125"/>
      <c r="AM17" s="125"/>
      <c r="AN17" s="125"/>
      <c r="AO17" s="125"/>
      <c r="AP17" s="125"/>
      <c r="AQ17" s="125"/>
      <c r="AR17" s="125"/>
      <c r="AS17" s="125"/>
      <c r="AT17" s="125"/>
      <c r="AU17" s="125"/>
      <c r="AV17" s="125"/>
      <c r="AW17" s="125"/>
      <c r="AX17" s="125"/>
      <c r="AY17" s="125"/>
      <c r="AZ17" s="125"/>
      <c r="BA17" s="125"/>
      <c r="BB17" s="125"/>
      <c r="BC17" s="125"/>
      <c r="BD17" s="125"/>
      <c r="BE17" s="125"/>
      <c r="BF17" s="125"/>
      <c r="BG17" s="125"/>
      <c r="BH17" s="125"/>
      <c r="BI17" s="125"/>
      <c r="BJ17" s="125"/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  <c r="CK17" s="125"/>
      <c r="CL17" s="125"/>
      <c r="CM17" s="125"/>
      <c r="CN17" s="125"/>
      <c r="CO17" s="125"/>
      <c r="CP17" s="125"/>
      <c r="CQ17" s="125"/>
      <c r="CR17" s="125"/>
      <c r="CS17" s="125"/>
      <c r="CT17" s="125"/>
      <c r="CU17" s="125"/>
      <c r="CV17" s="125"/>
      <c r="CW17" s="125"/>
      <c r="CX17" s="125"/>
      <c r="CY17" s="125"/>
      <c r="CZ17" s="125"/>
      <c r="DA17" s="125"/>
      <c r="DB17" s="125"/>
      <c r="DC17" s="125"/>
      <c r="DD17" s="125"/>
      <c r="DE17" s="125"/>
      <c r="DF17" s="125"/>
      <c r="DG17" s="125"/>
      <c r="DH17" s="125"/>
      <c r="DI17" s="125"/>
      <c r="DJ17" s="125"/>
      <c r="DK17" s="125"/>
      <c r="DL17" s="125"/>
      <c r="DM17" s="125"/>
      <c r="DN17" s="125"/>
      <c r="DO17" s="125"/>
      <c r="DP17" s="125"/>
      <c r="DQ17" s="125"/>
      <c r="DR17" s="125"/>
      <c r="DS17" s="125"/>
      <c r="DT17" s="125"/>
      <c r="DU17" s="125"/>
      <c r="DV17" s="125"/>
      <c r="DW17" s="125"/>
      <c r="DX17" s="125"/>
      <c r="DY17" s="125"/>
    </row>
    <row r="18" thickBot="1">
      <c r="H18" s="252" t="s">
        <v>39</v>
      </c>
      <c r="I18" s="146" t="s">
        <v>1167</v>
      </c>
      <c r="J18" s="253">
        <f>+Attivo!K5</f>
        <v>0</v>
      </c>
      <c r="K18" s="253">
        <f>+J24</f>
        <v>0</v>
      </c>
      <c r="L18" s="253">
        <f t="shared" ref="L18:BW18" si="7">+K24</f>
        <v>0</v>
      </c>
      <c r="M18" s="253">
        <f t="shared" si="7"/>
        <v>0</v>
      </c>
      <c r="N18" s="253">
        <f t="shared" si="7"/>
        <v>0</v>
      </c>
      <c r="O18" s="253">
        <f t="shared" si="7"/>
        <v>0</v>
      </c>
      <c r="P18" s="253">
        <f t="shared" si="7"/>
        <v>0</v>
      </c>
      <c r="Q18" s="253">
        <f t="shared" si="7"/>
        <v>0</v>
      </c>
      <c r="R18" s="253">
        <f t="shared" si="7"/>
        <v>0</v>
      </c>
      <c r="S18" s="253">
        <f t="shared" si="7"/>
        <v>0</v>
      </c>
      <c r="T18" s="253">
        <f t="shared" si="7"/>
        <v>0</v>
      </c>
      <c r="U18" s="253">
        <f t="shared" si="7"/>
        <v>0</v>
      </c>
      <c r="V18" s="253">
        <f t="shared" si="7"/>
        <v>0</v>
      </c>
      <c r="W18" s="253">
        <f t="shared" si="7"/>
        <v>0</v>
      </c>
      <c r="X18" s="253">
        <f t="shared" si="7"/>
        <v>0</v>
      </c>
      <c r="Y18" s="253">
        <f t="shared" si="7"/>
        <v>0</v>
      </c>
      <c r="Z18" s="253">
        <f t="shared" si="7"/>
        <v>0</v>
      </c>
      <c r="AA18" s="253">
        <f t="shared" si="7"/>
        <v>0</v>
      </c>
      <c r="AB18" s="253">
        <f t="shared" si="7"/>
        <v>0</v>
      </c>
      <c r="AC18" s="253">
        <f t="shared" si="7"/>
        <v>0</v>
      </c>
      <c r="AD18" s="253">
        <f t="shared" si="7"/>
        <v>0</v>
      </c>
      <c r="AE18" s="253">
        <f t="shared" si="7"/>
        <v>0</v>
      </c>
      <c r="AF18" s="253">
        <f t="shared" si="7"/>
        <v>0</v>
      </c>
      <c r="AG18" s="253">
        <f t="shared" si="7"/>
        <v>0</v>
      </c>
      <c r="AH18" s="253">
        <f t="shared" si="7"/>
        <v>0</v>
      </c>
      <c r="AI18" s="253">
        <f t="shared" si="7"/>
        <v>0</v>
      </c>
      <c r="AJ18" s="253">
        <f t="shared" si="7"/>
        <v>0</v>
      </c>
      <c r="AK18" s="253">
        <f t="shared" si="7"/>
        <v>0</v>
      </c>
      <c r="AL18" s="253">
        <f t="shared" si="7"/>
        <v>0</v>
      </c>
      <c r="AM18" s="253">
        <f t="shared" si="7"/>
        <v>0</v>
      </c>
      <c r="AN18" s="253">
        <f t="shared" si="7"/>
        <v>0</v>
      </c>
      <c r="AO18" s="253">
        <f t="shared" si="7"/>
        <v>0</v>
      </c>
      <c r="AP18" s="253">
        <f t="shared" si="7"/>
        <v>0</v>
      </c>
      <c r="AQ18" s="253">
        <f t="shared" si="7"/>
        <v>0</v>
      </c>
      <c r="AR18" s="253">
        <f t="shared" si="7"/>
        <v>0</v>
      </c>
      <c r="AS18" s="253">
        <f t="shared" si="7"/>
        <v>0</v>
      </c>
      <c r="AT18" s="253">
        <f t="shared" si="7"/>
        <v>0</v>
      </c>
      <c r="AU18" s="253">
        <f t="shared" si="7"/>
        <v>0</v>
      </c>
      <c r="AV18" s="253">
        <f t="shared" si="7"/>
        <v>0</v>
      </c>
      <c r="AW18" s="253">
        <f t="shared" si="7"/>
        <v>0</v>
      </c>
      <c r="AX18" s="253">
        <f t="shared" si="7"/>
        <v>0</v>
      </c>
      <c r="AY18" s="253">
        <f t="shared" si="7"/>
        <v>0</v>
      </c>
      <c r="AZ18" s="253">
        <f t="shared" si="7"/>
        <v>0</v>
      </c>
      <c r="BA18" s="253">
        <f t="shared" si="7"/>
        <v>0</v>
      </c>
      <c r="BB18" s="253">
        <f t="shared" si="7"/>
        <v>0</v>
      </c>
      <c r="BC18" s="253">
        <f t="shared" si="7"/>
        <v>0</v>
      </c>
      <c r="BD18" s="253">
        <f t="shared" si="7"/>
        <v>0</v>
      </c>
      <c r="BE18" s="253">
        <f t="shared" si="7"/>
        <v>0</v>
      </c>
      <c r="BF18" s="253">
        <f t="shared" si="7"/>
        <v>0</v>
      </c>
      <c r="BG18" s="253">
        <f t="shared" si="7"/>
        <v>0</v>
      </c>
      <c r="BH18" s="253">
        <f t="shared" si="7"/>
        <v>0</v>
      </c>
      <c r="BI18" s="253">
        <f t="shared" si="7"/>
        <v>0</v>
      </c>
      <c r="BJ18" s="253">
        <f t="shared" si="7"/>
        <v>0</v>
      </c>
      <c r="BK18" s="253">
        <f t="shared" si="7"/>
        <v>0</v>
      </c>
      <c r="BL18" s="253">
        <f t="shared" si="7"/>
        <v>0</v>
      </c>
      <c r="BM18" s="253">
        <f t="shared" si="7"/>
        <v>0</v>
      </c>
      <c r="BN18" s="253">
        <f t="shared" si="7"/>
        <v>0</v>
      </c>
      <c r="BO18" s="253">
        <f t="shared" si="7"/>
        <v>0</v>
      </c>
      <c r="BP18" s="253">
        <f t="shared" si="7"/>
        <v>0</v>
      </c>
      <c r="BQ18" s="253">
        <f t="shared" si="7"/>
        <v>0</v>
      </c>
      <c r="BR18" s="253">
        <f t="shared" si="7"/>
        <v>0</v>
      </c>
      <c r="BS18" s="253">
        <f t="shared" si="7"/>
        <v>0</v>
      </c>
      <c r="BT18" s="253">
        <f t="shared" si="7"/>
        <v>0</v>
      </c>
      <c r="BU18" s="253">
        <f t="shared" si="7"/>
        <v>0</v>
      </c>
      <c r="BV18" s="253">
        <f t="shared" si="7"/>
        <v>0</v>
      </c>
      <c r="BW18" s="253">
        <f t="shared" si="7"/>
        <v>0</v>
      </c>
      <c r="BX18" s="253">
        <f t="shared" ref="BX18:DY18" si="8">+BW24</f>
        <v>0</v>
      </c>
      <c r="BY18" s="253">
        <f t="shared" si="8"/>
        <v>0</v>
      </c>
      <c r="BZ18" s="253">
        <f t="shared" si="8"/>
        <v>0</v>
      </c>
      <c r="CA18" s="253">
        <f t="shared" si="8"/>
        <v>0</v>
      </c>
      <c r="CB18" s="253">
        <f t="shared" si="8"/>
        <v>0</v>
      </c>
      <c r="CC18" s="253">
        <f t="shared" si="8"/>
        <v>0</v>
      </c>
      <c r="CD18" s="253">
        <f t="shared" si="8"/>
        <v>0</v>
      </c>
      <c r="CE18" s="253">
        <f t="shared" si="8"/>
        <v>0</v>
      </c>
      <c r="CF18" s="253">
        <f t="shared" si="8"/>
        <v>0</v>
      </c>
      <c r="CG18" s="253">
        <f t="shared" si="8"/>
        <v>0</v>
      </c>
      <c r="CH18" s="253">
        <f t="shared" si="8"/>
        <v>0</v>
      </c>
      <c r="CI18" s="253">
        <f t="shared" si="8"/>
        <v>0</v>
      </c>
      <c r="CJ18" s="253">
        <f t="shared" si="8"/>
        <v>0</v>
      </c>
      <c r="CK18" s="253">
        <f t="shared" si="8"/>
        <v>0</v>
      </c>
      <c r="CL18" s="253">
        <f t="shared" si="8"/>
        <v>0</v>
      </c>
      <c r="CM18" s="253">
        <f t="shared" si="8"/>
        <v>0</v>
      </c>
      <c r="CN18" s="253">
        <f t="shared" si="8"/>
        <v>0</v>
      </c>
      <c r="CO18" s="253">
        <f t="shared" si="8"/>
        <v>0</v>
      </c>
      <c r="CP18" s="253">
        <f t="shared" si="8"/>
        <v>0</v>
      </c>
      <c r="CQ18" s="253">
        <f t="shared" si="8"/>
        <v>0</v>
      </c>
      <c r="CR18" s="253">
        <f t="shared" si="8"/>
        <v>0</v>
      </c>
      <c r="CS18" s="253">
        <f t="shared" si="8"/>
        <v>0</v>
      </c>
      <c r="CT18" s="253">
        <f t="shared" si="8"/>
        <v>0</v>
      </c>
      <c r="CU18" s="253">
        <f t="shared" si="8"/>
        <v>0</v>
      </c>
      <c r="CV18" s="253">
        <f t="shared" si="8"/>
        <v>0</v>
      </c>
      <c r="CW18" s="253">
        <f t="shared" si="8"/>
        <v>0</v>
      </c>
      <c r="CX18" s="253">
        <f t="shared" si="8"/>
        <v>0</v>
      </c>
      <c r="CY18" s="253">
        <f t="shared" si="8"/>
        <v>0</v>
      </c>
      <c r="CZ18" s="253">
        <f t="shared" si="8"/>
        <v>0</v>
      </c>
      <c r="DA18" s="253">
        <f t="shared" si="8"/>
        <v>0</v>
      </c>
      <c r="DB18" s="253">
        <f t="shared" si="8"/>
        <v>0</v>
      </c>
      <c r="DC18" s="253">
        <f t="shared" si="8"/>
        <v>0</v>
      </c>
      <c r="DD18" s="253">
        <f t="shared" si="8"/>
        <v>0</v>
      </c>
      <c r="DE18" s="253">
        <f t="shared" si="8"/>
        <v>0</v>
      </c>
      <c r="DF18" s="253">
        <f t="shared" si="8"/>
        <v>0</v>
      </c>
      <c r="DG18" s="253">
        <f t="shared" si="8"/>
        <v>0</v>
      </c>
      <c r="DH18" s="253">
        <f t="shared" si="8"/>
        <v>0</v>
      </c>
      <c r="DI18" s="253">
        <f t="shared" si="8"/>
        <v>0</v>
      </c>
      <c r="DJ18" s="253">
        <f t="shared" si="8"/>
        <v>0</v>
      </c>
      <c r="DK18" s="253">
        <f t="shared" si="8"/>
        <v>0</v>
      </c>
      <c r="DL18" s="253">
        <f t="shared" si="8"/>
        <v>0</v>
      </c>
      <c r="DM18" s="253">
        <f t="shared" si="8"/>
        <v>0</v>
      </c>
      <c r="DN18" s="253">
        <f t="shared" si="8"/>
        <v>0</v>
      </c>
      <c r="DO18" s="253">
        <f t="shared" si="8"/>
        <v>0</v>
      </c>
      <c r="DP18" s="253">
        <f t="shared" si="8"/>
        <v>0</v>
      </c>
      <c r="DQ18" s="253">
        <f t="shared" si="8"/>
        <v>0</v>
      </c>
      <c r="DR18" s="253">
        <f t="shared" si="8"/>
        <v>0</v>
      </c>
      <c r="DS18" s="253">
        <f t="shared" si="8"/>
        <v>0</v>
      </c>
      <c r="DT18" s="253">
        <f t="shared" si="8"/>
        <v>0</v>
      </c>
      <c r="DU18" s="253">
        <f t="shared" si="8"/>
        <v>0</v>
      </c>
      <c r="DV18" s="253">
        <f t="shared" si="8"/>
        <v>0</v>
      </c>
      <c r="DW18" s="253">
        <f t="shared" si="8"/>
        <v>0</v>
      </c>
      <c r="DX18" s="253">
        <f t="shared" si="8"/>
        <v>0</v>
      </c>
      <c r="DY18" s="253">
        <f t="shared" si="8"/>
        <v>0</v>
      </c>
    </row>
    <row r="19" thickBot="1">
      <c r="J19" s="125"/>
      <c r="K19" s="125"/>
      <c r="L19" s="125"/>
      <c r="M19" s="125"/>
      <c r="N19" s="125"/>
      <c r="O19" s="125"/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125"/>
      <c r="AA19" s="125"/>
      <c r="AB19" s="125"/>
      <c r="AC19" s="125"/>
      <c r="AD19" s="125"/>
      <c r="AE19" s="125"/>
      <c r="AF19" s="125"/>
      <c r="AG19" s="125"/>
      <c r="AH19" s="125"/>
      <c r="AI19" s="125"/>
      <c r="AJ19" s="125"/>
      <c r="AK19" s="125"/>
      <c r="AL19" s="125"/>
      <c r="AM19" s="125"/>
      <c r="AN19" s="125"/>
      <c r="AO19" s="125"/>
      <c r="AP19" s="125"/>
      <c r="AQ19" s="125"/>
      <c r="AR19" s="125"/>
      <c r="AS19" s="125"/>
      <c r="AT19" s="125"/>
      <c r="AU19" s="125"/>
      <c r="AV19" s="125"/>
      <c r="AW19" s="125"/>
      <c r="AX19" s="125"/>
      <c r="AY19" s="125"/>
      <c r="AZ19" s="125"/>
      <c r="BA19" s="125"/>
      <c r="BB19" s="125"/>
      <c r="BC19" s="125"/>
      <c r="BD19" s="125"/>
      <c r="BE19" s="125"/>
      <c r="BF19" s="125"/>
      <c r="BG19" s="125"/>
      <c r="BH19" s="125"/>
      <c r="BI19" s="125"/>
      <c r="BJ19" s="125"/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  <c r="CK19" s="125"/>
      <c r="CL19" s="125"/>
      <c r="CM19" s="125"/>
      <c r="CN19" s="125"/>
      <c r="CO19" s="125"/>
      <c r="CP19" s="125"/>
      <c r="CQ19" s="125"/>
      <c r="CR19" s="125"/>
      <c r="CS19" s="125"/>
      <c r="CT19" s="125"/>
      <c r="CU19" s="125"/>
      <c r="CV19" s="125"/>
      <c r="CW19" s="125"/>
      <c r="CX19" s="125"/>
      <c r="CY19" s="125"/>
      <c r="CZ19" s="125"/>
      <c r="DA19" s="125"/>
      <c r="DB19" s="125"/>
      <c r="DC19" s="125"/>
      <c r="DD19" s="125"/>
      <c r="DE19" s="125"/>
      <c r="DF19" s="125"/>
      <c r="DG19" s="125"/>
      <c r="DH19" s="125"/>
      <c r="DI19" s="125"/>
      <c r="DJ19" s="125"/>
      <c r="DK19" s="125"/>
      <c r="DL19" s="125"/>
      <c r="DM19" s="125"/>
      <c r="DN19" s="125"/>
      <c r="DO19" s="125"/>
      <c r="DP19" s="125"/>
      <c r="DQ19" s="125"/>
      <c r="DR19" s="125"/>
      <c r="DS19" s="125"/>
      <c r="DT19" s="125"/>
      <c r="DU19" s="125"/>
      <c r="DV19" s="125"/>
      <c r="DW19" s="125"/>
      <c r="DX19" s="125"/>
      <c r="DY19" s="125"/>
    </row>
    <row r="20" thickBot="1">
      <c r="H20" s="252" t="s">
        <v>1168</v>
      </c>
      <c r="I20" s="146" t="s">
        <v>954</v>
      </c>
      <c r="J20" s="253">
        <f>+J16+J18</f>
        <v>0</v>
      </c>
      <c r="K20" s="253">
        <f>+K16+K18</f>
        <v>0</v>
      </c>
      <c r="L20" s="253">
        <f t="shared" ref="L20:BW20" si="9">+L16+L18</f>
        <v>0</v>
      </c>
      <c r="M20" s="253">
        <f t="shared" si="9"/>
        <v>0</v>
      </c>
      <c r="N20" s="253">
        <f t="shared" si="9"/>
        <v>0</v>
      </c>
      <c r="O20" s="253">
        <f t="shared" si="9"/>
        <v>0</v>
      </c>
      <c r="P20" s="253">
        <f t="shared" si="9"/>
        <v>0</v>
      </c>
      <c r="Q20" s="253">
        <f t="shared" si="9"/>
        <v>0</v>
      </c>
      <c r="R20" s="253">
        <f t="shared" si="9"/>
        <v>0</v>
      </c>
      <c r="S20" s="253">
        <f t="shared" si="9"/>
        <v>0</v>
      </c>
      <c r="T20" s="253">
        <f t="shared" si="9"/>
        <v>0</v>
      </c>
      <c r="U20" s="253">
        <f t="shared" si="9"/>
        <v>0</v>
      </c>
      <c r="V20" s="253">
        <f t="shared" si="9"/>
        <v>0</v>
      </c>
      <c r="W20" s="253">
        <f t="shared" si="9"/>
        <v>0</v>
      </c>
      <c r="X20" s="253">
        <f t="shared" si="9"/>
        <v>0</v>
      </c>
      <c r="Y20" s="253">
        <f t="shared" si="9"/>
        <v>0</v>
      </c>
      <c r="Z20" s="253">
        <f t="shared" si="9"/>
        <v>0</v>
      </c>
      <c r="AA20" s="253">
        <f t="shared" si="9"/>
        <v>0</v>
      </c>
      <c r="AB20" s="253">
        <f t="shared" si="9"/>
        <v>0</v>
      </c>
      <c r="AC20" s="253">
        <f t="shared" si="9"/>
        <v>0</v>
      </c>
      <c r="AD20" s="253">
        <f t="shared" si="9"/>
        <v>0</v>
      </c>
      <c r="AE20" s="253">
        <f t="shared" si="9"/>
        <v>0</v>
      </c>
      <c r="AF20" s="253">
        <f t="shared" si="9"/>
        <v>0</v>
      </c>
      <c r="AG20" s="253">
        <f t="shared" si="9"/>
        <v>0</v>
      </c>
      <c r="AH20" s="253">
        <f t="shared" si="9"/>
        <v>0</v>
      </c>
      <c r="AI20" s="253">
        <f t="shared" si="9"/>
        <v>0</v>
      </c>
      <c r="AJ20" s="253">
        <f t="shared" si="9"/>
        <v>0</v>
      </c>
      <c r="AK20" s="253">
        <f t="shared" si="9"/>
        <v>0</v>
      </c>
      <c r="AL20" s="253">
        <f t="shared" si="9"/>
        <v>0</v>
      </c>
      <c r="AM20" s="253">
        <f t="shared" si="9"/>
        <v>0</v>
      </c>
      <c r="AN20" s="253">
        <f t="shared" si="9"/>
        <v>0</v>
      </c>
      <c r="AO20" s="253">
        <f t="shared" si="9"/>
        <v>0</v>
      </c>
      <c r="AP20" s="253">
        <f t="shared" si="9"/>
        <v>0</v>
      </c>
      <c r="AQ20" s="253">
        <f t="shared" si="9"/>
        <v>0</v>
      </c>
      <c r="AR20" s="253">
        <f t="shared" si="9"/>
        <v>0</v>
      </c>
      <c r="AS20" s="253">
        <f t="shared" si="9"/>
        <v>0</v>
      </c>
      <c r="AT20" s="253">
        <f t="shared" si="9"/>
        <v>0</v>
      </c>
      <c r="AU20" s="253">
        <f t="shared" si="9"/>
        <v>0</v>
      </c>
      <c r="AV20" s="253">
        <f t="shared" si="9"/>
        <v>0</v>
      </c>
      <c r="AW20" s="253">
        <f t="shared" si="9"/>
        <v>0</v>
      </c>
      <c r="AX20" s="253">
        <f t="shared" si="9"/>
        <v>0</v>
      </c>
      <c r="AY20" s="253">
        <f t="shared" si="9"/>
        <v>0</v>
      </c>
      <c r="AZ20" s="253">
        <f t="shared" si="9"/>
        <v>0</v>
      </c>
      <c r="BA20" s="253">
        <f t="shared" si="9"/>
        <v>0</v>
      </c>
      <c r="BB20" s="253">
        <f t="shared" si="9"/>
        <v>0</v>
      </c>
      <c r="BC20" s="253">
        <f t="shared" si="9"/>
        <v>0</v>
      </c>
      <c r="BD20" s="253">
        <f t="shared" si="9"/>
        <v>0</v>
      </c>
      <c r="BE20" s="253">
        <f t="shared" si="9"/>
        <v>0</v>
      </c>
      <c r="BF20" s="253">
        <f t="shared" si="9"/>
        <v>0</v>
      </c>
      <c r="BG20" s="253">
        <f t="shared" si="9"/>
        <v>0</v>
      </c>
      <c r="BH20" s="253">
        <f t="shared" si="9"/>
        <v>0</v>
      </c>
      <c r="BI20" s="253">
        <f t="shared" si="9"/>
        <v>0</v>
      </c>
      <c r="BJ20" s="253">
        <f t="shared" si="9"/>
        <v>0</v>
      </c>
      <c r="BK20" s="253">
        <f t="shared" si="9"/>
        <v>0</v>
      </c>
      <c r="BL20" s="253">
        <f t="shared" si="9"/>
        <v>0</v>
      </c>
      <c r="BM20" s="253">
        <f t="shared" si="9"/>
        <v>0</v>
      </c>
      <c r="BN20" s="253">
        <f t="shared" si="9"/>
        <v>0</v>
      </c>
      <c r="BO20" s="253">
        <f t="shared" si="9"/>
        <v>0</v>
      </c>
      <c r="BP20" s="253">
        <f t="shared" si="9"/>
        <v>0</v>
      </c>
      <c r="BQ20" s="253">
        <f t="shared" si="9"/>
        <v>0</v>
      </c>
      <c r="BR20" s="253">
        <f t="shared" si="9"/>
        <v>0</v>
      </c>
      <c r="BS20" s="253">
        <f t="shared" si="9"/>
        <v>0</v>
      </c>
      <c r="BT20" s="253">
        <f t="shared" si="9"/>
        <v>0</v>
      </c>
      <c r="BU20" s="253">
        <f t="shared" si="9"/>
        <v>0</v>
      </c>
      <c r="BV20" s="253">
        <f t="shared" si="9"/>
        <v>0</v>
      </c>
      <c r="BW20" s="253">
        <f t="shared" si="9"/>
        <v>0</v>
      </c>
      <c r="BX20" s="253">
        <f t="shared" ref="BX20:DY20" si="10">+BX16+BX18</f>
        <v>0</v>
      </c>
      <c r="BY20" s="253">
        <f t="shared" si="10"/>
        <v>0</v>
      </c>
      <c r="BZ20" s="253">
        <f t="shared" si="10"/>
        <v>0</v>
      </c>
      <c r="CA20" s="253">
        <f t="shared" si="10"/>
        <v>0</v>
      </c>
      <c r="CB20" s="253">
        <f t="shared" si="10"/>
        <v>0</v>
      </c>
      <c r="CC20" s="253">
        <f t="shared" si="10"/>
        <v>0</v>
      </c>
      <c r="CD20" s="253">
        <f t="shared" si="10"/>
        <v>0</v>
      </c>
      <c r="CE20" s="253">
        <f t="shared" si="10"/>
        <v>0</v>
      </c>
      <c r="CF20" s="253">
        <f t="shared" si="10"/>
        <v>0</v>
      </c>
      <c r="CG20" s="253">
        <f t="shared" si="10"/>
        <v>0</v>
      </c>
      <c r="CH20" s="253">
        <f t="shared" si="10"/>
        <v>0</v>
      </c>
      <c r="CI20" s="253">
        <f t="shared" si="10"/>
        <v>0</v>
      </c>
      <c r="CJ20" s="253">
        <f t="shared" si="10"/>
        <v>0</v>
      </c>
      <c r="CK20" s="253">
        <f t="shared" si="10"/>
        <v>0</v>
      </c>
      <c r="CL20" s="253">
        <f t="shared" si="10"/>
        <v>0</v>
      </c>
      <c r="CM20" s="253">
        <f t="shared" si="10"/>
        <v>0</v>
      </c>
      <c r="CN20" s="253">
        <f t="shared" si="10"/>
        <v>0</v>
      </c>
      <c r="CO20" s="253">
        <f t="shared" si="10"/>
        <v>0</v>
      </c>
      <c r="CP20" s="253">
        <f t="shared" si="10"/>
        <v>0</v>
      </c>
      <c r="CQ20" s="253">
        <f t="shared" si="10"/>
        <v>0</v>
      </c>
      <c r="CR20" s="253">
        <f t="shared" si="10"/>
        <v>0</v>
      </c>
      <c r="CS20" s="253">
        <f t="shared" si="10"/>
        <v>0</v>
      </c>
      <c r="CT20" s="253">
        <f t="shared" si="10"/>
        <v>0</v>
      </c>
      <c r="CU20" s="253">
        <f t="shared" si="10"/>
        <v>0</v>
      </c>
      <c r="CV20" s="253">
        <f t="shared" si="10"/>
        <v>0</v>
      </c>
      <c r="CW20" s="253">
        <f t="shared" si="10"/>
        <v>0</v>
      </c>
      <c r="CX20" s="253">
        <f t="shared" si="10"/>
        <v>0</v>
      </c>
      <c r="CY20" s="253">
        <f t="shared" si="10"/>
        <v>0</v>
      </c>
      <c r="CZ20" s="253">
        <f t="shared" si="10"/>
        <v>0</v>
      </c>
      <c r="DA20" s="253">
        <f t="shared" si="10"/>
        <v>0</v>
      </c>
      <c r="DB20" s="253">
        <f t="shared" si="10"/>
        <v>0</v>
      </c>
      <c r="DC20" s="253">
        <f t="shared" si="10"/>
        <v>0</v>
      </c>
      <c r="DD20" s="253">
        <f t="shared" si="10"/>
        <v>0</v>
      </c>
      <c r="DE20" s="253">
        <f t="shared" si="10"/>
        <v>0</v>
      </c>
      <c r="DF20" s="253">
        <f t="shared" si="10"/>
        <v>0</v>
      </c>
      <c r="DG20" s="253">
        <f t="shared" si="10"/>
        <v>0</v>
      </c>
      <c r="DH20" s="253">
        <f t="shared" si="10"/>
        <v>0</v>
      </c>
      <c r="DI20" s="253">
        <f t="shared" si="10"/>
        <v>0</v>
      </c>
      <c r="DJ20" s="253">
        <f t="shared" si="10"/>
        <v>0</v>
      </c>
      <c r="DK20" s="253">
        <f t="shared" si="10"/>
        <v>0</v>
      </c>
      <c r="DL20" s="253">
        <f t="shared" si="10"/>
        <v>0</v>
      </c>
      <c r="DM20" s="253">
        <f t="shared" si="10"/>
        <v>0</v>
      </c>
      <c r="DN20" s="253">
        <f t="shared" si="10"/>
        <v>0</v>
      </c>
      <c r="DO20" s="253">
        <f t="shared" si="10"/>
        <v>0</v>
      </c>
      <c r="DP20" s="253">
        <f t="shared" si="10"/>
        <v>0</v>
      </c>
      <c r="DQ20" s="253">
        <f t="shared" si="10"/>
        <v>0</v>
      </c>
      <c r="DR20" s="253">
        <f t="shared" si="10"/>
        <v>0</v>
      </c>
      <c r="DS20" s="253">
        <f t="shared" si="10"/>
        <v>0</v>
      </c>
      <c r="DT20" s="253">
        <f t="shared" si="10"/>
        <v>0</v>
      </c>
      <c r="DU20" s="253">
        <f t="shared" si="10"/>
        <v>0</v>
      </c>
      <c r="DV20" s="253">
        <f t="shared" si="10"/>
        <v>0</v>
      </c>
      <c r="DW20" s="253">
        <f t="shared" si="10"/>
        <v>0</v>
      </c>
      <c r="DX20" s="253">
        <f t="shared" si="10"/>
        <v>0</v>
      </c>
      <c r="DY20" s="253">
        <f t="shared" si="10"/>
        <v>0</v>
      </c>
    </row>
    <row r="21" thickBot="1"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  <c r="AA21" s="125"/>
      <c r="AB21" s="125"/>
      <c r="AC21" s="125"/>
      <c r="AD21" s="125"/>
      <c r="AE21" s="125"/>
      <c r="AF21" s="125"/>
      <c r="AG21" s="125"/>
      <c r="AH21" s="125"/>
      <c r="AI21" s="125"/>
      <c r="AJ21" s="125"/>
      <c r="AK21" s="125"/>
      <c r="AL21" s="125"/>
      <c r="AM21" s="125"/>
      <c r="AN21" s="125"/>
      <c r="AO21" s="125"/>
      <c r="AP21" s="125"/>
      <c r="AQ21" s="125"/>
      <c r="AR21" s="125"/>
      <c r="AS21" s="125"/>
      <c r="AT21" s="125"/>
      <c r="AU21" s="125"/>
      <c r="AV21" s="125"/>
      <c r="AW21" s="125"/>
      <c r="AX21" s="125"/>
      <c r="AY21" s="125"/>
      <c r="AZ21" s="125"/>
      <c r="BA21" s="125"/>
      <c r="BB21" s="125"/>
      <c r="BC21" s="125"/>
      <c r="BD21" s="125"/>
      <c r="BE21" s="125"/>
      <c r="BF21" s="125"/>
      <c r="BG21" s="125"/>
      <c r="BH21" s="125"/>
      <c r="BI21" s="125"/>
      <c r="BJ21" s="125"/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  <c r="CK21" s="125"/>
      <c r="CL21" s="125"/>
      <c r="CM21" s="125"/>
      <c r="CN21" s="125"/>
      <c r="CO21" s="125"/>
      <c r="CP21" s="125"/>
      <c r="CQ21" s="125"/>
      <c r="CR21" s="125"/>
      <c r="CS21" s="125"/>
      <c r="CT21" s="125"/>
      <c r="CU21" s="125"/>
      <c r="CV21" s="125"/>
      <c r="CW21" s="125"/>
      <c r="CX21" s="125"/>
      <c r="CY21" s="125"/>
      <c r="CZ21" s="125"/>
      <c r="DA21" s="125"/>
      <c r="DB21" s="125"/>
      <c r="DC21" s="125"/>
      <c r="DD21" s="125"/>
      <c r="DE21" s="125"/>
      <c r="DF21" s="125"/>
      <c r="DG21" s="125"/>
      <c r="DH21" s="125"/>
      <c r="DI21" s="125"/>
      <c r="DJ21" s="125"/>
      <c r="DK21" s="125"/>
      <c r="DL21" s="125"/>
      <c r="DM21" s="125"/>
      <c r="DN21" s="125"/>
      <c r="DO21" s="125"/>
      <c r="DP21" s="125"/>
      <c r="DQ21" s="125"/>
      <c r="DR21" s="125"/>
      <c r="DS21" s="125"/>
      <c r="DT21" s="125"/>
      <c r="DU21" s="125"/>
      <c r="DV21" s="125"/>
      <c r="DW21" s="125"/>
      <c r="DX21" s="125"/>
      <c r="DY21" s="125"/>
    </row>
    <row r="22" ht="14.5">
      <c r="B22" s="34"/>
      <c r="C22" s="34"/>
      <c r="D22" s="34"/>
      <c r="E22" s="34"/>
      <c r="F22" s="34"/>
      <c r="G22" s="34"/>
      <c r="H22" s="254" t="s">
        <v>1169</v>
      </c>
      <c r="I22" s="255" t="s">
        <v>892</v>
      </c>
      <c r="J22" s="247">
        <f>+PreDeduzione!L29</f>
        <v>0</v>
      </c>
      <c r="K22" s="247">
        <f>+PreDeduzione!M29</f>
        <v>0</v>
      </c>
      <c r="L22" s="247">
        <f>+PreDeduzione!N29</f>
        <v>0</v>
      </c>
      <c r="M22" s="247">
        <f>+PreDeduzione!O29</f>
        <v>0</v>
      </c>
      <c r="N22" s="247">
        <f>+PreDeduzione!P29</f>
        <v>0</v>
      </c>
      <c r="O22" s="247">
        <f>+PreDeduzione!Q29</f>
        <v>0</v>
      </c>
      <c r="P22" s="247">
        <f>+PreDeduzione!R29</f>
        <v>0</v>
      </c>
      <c r="Q22" s="247">
        <f>+PreDeduzione!S29</f>
        <v>0</v>
      </c>
      <c r="R22" s="247">
        <f>+PreDeduzione!T29</f>
        <v>0</v>
      </c>
      <c r="S22" s="247">
        <f>+PreDeduzione!U29</f>
        <v>0</v>
      </c>
      <c r="T22" s="247">
        <f>+PreDeduzione!V29</f>
        <v>0</v>
      </c>
      <c r="U22" s="247">
        <f>+PreDeduzione!W29</f>
        <v>0</v>
      </c>
      <c r="V22" s="247">
        <f>+PreDeduzione!X29</f>
        <v>0</v>
      </c>
      <c r="W22" s="247">
        <f>+PreDeduzione!Y29</f>
        <v>0</v>
      </c>
      <c r="X22" s="247">
        <f>+PreDeduzione!Z29</f>
        <v>0</v>
      </c>
      <c r="Y22" s="247">
        <f>+PreDeduzione!AA29</f>
        <v>0</v>
      </c>
      <c r="Z22" s="247">
        <f>+PreDeduzione!AB29</f>
        <v>0</v>
      </c>
      <c r="AA22" s="247">
        <f>+PreDeduzione!AC29</f>
        <v>0</v>
      </c>
      <c r="AB22" s="247">
        <f>+PreDeduzione!AD29</f>
        <v>0</v>
      </c>
      <c r="AC22" s="247">
        <f>+PreDeduzione!AE29</f>
        <v>0</v>
      </c>
      <c r="AD22" s="247">
        <f>+PreDeduzione!AF29</f>
        <v>0</v>
      </c>
      <c r="AE22" s="247">
        <f>+PreDeduzione!AG29</f>
        <v>0</v>
      </c>
      <c r="AF22" s="247">
        <f>+PreDeduzione!AH29</f>
        <v>0</v>
      </c>
      <c r="AG22" s="247">
        <f>+PreDeduzione!AI29</f>
        <v>0</v>
      </c>
      <c r="AH22" s="247">
        <f>+PreDeduzione!AJ29</f>
        <v>0</v>
      </c>
      <c r="AI22" s="247">
        <f>+PreDeduzione!AK29</f>
        <v>0</v>
      </c>
      <c r="AJ22" s="247">
        <f>+PreDeduzione!AL29</f>
        <v>0</v>
      </c>
      <c r="AK22" s="247">
        <f>+PreDeduzione!AM29</f>
        <v>0</v>
      </c>
      <c r="AL22" s="247">
        <f>+PreDeduzione!AN29</f>
        <v>0</v>
      </c>
      <c r="AM22" s="247">
        <f>+PreDeduzione!AO29</f>
        <v>0</v>
      </c>
      <c r="AN22" s="247">
        <f>+PreDeduzione!AP29</f>
        <v>0</v>
      </c>
      <c r="AO22" s="247">
        <f>+PreDeduzione!AQ29</f>
        <v>0</v>
      </c>
      <c r="AP22" s="247">
        <f>+PreDeduzione!AR29</f>
        <v>0</v>
      </c>
      <c r="AQ22" s="247">
        <f>+PreDeduzione!AS29</f>
        <v>0</v>
      </c>
      <c r="AR22" s="247">
        <f>+PreDeduzione!AT29</f>
        <v>0</v>
      </c>
      <c r="AS22" s="247">
        <f>+PreDeduzione!AU29</f>
        <v>0</v>
      </c>
      <c r="AT22" s="247">
        <f>+PreDeduzione!AV29</f>
        <v>0</v>
      </c>
      <c r="AU22" s="247">
        <f>+PreDeduzione!AW29</f>
        <v>0</v>
      </c>
      <c r="AV22" s="247">
        <f>+PreDeduzione!AX29</f>
        <v>0</v>
      </c>
      <c r="AW22" s="247">
        <f>+PreDeduzione!AY29</f>
        <v>0</v>
      </c>
      <c r="AX22" s="247">
        <f>+PreDeduzione!AZ29</f>
        <v>0</v>
      </c>
      <c r="AY22" s="247">
        <f>+PreDeduzione!BA29</f>
        <v>0</v>
      </c>
      <c r="AZ22" s="247">
        <f>+PreDeduzione!BB29</f>
        <v>0</v>
      </c>
      <c r="BA22" s="247">
        <f>+PreDeduzione!BC29</f>
        <v>0</v>
      </c>
      <c r="BB22" s="247">
        <f>+PreDeduzione!BD29</f>
        <v>0</v>
      </c>
      <c r="BC22" s="247">
        <f>+PreDeduzione!BE29</f>
        <v>0</v>
      </c>
      <c r="BD22" s="247">
        <f>+PreDeduzione!BF29</f>
        <v>0</v>
      </c>
      <c r="BE22" s="247">
        <f>+PreDeduzione!BG29</f>
        <v>0</v>
      </c>
      <c r="BF22" s="247">
        <f>+PreDeduzione!BH29</f>
        <v>0</v>
      </c>
      <c r="BG22" s="247">
        <f>+PreDeduzione!BI29</f>
        <v>0</v>
      </c>
      <c r="BH22" s="247">
        <f>+PreDeduzione!BJ29</f>
        <v>0</v>
      </c>
      <c r="BI22" s="247">
        <f>+PreDeduzione!BK29</f>
        <v>0</v>
      </c>
      <c r="BJ22" s="247">
        <f>+PreDeduzione!BL29</f>
        <v>0</v>
      </c>
      <c r="BK22" s="247">
        <f>+PreDeduzione!BM29</f>
        <v>0</v>
      </c>
      <c r="BL22" s="247">
        <f>+PreDeduzione!BN29</f>
        <v>0</v>
      </c>
      <c r="BM22" s="247">
        <f>+PreDeduzione!BO29</f>
        <v>0</v>
      </c>
      <c r="BN22" s="247">
        <f>+PreDeduzione!BP29</f>
        <v>0</v>
      </c>
      <c r="BO22" s="247">
        <f>+PreDeduzione!BQ29</f>
        <v>0</v>
      </c>
      <c r="BP22" s="247">
        <f>+PreDeduzione!BR29</f>
        <v>0</v>
      </c>
      <c r="BQ22" s="247">
        <f>+PreDeduzione!BS29</f>
        <v>0</v>
      </c>
      <c r="BR22" s="247">
        <f>+PreDeduzione!BT29</f>
        <v>0</v>
      </c>
      <c r="BS22" s="247">
        <f>+PreDeduzione!BU29</f>
        <v>0</v>
      </c>
      <c r="BT22" s="247">
        <f>+PreDeduzione!BV29</f>
        <v>0</v>
      </c>
      <c r="BU22" s="247">
        <f>+PreDeduzione!BW29</f>
        <v>0</v>
      </c>
      <c r="BV22" s="247">
        <f>+PreDeduzione!BX29</f>
        <v>0</v>
      </c>
      <c r="BW22" s="247">
        <f>+PreDeduzione!BY29</f>
        <v>0</v>
      </c>
      <c r="BX22" s="247">
        <f>+PreDeduzione!BZ29</f>
        <v>0</v>
      </c>
      <c r="BY22" s="247">
        <f>+PreDeduzione!CA29</f>
        <v>0</v>
      </c>
      <c r="BZ22" s="247">
        <f>+PreDeduzione!CB29</f>
        <v>0</v>
      </c>
      <c r="CA22" s="247">
        <f>+PreDeduzione!CC29</f>
        <v>0</v>
      </c>
      <c r="CB22" s="247">
        <f>+PreDeduzione!CD29</f>
        <v>0</v>
      </c>
      <c r="CC22" s="247">
        <f>+PreDeduzione!CE29</f>
        <v>0</v>
      </c>
      <c r="CD22" s="247">
        <f>+PreDeduzione!CF29</f>
        <v>0</v>
      </c>
      <c r="CE22" s="247">
        <f>+PreDeduzione!CG29</f>
        <v>0</v>
      </c>
      <c r="CF22" s="247">
        <f>+PreDeduzione!CH29</f>
        <v>0</v>
      </c>
      <c r="CG22" s="247">
        <f>+PreDeduzione!CI29</f>
        <v>0</v>
      </c>
      <c r="CH22" s="247">
        <f>+PreDeduzione!CJ29</f>
        <v>0</v>
      </c>
      <c r="CI22" s="247">
        <f>+PreDeduzione!CK29</f>
        <v>0</v>
      </c>
      <c r="CJ22" s="247">
        <f>+PreDeduzione!CL29</f>
        <v>0</v>
      </c>
      <c r="CK22" s="247">
        <f>+PreDeduzione!CM29</f>
        <v>0</v>
      </c>
      <c r="CL22" s="247">
        <f>+PreDeduzione!CN29</f>
        <v>0</v>
      </c>
      <c r="CM22" s="247">
        <f>+PreDeduzione!CO29</f>
        <v>0</v>
      </c>
      <c r="CN22" s="247">
        <f>+PreDeduzione!CP29</f>
        <v>0</v>
      </c>
      <c r="CO22" s="247">
        <f>+PreDeduzione!CQ29</f>
        <v>0</v>
      </c>
      <c r="CP22" s="247">
        <f>+PreDeduzione!CR29</f>
        <v>0</v>
      </c>
      <c r="CQ22" s="247">
        <f>+PreDeduzione!CS29</f>
        <v>0</v>
      </c>
      <c r="CR22" s="247">
        <f>+PreDeduzione!CT29</f>
        <v>0</v>
      </c>
      <c r="CS22" s="247">
        <f>+PreDeduzione!CU29</f>
        <v>0</v>
      </c>
      <c r="CT22" s="247">
        <f>+PreDeduzione!CV29</f>
        <v>0</v>
      </c>
      <c r="CU22" s="247">
        <f>+PreDeduzione!CW29</f>
        <v>0</v>
      </c>
      <c r="CV22" s="247">
        <f>+PreDeduzione!CX29</f>
        <v>0</v>
      </c>
      <c r="CW22" s="247">
        <f>+PreDeduzione!CY29</f>
        <v>0</v>
      </c>
      <c r="CX22" s="247">
        <f>+PreDeduzione!CZ29</f>
        <v>0</v>
      </c>
      <c r="CY22" s="247">
        <f>+PreDeduzione!DA29</f>
        <v>0</v>
      </c>
      <c r="CZ22" s="247">
        <f>+PreDeduzione!DB29</f>
        <v>0</v>
      </c>
      <c r="DA22" s="247">
        <f>+PreDeduzione!DC29</f>
        <v>0</v>
      </c>
      <c r="DB22" s="247">
        <f>+PreDeduzione!DD29</f>
        <v>0</v>
      </c>
      <c r="DC22" s="247">
        <f>+PreDeduzione!DE29</f>
        <v>0</v>
      </c>
      <c r="DD22" s="247">
        <f>+PreDeduzione!DF29</f>
        <v>0</v>
      </c>
      <c r="DE22" s="247">
        <f>+PreDeduzione!DG29</f>
        <v>0</v>
      </c>
      <c r="DF22" s="247">
        <f>+PreDeduzione!DH29</f>
        <v>0</v>
      </c>
      <c r="DG22" s="247">
        <f>+PreDeduzione!DI29</f>
        <v>0</v>
      </c>
      <c r="DH22" s="247">
        <f>+PreDeduzione!DJ29</f>
        <v>0</v>
      </c>
      <c r="DI22" s="247">
        <f>+PreDeduzione!DK29</f>
        <v>0</v>
      </c>
      <c r="DJ22" s="247">
        <f>+PreDeduzione!DL29</f>
        <v>0</v>
      </c>
      <c r="DK22" s="247">
        <f>+PreDeduzione!DM29</f>
        <v>0</v>
      </c>
      <c r="DL22" s="247">
        <f>+PreDeduzione!DN29</f>
        <v>0</v>
      </c>
      <c r="DM22" s="247">
        <f>+PreDeduzione!DO29</f>
        <v>0</v>
      </c>
      <c r="DN22" s="247">
        <f>+PreDeduzione!DP29</f>
        <v>0</v>
      </c>
      <c r="DO22" s="247">
        <f>+PreDeduzione!DQ29</f>
        <v>0</v>
      </c>
      <c r="DP22" s="247">
        <f>+PreDeduzione!DR29</f>
        <v>0</v>
      </c>
      <c r="DQ22" s="247">
        <f>+PreDeduzione!DS29</f>
        <v>0</v>
      </c>
      <c r="DR22" s="247">
        <f>+PreDeduzione!DT29</f>
        <v>0</v>
      </c>
      <c r="DS22" s="247">
        <f>+PreDeduzione!DU29</f>
        <v>0</v>
      </c>
      <c r="DT22" s="247">
        <f>+PreDeduzione!DV29</f>
        <v>0</v>
      </c>
      <c r="DU22" s="247">
        <f>+PreDeduzione!DW29</f>
        <v>0</v>
      </c>
      <c r="DV22" s="247">
        <f>+PreDeduzione!DX29</f>
        <v>0</v>
      </c>
      <c r="DW22" s="247">
        <f>+PreDeduzione!DY29</f>
        <v>0</v>
      </c>
      <c r="DX22" s="247">
        <f>+PreDeduzione!DZ29</f>
        <v>0</v>
      </c>
      <c r="DY22" s="247">
        <f>+PreDeduzione!EA29</f>
        <v>0</v>
      </c>
    </row>
    <row r="23" thickBot="1">
      <c r="B23" s="34"/>
      <c r="C23" s="34"/>
      <c r="D23" s="34"/>
      <c r="E23" s="34"/>
      <c r="F23" s="34"/>
      <c r="G23" s="34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  <c r="AA23" s="125"/>
      <c r="AB23" s="125"/>
      <c r="AC23" s="125"/>
      <c r="AD23" s="125"/>
      <c r="AE23" s="125"/>
      <c r="AF23" s="125"/>
      <c r="AG23" s="125" t="s">
        <v>1170</v>
      </c>
      <c r="AH23" s="125"/>
      <c r="AI23" s="125"/>
      <c r="AJ23" s="125"/>
      <c r="AK23" s="125"/>
      <c r="AL23" s="125"/>
      <c r="AM23" s="125"/>
      <c r="AN23" s="125"/>
      <c r="AO23" s="125"/>
      <c r="AP23" s="125"/>
      <c r="AQ23" s="125"/>
      <c r="AR23" s="125"/>
      <c r="AS23" s="125" t="s">
        <v>1171</v>
      </c>
      <c r="AT23" s="125"/>
      <c r="AU23" s="125"/>
      <c r="AV23" s="125"/>
      <c r="AW23" s="125"/>
      <c r="AX23" s="125"/>
      <c r="AY23" s="125"/>
      <c r="AZ23" s="125"/>
      <c r="BA23" s="125"/>
      <c r="BB23" s="125"/>
      <c r="BC23" s="125"/>
      <c r="BD23" s="125"/>
      <c r="BE23" s="125" t="s">
        <v>1172</v>
      </c>
      <c r="BF23" s="125"/>
      <c r="BG23" s="125"/>
      <c r="BH23" s="125"/>
      <c r="BI23" s="125"/>
      <c r="BJ23" s="125"/>
      <c r="BK23" s="125"/>
      <c r="BL23" s="125"/>
      <c r="BM23" s="125"/>
      <c r="BN23" s="125"/>
      <c r="BO23" s="125"/>
      <c r="BP23" s="125"/>
      <c r="BQ23" s="125" t="s">
        <v>1173</v>
      </c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 t="s">
        <v>1174</v>
      </c>
      <c r="CD23" s="125"/>
      <c r="CE23" s="125"/>
      <c r="CF23" s="125"/>
      <c r="CG23" s="125"/>
      <c r="CH23" s="125"/>
      <c r="CI23" s="125"/>
      <c r="CJ23" s="125"/>
      <c r="CK23" s="125"/>
      <c r="CL23" s="125"/>
      <c r="CM23" s="125"/>
      <c r="CN23" s="125"/>
      <c r="CO23" s="125" t="s">
        <v>1175</v>
      </c>
      <c r="CP23" s="125"/>
      <c r="CQ23" s="125"/>
      <c r="CR23" s="125"/>
      <c r="CS23" s="125"/>
      <c r="CT23" s="125"/>
      <c r="CU23" s="125"/>
      <c r="CV23" s="125"/>
      <c r="CW23" s="125"/>
      <c r="CX23" s="125"/>
      <c r="CY23" s="125"/>
      <c r="CZ23" s="125"/>
      <c r="DA23" s="125" t="s">
        <v>1176</v>
      </c>
      <c r="DB23" s="125"/>
      <c r="DC23" s="125"/>
      <c r="DD23" s="125"/>
      <c r="DE23" s="125"/>
      <c r="DF23" s="125"/>
      <c r="DG23" s="125"/>
      <c r="DH23" s="125"/>
      <c r="DI23" s="125"/>
      <c r="DJ23" s="125"/>
      <c r="DK23" s="125"/>
      <c r="DL23" s="125"/>
      <c r="DM23" s="125" t="s">
        <v>1177</v>
      </c>
      <c r="DN23" s="125"/>
      <c r="DO23" s="125"/>
      <c r="DP23" s="125"/>
      <c r="DQ23" s="125"/>
      <c r="DR23" s="125"/>
      <c r="DS23" s="125"/>
      <c r="DT23" s="125"/>
      <c r="DU23" s="125"/>
      <c r="DV23" s="125"/>
      <c r="DW23" s="125"/>
      <c r="DX23" s="125"/>
      <c r="DY23" s="125"/>
    </row>
    <row r="24" thickBot="1">
      <c r="B24" s="256"/>
      <c r="C24" s="34"/>
      <c r="D24" s="34"/>
      <c r="E24" s="34"/>
      <c r="F24" s="18" t="s">
        <v>1178</v>
      </c>
      <c r="G24" s="257">
        <f>+MINA(J24:DY24)</f>
        <v>0</v>
      </c>
      <c r="H24" s="252" t="s">
        <v>1179</v>
      </c>
      <c r="I24" s="146" t="s">
        <v>1180</v>
      </c>
      <c r="J24" s="253">
        <f t="shared" ref="J24:AO24" si="11">+J20-J22</f>
        <v>0</v>
      </c>
      <c r="K24" s="253">
        <f t="shared" si="11"/>
        <v>0</v>
      </c>
      <c r="L24" s="253">
        <f t="shared" si="11"/>
        <v>0</v>
      </c>
      <c r="M24" s="253">
        <f t="shared" si="11"/>
        <v>0</v>
      </c>
      <c r="N24" s="253">
        <f t="shared" si="11"/>
        <v>0</v>
      </c>
      <c r="O24" s="253">
        <f t="shared" si="11"/>
        <v>0</v>
      </c>
      <c r="P24" s="253">
        <f t="shared" si="11"/>
        <v>0</v>
      </c>
      <c r="Q24" s="253">
        <f t="shared" si="11"/>
        <v>0</v>
      </c>
      <c r="R24" s="253">
        <f t="shared" si="11"/>
        <v>0</v>
      </c>
      <c r="S24" s="253">
        <f t="shared" si="11"/>
        <v>0</v>
      </c>
      <c r="T24" s="253">
        <f t="shared" si="11"/>
        <v>0</v>
      </c>
      <c r="U24" s="253">
        <f t="shared" si="11"/>
        <v>0</v>
      </c>
      <c r="V24" s="253">
        <f t="shared" si="11"/>
        <v>0</v>
      </c>
      <c r="W24" s="253">
        <f t="shared" si="11"/>
        <v>0</v>
      </c>
      <c r="X24" s="253">
        <f t="shared" si="11"/>
        <v>0</v>
      </c>
      <c r="Y24" s="253">
        <f t="shared" si="11"/>
        <v>0</v>
      </c>
      <c r="Z24" s="253">
        <f t="shared" si="11"/>
        <v>0</v>
      </c>
      <c r="AA24" s="253">
        <f t="shared" si="11"/>
        <v>0</v>
      </c>
      <c r="AB24" s="253">
        <f t="shared" si="11"/>
        <v>0</v>
      </c>
      <c r="AC24" s="253">
        <f t="shared" si="11"/>
        <v>0</v>
      </c>
      <c r="AD24" s="253">
        <f t="shared" si="11"/>
        <v>0</v>
      </c>
      <c r="AE24" s="253">
        <f t="shared" si="11"/>
        <v>0</v>
      </c>
      <c r="AF24" s="253">
        <f t="shared" si="11"/>
        <v>0</v>
      </c>
      <c r="AG24" s="253">
        <f t="shared" si="11"/>
        <v>0</v>
      </c>
      <c r="AH24" s="253">
        <f t="shared" si="11"/>
        <v>0</v>
      </c>
      <c r="AI24" s="253">
        <f t="shared" si="11"/>
        <v>0</v>
      </c>
      <c r="AJ24" s="253">
        <f t="shared" si="11"/>
        <v>0</v>
      </c>
      <c r="AK24" s="253">
        <f t="shared" si="11"/>
        <v>0</v>
      </c>
      <c r="AL24" s="253">
        <f t="shared" si="11"/>
        <v>0</v>
      </c>
      <c r="AM24" s="253">
        <f t="shared" si="11"/>
        <v>0</v>
      </c>
      <c r="AN24" s="253">
        <f t="shared" si="11"/>
        <v>0</v>
      </c>
      <c r="AO24" s="253">
        <f t="shared" si="11"/>
        <v>0</v>
      </c>
      <c r="AP24" s="253">
        <f t="shared" ref="AP24:BU24" si="12">+AP20-AP22</f>
        <v>0</v>
      </c>
      <c r="AQ24" s="253">
        <f t="shared" si="12"/>
        <v>0</v>
      </c>
      <c r="AR24" s="253">
        <f t="shared" si="12"/>
        <v>0</v>
      </c>
      <c r="AS24" s="253">
        <f t="shared" si="12"/>
        <v>0</v>
      </c>
      <c r="AT24" s="253">
        <f t="shared" si="12"/>
        <v>0</v>
      </c>
      <c r="AU24" s="253">
        <f t="shared" si="12"/>
        <v>0</v>
      </c>
      <c r="AV24" s="253">
        <f t="shared" si="12"/>
        <v>0</v>
      </c>
      <c r="AW24" s="253">
        <f t="shared" si="12"/>
        <v>0</v>
      </c>
      <c r="AX24" s="253">
        <f t="shared" si="12"/>
        <v>0</v>
      </c>
      <c r="AY24" s="253">
        <f t="shared" si="12"/>
        <v>0</v>
      </c>
      <c r="AZ24" s="253">
        <f t="shared" si="12"/>
        <v>0</v>
      </c>
      <c r="BA24" s="253">
        <f t="shared" si="12"/>
        <v>0</v>
      </c>
      <c r="BB24" s="253">
        <f t="shared" si="12"/>
        <v>0</v>
      </c>
      <c r="BC24" s="253">
        <f t="shared" si="12"/>
        <v>0</v>
      </c>
      <c r="BD24" s="253">
        <f t="shared" si="12"/>
        <v>0</v>
      </c>
      <c r="BE24" s="253">
        <f t="shared" si="12"/>
        <v>0</v>
      </c>
      <c r="BF24" s="253">
        <f t="shared" si="12"/>
        <v>0</v>
      </c>
      <c r="BG24" s="253">
        <f t="shared" si="12"/>
        <v>0</v>
      </c>
      <c r="BH24" s="253">
        <f t="shared" si="12"/>
        <v>0</v>
      </c>
      <c r="BI24" s="253">
        <f t="shared" si="12"/>
        <v>0</v>
      </c>
      <c r="BJ24" s="253">
        <f t="shared" si="12"/>
        <v>0</v>
      </c>
      <c r="BK24" s="253">
        <f t="shared" si="12"/>
        <v>0</v>
      </c>
      <c r="BL24" s="253">
        <f t="shared" si="12"/>
        <v>0</v>
      </c>
      <c r="BM24" s="253">
        <f t="shared" si="12"/>
        <v>0</v>
      </c>
      <c r="BN24" s="253">
        <f t="shared" si="12"/>
        <v>0</v>
      </c>
      <c r="BO24" s="253">
        <f t="shared" si="12"/>
        <v>0</v>
      </c>
      <c r="BP24" s="253">
        <f t="shared" si="12"/>
        <v>0</v>
      </c>
      <c r="BQ24" s="253">
        <f t="shared" si="12"/>
        <v>0</v>
      </c>
      <c r="BR24" s="253">
        <f t="shared" si="12"/>
        <v>0</v>
      </c>
      <c r="BS24" s="253">
        <f t="shared" si="12"/>
        <v>0</v>
      </c>
      <c r="BT24" s="253">
        <f t="shared" si="12"/>
        <v>0</v>
      </c>
      <c r="BU24" s="253">
        <f t="shared" si="12"/>
        <v>0</v>
      </c>
      <c r="BV24" s="253">
        <f t="shared" ref="BV24:DA24" si="13">+BV20-BV22</f>
        <v>0</v>
      </c>
      <c r="BW24" s="253">
        <f t="shared" si="13"/>
        <v>0</v>
      </c>
      <c r="BX24" s="253">
        <f t="shared" si="13"/>
        <v>0</v>
      </c>
      <c r="BY24" s="253">
        <f t="shared" si="13"/>
        <v>0</v>
      </c>
      <c r="BZ24" s="253">
        <f t="shared" si="13"/>
        <v>0</v>
      </c>
      <c r="CA24" s="253">
        <f t="shared" si="13"/>
        <v>0</v>
      </c>
      <c r="CB24" s="253">
        <f t="shared" si="13"/>
        <v>0</v>
      </c>
      <c r="CC24" s="253">
        <f t="shared" si="13"/>
        <v>0</v>
      </c>
      <c r="CD24" s="253">
        <f t="shared" si="13"/>
        <v>0</v>
      </c>
      <c r="CE24" s="253">
        <f t="shared" si="13"/>
        <v>0</v>
      </c>
      <c r="CF24" s="253">
        <f t="shared" si="13"/>
        <v>0</v>
      </c>
      <c r="CG24" s="253">
        <f t="shared" si="13"/>
        <v>0</v>
      </c>
      <c r="CH24" s="253">
        <f t="shared" si="13"/>
        <v>0</v>
      </c>
      <c r="CI24" s="253">
        <f t="shared" si="13"/>
        <v>0</v>
      </c>
      <c r="CJ24" s="253">
        <f t="shared" si="13"/>
        <v>0</v>
      </c>
      <c r="CK24" s="253">
        <f t="shared" si="13"/>
        <v>0</v>
      </c>
      <c r="CL24" s="253">
        <f t="shared" si="13"/>
        <v>0</v>
      </c>
      <c r="CM24" s="253">
        <f t="shared" si="13"/>
        <v>0</v>
      </c>
      <c r="CN24" s="253">
        <f t="shared" si="13"/>
        <v>0</v>
      </c>
      <c r="CO24" s="253">
        <f t="shared" si="13"/>
        <v>0</v>
      </c>
      <c r="CP24" s="253">
        <f t="shared" si="13"/>
        <v>0</v>
      </c>
      <c r="CQ24" s="253">
        <f t="shared" si="13"/>
        <v>0</v>
      </c>
      <c r="CR24" s="253">
        <f t="shared" si="13"/>
        <v>0</v>
      </c>
      <c r="CS24" s="253">
        <f t="shared" si="13"/>
        <v>0</v>
      </c>
      <c r="CT24" s="253">
        <f t="shared" si="13"/>
        <v>0</v>
      </c>
      <c r="CU24" s="253">
        <f t="shared" si="13"/>
        <v>0</v>
      </c>
      <c r="CV24" s="253">
        <f t="shared" si="13"/>
        <v>0</v>
      </c>
      <c r="CW24" s="253">
        <f t="shared" si="13"/>
        <v>0</v>
      </c>
      <c r="CX24" s="253">
        <f t="shared" si="13"/>
        <v>0</v>
      </c>
      <c r="CY24" s="253">
        <f t="shared" si="13"/>
        <v>0</v>
      </c>
      <c r="CZ24" s="253">
        <f t="shared" si="13"/>
        <v>0</v>
      </c>
      <c r="DA24" s="253">
        <f t="shared" si="13"/>
        <v>0</v>
      </c>
      <c r="DB24" s="253">
        <f t="shared" ref="DB24:DY24" si="14">+DB20-DB22</f>
        <v>0</v>
      </c>
      <c r="DC24" s="253">
        <f t="shared" si="14"/>
        <v>0</v>
      </c>
      <c r="DD24" s="253">
        <f t="shared" si="14"/>
        <v>0</v>
      </c>
      <c r="DE24" s="253">
        <f t="shared" si="14"/>
        <v>0</v>
      </c>
      <c r="DF24" s="253">
        <f t="shared" si="14"/>
        <v>0</v>
      </c>
      <c r="DG24" s="253">
        <f t="shared" si="14"/>
        <v>0</v>
      </c>
      <c r="DH24" s="253">
        <f t="shared" si="14"/>
        <v>0</v>
      </c>
      <c r="DI24" s="253">
        <f t="shared" si="14"/>
        <v>0</v>
      </c>
      <c r="DJ24" s="253">
        <f t="shared" si="14"/>
        <v>0</v>
      </c>
      <c r="DK24" s="253">
        <f t="shared" si="14"/>
        <v>0</v>
      </c>
      <c r="DL24" s="253">
        <f t="shared" si="14"/>
        <v>0</v>
      </c>
      <c r="DM24" s="253">
        <f t="shared" si="14"/>
        <v>0</v>
      </c>
      <c r="DN24" s="253">
        <f t="shared" si="14"/>
        <v>0</v>
      </c>
      <c r="DO24" s="253">
        <f t="shared" si="14"/>
        <v>0</v>
      </c>
      <c r="DP24" s="253">
        <f t="shared" si="14"/>
        <v>0</v>
      </c>
      <c r="DQ24" s="253">
        <f t="shared" si="14"/>
        <v>0</v>
      </c>
      <c r="DR24" s="253">
        <f t="shared" si="14"/>
        <v>0</v>
      </c>
      <c r="DS24" s="253">
        <f t="shared" si="14"/>
        <v>0</v>
      </c>
      <c r="DT24" s="253">
        <f t="shared" si="14"/>
        <v>0</v>
      </c>
      <c r="DU24" s="253">
        <f t="shared" si="14"/>
        <v>0</v>
      </c>
      <c r="DV24" s="253">
        <f t="shared" si="14"/>
        <v>0</v>
      </c>
      <c r="DW24" s="253">
        <f t="shared" si="14"/>
        <v>0</v>
      </c>
      <c r="DX24" s="253">
        <f t="shared" si="14"/>
        <v>0</v>
      </c>
      <c r="DY24" s="253">
        <f t="shared" si="14"/>
        <v>0</v>
      </c>
    </row>
    <row r="25" thickTop="1" thickBot="1" ht="15.5">
      <c r="B25" s="34"/>
      <c r="C25" s="34"/>
      <c r="D25" s="34"/>
      <c r="E25" s="34"/>
      <c r="F25" s="34"/>
      <c r="G25" s="34"/>
      <c r="O25" s="15" t="s">
        <v>1181</v>
      </c>
    </row>
    <row r="26" thickTop="1" thickBot="1" ht="26.25" customHeight="1">
      <c r="C26" s="144"/>
      <c r="J26" s="258">
        <v>1</v>
      </c>
      <c r="K26" s="258">
        <v>2</v>
      </c>
      <c r="L26" s="258">
        <v>3</v>
      </c>
      <c r="M26" s="258">
        <v>4</v>
      </c>
      <c r="N26" s="258">
        <v>5</v>
      </c>
      <c r="O26" s="259">
        <v>6</v>
      </c>
      <c r="P26" s="258">
        <v>7</v>
      </c>
      <c r="Q26" s="258">
        <v>8</v>
      </c>
      <c r="R26" s="258">
        <v>9</v>
      </c>
      <c r="S26" s="258">
        <v>10</v>
      </c>
      <c r="T26" s="258">
        <v>11</v>
      </c>
      <c r="U26" s="258">
        <v>12</v>
      </c>
      <c r="V26" s="258">
        <v>13</v>
      </c>
      <c r="W26" s="258">
        <v>14</v>
      </c>
      <c r="X26" s="258">
        <v>15</v>
      </c>
      <c r="Y26" s="258">
        <v>16</v>
      </c>
      <c r="Z26" s="258">
        <v>17</v>
      </c>
      <c r="AA26" s="258">
        <v>18</v>
      </c>
      <c r="AB26" s="258">
        <v>19</v>
      </c>
      <c r="AC26" s="258">
        <v>20</v>
      </c>
      <c r="AD26" s="258">
        <v>21</v>
      </c>
      <c r="AE26" s="258">
        <v>22</v>
      </c>
      <c r="AF26" s="258">
        <v>23</v>
      </c>
      <c r="AG26" s="258">
        <v>24</v>
      </c>
      <c r="AH26" s="258">
        <v>25</v>
      </c>
      <c r="AI26" s="258">
        <v>26</v>
      </c>
      <c r="AJ26" s="258">
        <v>27</v>
      </c>
      <c r="AK26" s="258">
        <v>28</v>
      </c>
      <c r="AL26" s="258">
        <v>29</v>
      </c>
      <c r="AM26" s="258">
        <v>30</v>
      </c>
      <c r="AN26" s="258">
        <v>31</v>
      </c>
      <c r="AO26" s="258">
        <v>32</v>
      </c>
      <c r="AP26" s="258">
        <v>33</v>
      </c>
      <c r="AQ26" s="258">
        <v>34</v>
      </c>
      <c r="AR26" s="258">
        <v>35</v>
      </c>
      <c r="AS26" s="258">
        <v>36</v>
      </c>
      <c r="AT26" s="258">
        <v>37</v>
      </c>
      <c r="AU26" s="258">
        <v>38</v>
      </c>
      <c r="AV26" s="258">
        <v>39</v>
      </c>
      <c r="AW26" s="258">
        <v>40</v>
      </c>
      <c r="AX26" s="258">
        <v>41</v>
      </c>
      <c r="AY26" s="258">
        <v>42</v>
      </c>
      <c r="AZ26" s="258">
        <v>43</v>
      </c>
      <c r="BA26" s="258">
        <v>44</v>
      </c>
      <c r="BB26" s="258">
        <v>45</v>
      </c>
      <c r="BC26" s="258">
        <v>46</v>
      </c>
      <c r="BD26" s="258">
        <v>47</v>
      </c>
      <c r="BE26" s="258">
        <v>48</v>
      </c>
      <c r="BF26" s="258">
        <v>49</v>
      </c>
      <c r="BG26" s="258">
        <v>50</v>
      </c>
      <c r="BH26" s="258">
        <v>51</v>
      </c>
      <c r="BI26" s="258">
        <v>52</v>
      </c>
      <c r="BJ26" s="258">
        <v>53</v>
      </c>
      <c r="BK26" s="258">
        <v>54</v>
      </c>
      <c r="BL26" s="258">
        <v>55</v>
      </c>
      <c r="BM26" s="258">
        <v>56</v>
      </c>
      <c r="BN26" s="258">
        <v>57</v>
      </c>
      <c r="BO26" s="258">
        <v>58</v>
      </c>
      <c r="BP26" s="258">
        <v>59</v>
      </c>
      <c r="BQ26" s="258">
        <v>60</v>
      </c>
      <c r="BR26" s="258">
        <v>61</v>
      </c>
      <c r="BS26" s="258">
        <v>62</v>
      </c>
      <c r="BT26" s="258">
        <v>63</v>
      </c>
      <c r="BU26" s="258">
        <v>64</v>
      </c>
      <c r="BV26" s="258">
        <v>65</v>
      </c>
      <c r="BW26" s="258">
        <v>66</v>
      </c>
      <c r="BX26" s="258">
        <v>67</v>
      </c>
      <c r="BY26" s="258">
        <v>68</v>
      </c>
      <c r="BZ26" s="258">
        <v>69</v>
      </c>
      <c r="CA26" s="258">
        <v>70</v>
      </c>
      <c r="CB26" s="258">
        <v>71</v>
      </c>
      <c r="CC26" s="258">
        <v>72</v>
      </c>
      <c r="CD26" s="258">
        <v>73</v>
      </c>
      <c r="CE26" s="258">
        <v>74</v>
      </c>
      <c r="CF26" s="258">
        <v>75</v>
      </c>
      <c r="CG26" s="258">
        <v>76</v>
      </c>
      <c r="CH26" s="258">
        <v>77</v>
      </c>
      <c r="CI26" s="258">
        <v>78</v>
      </c>
      <c r="CJ26" s="258">
        <v>79</v>
      </c>
      <c r="CK26" s="258">
        <v>80</v>
      </c>
      <c r="CL26" s="258">
        <v>81</v>
      </c>
      <c r="CM26" s="258">
        <v>82</v>
      </c>
      <c r="CN26" s="258">
        <v>83</v>
      </c>
      <c r="CO26" s="258">
        <v>84</v>
      </c>
      <c r="CP26" s="258">
        <v>85</v>
      </c>
      <c r="CQ26" s="258">
        <v>86</v>
      </c>
      <c r="CR26" s="258">
        <v>87</v>
      </c>
      <c r="CS26" s="258">
        <v>88</v>
      </c>
      <c r="CT26" s="258">
        <v>89</v>
      </c>
      <c r="CU26" s="258">
        <v>90</v>
      </c>
      <c r="CV26" s="258">
        <v>91</v>
      </c>
      <c r="CW26" s="258">
        <v>92</v>
      </c>
      <c r="CX26" s="258">
        <v>93</v>
      </c>
      <c r="CY26" s="258">
        <v>94</v>
      </c>
      <c r="CZ26" s="258">
        <v>95</v>
      </c>
      <c r="DA26" s="258">
        <v>96</v>
      </c>
      <c r="DB26" s="258">
        <v>97</v>
      </c>
      <c r="DC26" s="258">
        <v>98</v>
      </c>
      <c r="DD26" s="258">
        <v>99</v>
      </c>
      <c r="DE26" s="258">
        <v>100</v>
      </c>
      <c r="DF26" s="258">
        <v>101</v>
      </c>
      <c r="DG26" s="258">
        <v>102</v>
      </c>
      <c r="DH26" s="258">
        <v>103</v>
      </c>
      <c r="DI26" s="258">
        <v>104</v>
      </c>
      <c r="DJ26" s="258">
        <v>105</v>
      </c>
      <c r="DK26" s="258">
        <v>106</v>
      </c>
      <c r="DL26" s="258">
        <v>107</v>
      </c>
      <c r="DM26" s="258">
        <v>108</v>
      </c>
      <c r="DN26" s="258">
        <v>109</v>
      </c>
      <c r="DO26" s="258">
        <v>110</v>
      </c>
      <c r="DP26" s="258">
        <v>111</v>
      </c>
      <c r="DQ26" s="258">
        <v>112</v>
      </c>
      <c r="DR26" s="258">
        <v>113</v>
      </c>
      <c r="DS26" s="258">
        <v>114</v>
      </c>
      <c r="DT26" s="258">
        <v>115</v>
      </c>
      <c r="DU26" s="258">
        <v>116</v>
      </c>
      <c r="DV26" s="258">
        <v>117</v>
      </c>
      <c r="DW26" s="258">
        <v>118</v>
      </c>
      <c r="DX26" s="258">
        <v>119</v>
      </c>
      <c r="DY26" s="258">
        <v>120</v>
      </c>
    </row>
    <row r="27" thickTop="1" ht="22.5" customHeight="1">
      <c r="B27" s="260" t="s">
        <v>1182</v>
      </c>
      <c r="C27" s="260">
        <f>SUM(C29:C38)</f>
        <v>0</v>
      </c>
      <c r="D27" s="261"/>
      <c r="E27" s="260">
        <f>SUM(E29:E38)</f>
        <v>0</v>
      </c>
      <c r="F27" s="15"/>
      <c r="G27" s="260">
        <f>SUM(G29:G38)</f>
        <v>0</v>
      </c>
      <c r="H27" s="260">
        <f>SUM(H29:H38)</f>
        <v>0</v>
      </c>
      <c r="J27" s="12" t="str">
        <f t="shared" ref="J27:AO27" si="15">+J2</f>
        <v>OTT</v>
      </c>
      <c r="K27" s="12" t="str">
        <f t="shared" si="15"/>
        <v>NOV</v>
      </c>
      <c r="L27" s="12" t="str">
        <f t="shared" si="15"/>
        <v>DIC</v>
      </c>
      <c r="M27" s="12" t="str">
        <f t="shared" si="15"/>
        <v>GEN</v>
      </c>
      <c r="N27" s="12" t="str">
        <f t="shared" si="15"/>
        <v>FEB</v>
      </c>
      <c r="O27" s="12" t="str">
        <f t="shared" si="15"/>
        <v>MAR</v>
      </c>
      <c r="P27" s="12" t="str">
        <f t="shared" si="15"/>
        <v>APR</v>
      </c>
      <c r="Q27" s="12" t="str">
        <f t="shared" si="15"/>
        <v>MAG</v>
      </c>
      <c r="R27" s="12" t="str">
        <f t="shared" si="15"/>
        <v>GIU</v>
      </c>
      <c r="S27" s="12" t="str">
        <f t="shared" si="15"/>
        <v>LUG</v>
      </c>
      <c r="T27" s="12" t="str">
        <f t="shared" si="15"/>
        <v>AGO</v>
      </c>
      <c r="U27" s="12" t="str">
        <f t="shared" si="15"/>
        <v>SET</v>
      </c>
      <c r="V27" s="12" t="str">
        <f t="shared" si="15"/>
        <v>OTT</v>
      </c>
      <c r="W27" s="12" t="str">
        <f t="shared" si="15"/>
        <v>NOV</v>
      </c>
      <c r="X27" s="12" t="str">
        <f t="shared" si="15"/>
        <v>DIC</v>
      </c>
      <c r="Y27" s="12" t="str">
        <f t="shared" si="15"/>
        <v>GEN</v>
      </c>
      <c r="Z27" s="12" t="str">
        <f t="shared" si="15"/>
        <v>FEB</v>
      </c>
      <c r="AA27" s="12" t="str">
        <f t="shared" si="15"/>
        <v>MAR</v>
      </c>
      <c r="AB27" s="12" t="str">
        <f t="shared" si="15"/>
        <v>APR</v>
      </c>
      <c r="AC27" s="12" t="str">
        <f t="shared" si="15"/>
        <v>MAG</v>
      </c>
      <c r="AD27" s="12" t="str">
        <f t="shared" si="15"/>
        <v>GIU</v>
      </c>
      <c r="AE27" s="12" t="str">
        <f t="shared" si="15"/>
        <v>LUG</v>
      </c>
      <c r="AF27" s="12" t="str">
        <f t="shared" si="15"/>
        <v>AGO</v>
      </c>
      <c r="AG27" s="12" t="str">
        <f t="shared" si="15"/>
        <v>SET</v>
      </c>
      <c r="AH27" s="12" t="str">
        <f t="shared" si="15"/>
        <v>OTT</v>
      </c>
      <c r="AI27" s="12" t="str">
        <f t="shared" si="15"/>
        <v>NOV</v>
      </c>
      <c r="AJ27" s="12" t="str">
        <f t="shared" si="15"/>
        <v>DIC</v>
      </c>
      <c r="AK27" s="12" t="str">
        <f t="shared" si="15"/>
        <v>GEN</v>
      </c>
      <c r="AL27" s="12" t="str">
        <f t="shared" si="15"/>
        <v>FEB</v>
      </c>
      <c r="AM27" s="12" t="str">
        <f t="shared" si="15"/>
        <v>MAR</v>
      </c>
      <c r="AN27" s="12" t="str">
        <f t="shared" si="15"/>
        <v>APR</v>
      </c>
      <c r="AO27" s="12" t="str">
        <f t="shared" si="15"/>
        <v>MAG</v>
      </c>
      <c r="AP27" s="12" t="str">
        <f t="shared" ref="AP27:BU27" si="16">+AP2</f>
        <v>GIU</v>
      </c>
      <c r="AQ27" s="12" t="str">
        <f t="shared" si="16"/>
        <v>LUG</v>
      </c>
      <c r="AR27" s="12" t="str">
        <f t="shared" si="16"/>
        <v>AGO</v>
      </c>
      <c r="AS27" s="12" t="str">
        <f t="shared" si="16"/>
        <v>SET</v>
      </c>
      <c r="AT27" s="12" t="str">
        <f t="shared" si="16"/>
        <v>OTT</v>
      </c>
      <c r="AU27" s="12" t="str">
        <f t="shared" si="16"/>
        <v>NOV</v>
      </c>
      <c r="AV27" s="12" t="str">
        <f t="shared" si="16"/>
        <v>DIC</v>
      </c>
      <c r="AW27" s="12" t="str">
        <f t="shared" si="16"/>
        <v>GEN</v>
      </c>
      <c r="AX27" s="12" t="str">
        <f t="shared" si="16"/>
        <v>FEB</v>
      </c>
      <c r="AY27" s="12" t="str">
        <f t="shared" si="16"/>
        <v>MAR</v>
      </c>
      <c r="AZ27" s="12" t="str">
        <f t="shared" si="16"/>
        <v>APR</v>
      </c>
      <c r="BA27" s="12" t="str">
        <f t="shared" si="16"/>
        <v>MAG</v>
      </c>
      <c r="BB27" s="12" t="str">
        <f t="shared" si="16"/>
        <v>GIU</v>
      </c>
      <c r="BC27" s="12" t="str">
        <f t="shared" si="16"/>
        <v>LUG</v>
      </c>
      <c r="BD27" s="12" t="str">
        <f t="shared" si="16"/>
        <v>AGO</v>
      </c>
      <c r="BE27" s="12" t="str">
        <f t="shared" si="16"/>
        <v>SET</v>
      </c>
      <c r="BF27" s="12" t="str">
        <f t="shared" si="16"/>
        <v>OTT</v>
      </c>
      <c r="BG27" s="12" t="str">
        <f t="shared" si="16"/>
        <v>NOV</v>
      </c>
      <c r="BH27" s="12" t="str">
        <f t="shared" si="16"/>
        <v>DIC</v>
      </c>
      <c r="BI27" s="12" t="str">
        <f t="shared" si="16"/>
        <v>GEN</v>
      </c>
      <c r="BJ27" s="12" t="str">
        <f t="shared" si="16"/>
        <v>FEB</v>
      </c>
      <c r="BK27" s="12" t="str">
        <f t="shared" si="16"/>
        <v>MAR</v>
      </c>
      <c r="BL27" s="12" t="str">
        <f t="shared" si="16"/>
        <v>APR</v>
      </c>
      <c r="BM27" s="12" t="str">
        <f t="shared" si="16"/>
        <v>MAG</v>
      </c>
      <c r="BN27" s="12" t="str">
        <f t="shared" si="16"/>
        <v>GIU</v>
      </c>
      <c r="BO27" s="12" t="str">
        <f t="shared" si="16"/>
        <v>LUG</v>
      </c>
      <c r="BP27" s="12" t="str">
        <f t="shared" si="16"/>
        <v>AGO</v>
      </c>
      <c r="BQ27" s="12" t="str">
        <f t="shared" si="16"/>
        <v>SET</v>
      </c>
      <c r="BR27" s="12" t="str">
        <f t="shared" si="16"/>
        <v>OTT</v>
      </c>
      <c r="BS27" s="12" t="str">
        <f t="shared" si="16"/>
        <v>NOV</v>
      </c>
      <c r="BT27" s="12" t="str">
        <f t="shared" si="16"/>
        <v>DIC</v>
      </c>
      <c r="BU27" s="12" t="str">
        <f t="shared" si="16"/>
        <v>GEN</v>
      </c>
      <c r="BV27" s="12" t="str">
        <f t="shared" ref="BV27:DA27" si="17">+BV2</f>
        <v>FEB</v>
      </c>
      <c r="BW27" s="12" t="str">
        <f t="shared" si="17"/>
        <v>MAR</v>
      </c>
      <c r="BX27" s="12" t="str">
        <f t="shared" si="17"/>
        <v>APR</v>
      </c>
      <c r="BY27" s="12" t="str">
        <f t="shared" si="17"/>
        <v>MAG</v>
      </c>
      <c r="BZ27" s="12" t="str">
        <f t="shared" si="17"/>
        <v>GIU</v>
      </c>
      <c r="CA27" s="12" t="str">
        <f t="shared" si="17"/>
        <v>LUG</v>
      </c>
      <c r="CB27" s="12" t="str">
        <f t="shared" si="17"/>
        <v>AGO</v>
      </c>
      <c r="CC27" s="12" t="str">
        <f t="shared" si="17"/>
        <v>SET</v>
      </c>
      <c r="CD27" s="12" t="str">
        <f t="shared" si="17"/>
        <v>OTT</v>
      </c>
      <c r="CE27" s="12" t="str">
        <f t="shared" si="17"/>
        <v>NOV</v>
      </c>
      <c r="CF27" s="12" t="str">
        <f t="shared" si="17"/>
        <v>DIC</v>
      </c>
      <c r="CG27" s="12" t="str">
        <f t="shared" si="17"/>
        <v>GEN</v>
      </c>
      <c r="CH27" s="12" t="str">
        <f t="shared" si="17"/>
        <v>FEB</v>
      </c>
      <c r="CI27" s="12" t="str">
        <f t="shared" si="17"/>
        <v>MAR</v>
      </c>
      <c r="CJ27" s="12" t="str">
        <f t="shared" si="17"/>
        <v>APR</v>
      </c>
      <c r="CK27" s="12" t="str">
        <f t="shared" si="17"/>
        <v>MAG</v>
      </c>
      <c r="CL27" s="12" t="str">
        <f t="shared" si="17"/>
        <v>GIU</v>
      </c>
      <c r="CM27" s="12" t="str">
        <f t="shared" si="17"/>
        <v>LUG</v>
      </c>
      <c r="CN27" s="12" t="str">
        <f t="shared" si="17"/>
        <v>AGO</v>
      </c>
      <c r="CO27" s="12" t="str">
        <f t="shared" si="17"/>
        <v>SET</v>
      </c>
      <c r="CP27" s="12" t="str">
        <f t="shared" si="17"/>
        <v>OTT</v>
      </c>
      <c r="CQ27" s="12" t="str">
        <f t="shared" si="17"/>
        <v>NOV</v>
      </c>
      <c r="CR27" s="12" t="str">
        <f t="shared" si="17"/>
        <v>DIC</v>
      </c>
      <c r="CS27" s="12" t="str">
        <f t="shared" si="17"/>
        <v>GEN</v>
      </c>
      <c r="CT27" s="12" t="str">
        <f t="shared" si="17"/>
        <v>FEB</v>
      </c>
      <c r="CU27" s="12" t="str">
        <f t="shared" si="17"/>
        <v>MAR</v>
      </c>
      <c r="CV27" s="12" t="str">
        <f t="shared" si="17"/>
        <v>APR</v>
      </c>
      <c r="CW27" s="12" t="str">
        <f t="shared" si="17"/>
        <v>MAG</v>
      </c>
      <c r="CX27" s="12" t="str">
        <f t="shared" si="17"/>
        <v>GIU</v>
      </c>
      <c r="CY27" s="12" t="str">
        <f t="shared" si="17"/>
        <v>LUG</v>
      </c>
      <c r="CZ27" s="12" t="str">
        <f t="shared" si="17"/>
        <v>AGO</v>
      </c>
      <c r="DA27" s="12" t="str">
        <f t="shared" si="17"/>
        <v>SET</v>
      </c>
      <c r="DB27" s="12" t="str">
        <f t="shared" ref="DB27:DY27" si="18">+DB2</f>
        <v>OTT</v>
      </c>
      <c r="DC27" s="12" t="str">
        <f t="shared" si="18"/>
        <v>NOV</v>
      </c>
      <c r="DD27" s="12" t="str">
        <f t="shared" si="18"/>
        <v>DIC</v>
      </c>
      <c r="DE27" s="12" t="str">
        <f t="shared" si="18"/>
        <v>GEN</v>
      </c>
      <c r="DF27" s="12" t="str">
        <f t="shared" si="18"/>
        <v>FEB</v>
      </c>
      <c r="DG27" s="12" t="str">
        <f t="shared" si="18"/>
        <v>MAR</v>
      </c>
      <c r="DH27" s="12" t="str">
        <f t="shared" si="18"/>
        <v>APR</v>
      </c>
      <c r="DI27" s="12" t="str">
        <f t="shared" si="18"/>
        <v>MAG</v>
      </c>
      <c r="DJ27" s="12" t="str">
        <f t="shared" si="18"/>
        <v>GIU</v>
      </c>
      <c r="DK27" s="12" t="str">
        <f t="shared" si="18"/>
        <v>LUG</v>
      </c>
      <c r="DL27" s="12" t="str">
        <f t="shared" si="18"/>
        <v>AGO</v>
      </c>
      <c r="DM27" s="12" t="str">
        <f t="shared" si="18"/>
        <v>SET</v>
      </c>
      <c r="DN27" s="12" t="str">
        <f t="shared" si="18"/>
        <v>OTT</v>
      </c>
      <c r="DO27" s="12" t="str">
        <f t="shared" si="18"/>
        <v>NOV</v>
      </c>
      <c r="DP27" s="12" t="str">
        <f t="shared" si="18"/>
        <v>DIC</v>
      </c>
      <c r="DQ27" s="12" t="str">
        <f t="shared" si="18"/>
        <v>GEN</v>
      </c>
      <c r="DR27" s="12" t="str">
        <f t="shared" si="18"/>
        <v>FEB</v>
      </c>
      <c r="DS27" s="12" t="str">
        <f t="shared" si="18"/>
        <v>MAR</v>
      </c>
      <c r="DT27" s="12" t="str">
        <f t="shared" si="18"/>
        <v>APR</v>
      </c>
      <c r="DU27" s="12" t="str">
        <f t="shared" si="18"/>
        <v>MAG</v>
      </c>
      <c r="DV27" s="12" t="str">
        <f t="shared" si="18"/>
        <v>GIU</v>
      </c>
      <c r="DW27" s="12" t="str">
        <f t="shared" si="18"/>
        <v>LUG</v>
      </c>
      <c r="DX27" s="12" t="str">
        <f t="shared" si="18"/>
        <v>AGO</v>
      </c>
      <c r="DY27" s="12" t="str">
        <f t="shared" si="18"/>
        <v>SET</v>
      </c>
    </row>
    <row r="28" ht="14.5">
      <c r="B28" s="262" t="s">
        <v>1183</v>
      </c>
      <c r="C28" s="263" t="s">
        <v>849</v>
      </c>
      <c r="D28" s="263" t="s">
        <v>1184</v>
      </c>
      <c r="E28" s="263" t="s">
        <v>896</v>
      </c>
      <c r="F28" s="262" t="s">
        <v>1185</v>
      </c>
      <c r="G28" s="262" t="s">
        <v>1186</v>
      </c>
      <c r="H28" s="262" t="s">
        <v>768</v>
      </c>
      <c r="I28" s="263" t="s">
        <v>955</v>
      </c>
      <c r="J28" s="127">
        <f t="shared" ref="J28:AO28" si="19">+J3</f>
        <v>2025</v>
      </c>
      <c r="K28" s="127">
        <f t="shared" si="19"/>
        <v>2025</v>
      </c>
      <c r="L28" s="127">
        <f t="shared" si="19"/>
        <v>2025</v>
      </c>
      <c r="M28" s="127">
        <f t="shared" si="19"/>
        <v>2026</v>
      </c>
      <c r="N28" s="127">
        <f t="shared" si="19"/>
        <v>2026</v>
      </c>
      <c r="O28" s="127">
        <f t="shared" si="19"/>
        <v>2026</v>
      </c>
      <c r="P28" s="127">
        <f t="shared" si="19"/>
        <v>2026</v>
      </c>
      <c r="Q28" s="127">
        <f t="shared" si="19"/>
        <v>2026</v>
      </c>
      <c r="R28" s="127">
        <f t="shared" si="19"/>
        <v>2026</v>
      </c>
      <c r="S28" s="127">
        <f t="shared" si="19"/>
        <v>2026</v>
      </c>
      <c r="T28" s="127">
        <f t="shared" si="19"/>
        <v>2026</v>
      </c>
      <c r="U28" s="127">
        <f t="shared" si="19"/>
        <v>2026</v>
      </c>
      <c r="V28" s="127">
        <f t="shared" si="19"/>
        <v>2026</v>
      </c>
      <c r="W28" s="127">
        <f t="shared" si="19"/>
        <v>2026</v>
      </c>
      <c r="X28" s="127">
        <f t="shared" si="19"/>
        <v>2026</v>
      </c>
      <c r="Y28" s="127">
        <f t="shared" si="19"/>
        <v>2027</v>
      </c>
      <c r="Z28" s="127">
        <f t="shared" si="19"/>
        <v>2027</v>
      </c>
      <c r="AA28" s="127">
        <f t="shared" si="19"/>
        <v>2027</v>
      </c>
      <c r="AB28" s="127">
        <f t="shared" si="19"/>
        <v>2027</v>
      </c>
      <c r="AC28" s="127">
        <f t="shared" si="19"/>
        <v>2027</v>
      </c>
      <c r="AD28" s="127">
        <f t="shared" si="19"/>
        <v>2027</v>
      </c>
      <c r="AE28" s="127">
        <f t="shared" si="19"/>
        <v>2027</v>
      </c>
      <c r="AF28" s="127">
        <f t="shared" si="19"/>
        <v>2027</v>
      </c>
      <c r="AG28" s="127">
        <f t="shared" si="19"/>
        <v>2027</v>
      </c>
      <c r="AH28" s="127">
        <f t="shared" si="19"/>
        <v>2027</v>
      </c>
      <c r="AI28" s="127">
        <f t="shared" si="19"/>
        <v>2027</v>
      </c>
      <c r="AJ28" s="127">
        <f t="shared" si="19"/>
        <v>2027</v>
      </c>
      <c r="AK28" s="127">
        <f t="shared" si="19"/>
        <v>2028</v>
      </c>
      <c r="AL28" s="127">
        <f t="shared" si="19"/>
        <v>2028</v>
      </c>
      <c r="AM28" s="127">
        <f t="shared" si="19"/>
        <v>2028</v>
      </c>
      <c r="AN28" s="127">
        <f t="shared" si="19"/>
        <v>2028</v>
      </c>
      <c r="AO28" s="127">
        <f t="shared" si="19"/>
        <v>2028</v>
      </c>
      <c r="AP28" s="127">
        <f t="shared" ref="AP28:BU28" si="20">+AP3</f>
        <v>2028</v>
      </c>
      <c r="AQ28" s="127">
        <f t="shared" si="20"/>
        <v>2028</v>
      </c>
      <c r="AR28" s="127">
        <f t="shared" si="20"/>
        <v>2028</v>
      </c>
      <c r="AS28" s="127">
        <f t="shared" si="20"/>
        <v>2028</v>
      </c>
      <c r="AT28" s="127">
        <f t="shared" si="20"/>
        <v>2028</v>
      </c>
      <c r="AU28" s="127">
        <f t="shared" si="20"/>
        <v>2028</v>
      </c>
      <c r="AV28" s="127">
        <f t="shared" si="20"/>
        <v>2028</v>
      </c>
      <c r="AW28" s="127">
        <f t="shared" si="20"/>
        <v>2029</v>
      </c>
      <c r="AX28" s="127">
        <f t="shared" si="20"/>
        <v>2029</v>
      </c>
      <c r="AY28" s="127">
        <f t="shared" si="20"/>
        <v>2029</v>
      </c>
      <c r="AZ28" s="127">
        <f t="shared" si="20"/>
        <v>2029</v>
      </c>
      <c r="BA28" s="127">
        <f t="shared" si="20"/>
        <v>2029</v>
      </c>
      <c r="BB28" s="127">
        <f t="shared" si="20"/>
        <v>2029</v>
      </c>
      <c r="BC28" s="127">
        <f t="shared" si="20"/>
        <v>2029</v>
      </c>
      <c r="BD28" s="127">
        <f t="shared" si="20"/>
        <v>2029</v>
      </c>
      <c r="BE28" s="127">
        <f t="shared" si="20"/>
        <v>2029</v>
      </c>
      <c r="BF28" s="127">
        <f t="shared" si="20"/>
        <v>2029</v>
      </c>
      <c r="BG28" s="127">
        <f t="shared" si="20"/>
        <v>2029</v>
      </c>
      <c r="BH28" s="127">
        <f t="shared" si="20"/>
        <v>2029</v>
      </c>
      <c r="BI28" s="127">
        <f t="shared" si="20"/>
        <v>2030</v>
      </c>
      <c r="BJ28" s="127">
        <f t="shared" si="20"/>
        <v>2030</v>
      </c>
      <c r="BK28" s="127">
        <f t="shared" si="20"/>
        <v>2030</v>
      </c>
      <c r="BL28" s="127">
        <f t="shared" si="20"/>
        <v>2030</v>
      </c>
      <c r="BM28" s="127">
        <f t="shared" si="20"/>
        <v>2030</v>
      </c>
      <c r="BN28" s="127">
        <f t="shared" si="20"/>
        <v>2030</v>
      </c>
      <c r="BO28" s="127">
        <f t="shared" si="20"/>
        <v>2030</v>
      </c>
      <c r="BP28" s="127">
        <f t="shared" si="20"/>
        <v>2030</v>
      </c>
      <c r="BQ28" s="127">
        <f t="shared" si="20"/>
        <v>2030</v>
      </c>
      <c r="BR28" s="127">
        <f t="shared" si="20"/>
        <v>2030</v>
      </c>
      <c r="BS28" s="127">
        <f t="shared" si="20"/>
        <v>2030</v>
      </c>
      <c r="BT28" s="127">
        <f t="shared" si="20"/>
        <v>2030</v>
      </c>
      <c r="BU28" s="127">
        <f t="shared" si="20"/>
        <v>2031</v>
      </c>
      <c r="BV28" s="127">
        <f t="shared" ref="BV28:DA28" si="21">+BV3</f>
        <v>2031</v>
      </c>
      <c r="BW28" s="127">
        <f t="shared" si="21"/>
        <v>2031</v>
      </c>
      <c r="BX28" s="127">
        <f t="shared" si="21"/>
        <v>2031</v>
      </c>
      <c r="BY28" s="127">
        <f t="shared" si="21"/>
        <v>2031</v>
      </c>
      <c r="BZ28" s="127">
        <f t="shared" si="21"/>
        <v>2031</v>
      </c>
      <c r="CA28" s="127">
        <f t="shared" si="21"/>
        <v>2031</v>
      </c>
      <c r="CB28" s="127">
        <f t="shared" si="21"/>
        <v>2031</v>
      </c>
      <c r="CC28" s="127">
        <f t="shared" si="21"/>
        <v>2031</v>
      </c>
      <c r="CD28" s="127">
        <f t="shared" si="21"/>
        <v>2031</v>
      </c>
      <c r="CE28" s="127">
        <f t="shared" si="21"/>
        <v>2031</v>
      </c>
      <c r="CF28" s="127">
        <f t="shared" si="21"/>
        <v>2031</v>
      </c>
      <c r="CG28" s="127">
        <f t="shared" si="21"/>
        <v>2032</v>
      </c>
      <c r="CH28" s="127">
        <f t="shared" si="21"/>
        <v>2032</v>
      </c>
      <c r="CI28" s="127">
        <f t="shared" si="21"/>
        <v>2032</v>
      </c>
      <c r="CJ28" s="127">
        <f t="shared" si="21"/>
        <v>2032</v>
      </c>
      <c r="CK28" s="127">
        <f t="shared" si="21"/>
        <v>2032</v>
      </c>
      <c r="CL28" s="127">
        <f t="shared" si="21"/>
        <v>2032</v>
      </c>
      <c r="CM28" s="127">
        <f t="shared" si="21"/>
        <v>2032</v>
      </c>
      <c r="CN28" s="127">
        <f t="shared" si="21"/>
        <v>2032</v>
      </c>
      <c r="CO28" s="127">
        <f t="shared" si="21"/>
        <v>2032</v>
      </c>
      <c r="CP28" s="127">
        <f t="shared" si="21"/>
        <v>2032</v>
      </c>
      <c r="CQ28" s="127">
        <f t="shared" si="21"/>
        <v>2032</v>
      </c>
      <c r="CR28" s="127">
        <f t="shared" si="21"/>
        <v>2032</v>
      </c>
      <c r="CS28" s="127">
        <f t="shared" si="21"/>
        <v>2033</v>
      </c>
      <c r="CT28" s="127">
        <f t="shared" si="21"/>
        <v>2033</v>
      </c>
      <c r="CU28" s="127">
        <f t="shared" si="21"/>
        <v>2033</v>
      </c>
      <c r="CV28" s="127">
        <f t="shared" si="21"/>
        <v>2033</v>
      </c>
      <c r="CW28" s="127">
        <f t="shared" si="21"/>
        <v>2033</v>
      </c>
      <c r="CX28" s="127">
        <f t="shared" si="21"/>
        <v>2033</v>
      </c>
      <c r="CY28" s="127">
        <f t="shared" si="21"/>
        <v>2033</v>
      </c>
      <c r="CZ28" s="127">
        <f t="shared" si="21"/>
        <v>2033</v>
      </c>
      <c r="DA28" s="127">
        <f t="shared" si="21"/>
        <v>2033</v>
      </c>
      <c r="DB28" s="127">
        <f t="shared" ref="DB28:DY28" si="22">+DB3</f>
        <v>2033</v>
      </c>
      <c r="DC28" s="127">
        <f t="shared" si="22"/>
        <v>2033</v>
      </c>
      <c r="DD28" s="127">
        <f t="shared" si="22"/>
        <v>2033</v>
      </c>
      <c r="DE28" s="127">
        <f t="shared" si="22"/>
        <v>2034</v>
      </c>
      <c r="DF28" s="127">
        <f t="shared" si="22"/>
        <v>2034</v>
      </c>
      <c r="DG28" s="127">
        <f t="shared" si="22"/>
        <v>2034</v>
      </c>
      <c r="DH28" s="127">
        <f t="shared" si="22"/>
        <v>2034</v>
      </c>
      <c r="DI28" s="127">
        <f t="shared" si="22"/>
        <v>2034</v>
      </c>
      <c r="DJ28" s="127">
        <f t="shared" si="22"/>
        <v>2034</v>
      </c>
      <c r="DK28" s="127">
        <f t="shared" si="22"/>
        <v>2034</v>
      </c>
      <c r="DL28" s="127">
        <f t="shared" si="22"/>
        <v>2034</v>
      </c>
      <c r="DM28" s="127">
        <f t="shared" si="22"/>
        <v>2034</v>
      </c>
      <c r="DN28" s="127">
        <f t="shared" si="22"/>
        <v>2034</v>
      </c>
      <c r="DO28" s="127">
        <f t="shared" si="22"/>
        <v>2034</v>
      </c>
      <c r="DP28" s="127">
        <f t="shared" si="22"/>
        <v>2034</v>
      </c>
      <c r="DQ28" s="127">
        <f t="shared" si="22"/>
        <v>2035</v>
      </c>
      <c r="DR28" s="127">
        <f t="shared" si="22"/>
        <v>2035</v>
      </c>
      <c r="DS28" s="127">
        <f t="shared" si="22"/>
        <v>2035</v>
      </c>
      <c r="DT28" s="127">
        <f t="shared" si="22"/>
        <v>2035</v>
      </c>
      <c r="DU28" s="127">
        <f t="shared" si="22"/>
        <v>2035</v>
      </c>
      <c r="DV28" s="127">
        <f t="shared" si="22"/>
        <v>2035</v>
      </c>
      <c r="DW28" s="127">
        <f t="shared" si="22"/>
        <v>2035</v>
      </c>
      <c r="DX28" s="127">
        <f t="shared" si="22"/>
        <v>2035</v>
      </c>
      <c r="DY28" s="127">
        <f t="shared" si="22"/>
        <v>2035</v>
      </c>
      <c r="DZ28" s="264"/>
    </row>
    <row r="29" s="6" customFormat="1" ht="14.5">
      <c r="A29"/>
      <c r="B29" s="103" t="str">
        <f>+Passivo_Tipologie!E5</f>
        <v>0_1_Non Aderente Scaduto _ XXX</v>
      </c>
      <c r="C29" s="109">
        <f>+SUMIF(Passivo!K:K,B29,Passivo!J:J)</f>
        <v>0</v>
      </c>
      <c r="D29" s="104"/>
      <c r="E29" s="109">
        <f>+C29+D29</f>
        <v>0</v>
      </c>
      <c r="F29" s="136">
        <v>1</v>
      </c>
      <c r="G29" s="109">
        <f t="shared" ref="G29" si="23">+C29*(1-F29)</f>
        <v>0</v>
      </c>
      <c r="H29" s="109">
        <f>+E29-G29</f>
        <v>0</v>
      </c>
      <c r="I29" s="265">
        <f t="shared" ref="I29:I56" si="24">+H29-SUM(J29:DY29)</f>
        <v>0</v>
      </c>
      <c r="J29" s="266"/>
      <c r="K29" s="266"/>
      <c r="L29" s="266"/>
      <c r="M29" s="266"/>
      <c r="N29" s="266"/>
      <c r="O29" s="266"/>
      <c r="P29" s="266"/>
      <c r="Q29" s="266"/>
      <c r="R29" s="266"/>
      <c r="S29" s="267">
        <f>H29</f>
        <v>0</v>
      </c>
      <c r="T29" s="266"/>
      <c r="U29" s="266"/>
      <c r="V29" s="266"/>
      <c r="W29" s="266"/>
      <c r="X29" s="266"/>
      <c r="Y29" s="266"/>
      <c r="Z29" s="266"/>
      <c r="AA29" s="266"/>
      <c r="AB29" s="266"/>
      <c r="AC29" s="266"/>
      <c r="AD29" s="266"/>
      <c r="AE29" s="266"/>
      <c r="AF29" s="266"/>
      <c r="AG29" s="266"/>
      <c r="AH29" s="266"/>
      <c r="AI29" s="266"/>
      <c r="AJ29" s="266"/>
      <c r="AK29" s="266"/>
      <c r="AL29" s="266"/>
      <c r="AM29" s="266"/>
      <c r="AN29" s="266"/>
      <c r="AO29" s="266"/>
      <c r="AP29" s="266"/>
      <c r="AQ29" s="266"/>
      <c r="AR29" s="266"/>
      <c r="AS29" s="266"/>
      <c r="AT29" s="266"/>
      <c r="AU29" s="266"/>
      <c r="AV29" s="266"/>
      <c r="AW29" s="266"/>
      <c r="AX29" s="266"/>
      <c r="AY29" s="266"/>
      <c r="AZ29" s="266"/>
      <c r="BA29" s="266"/>
      <c r="BB29" s="266"/>
      <c r="BC29" s="266"/>
      <c r="BD29" s="266"/>
      <c r="BE29" s="266"/>
      <c r="BF29" s="266"/>
      <c r="BG29" s="266"/>
      <c r="BH29" s="266"/>
      <c r="BI29" s="266"/>
      <c r="BJ29" s="266"/>
      <c r="BK29" s="266"/>
      <c r="BL29" s="266"/>
      <c r="BM29" s="266"/>
      <c r="BN29" s="266"/>
      <c r="BO29" s="266"/>
      <c r="BP29" s="266"/>
      <c r="BQ29" s="266"/>
      <c r="BR29" s="266"/>
      <c r="BS29" s="266"/>
      <c r="BT29" s="266"/>
      <c r="BU29" s="266"/>
      <c r="BV29" s="266"/>
      <c r="BW29" s="266"/>
      <c r="BX29" s="266"/>
      <c r="BY29" s="266"/>
      <c r="BZ29" s="266"/>
      <c r="CA29" s="266"/>
      <c r="CB29" s="266"/>
      <c r="CC29" s="266"/>
      <c r="CD29" s="266"/>
      <c r="CE29" s="266"/>
      <c r="CF29" s="266"/>
      <c r="CG29" s="266"/>
      <c r="CH29" s="266"/>
      <c r="CI29" s="266"/>
      <c r="CJ29" s="266"/>
      <c r="CK29" s="266"/>
      <c r="CL29" s="266"/>
      <c r="CM29" s="266"/>
      <c r="CN29" s="266"/>
      <c r="CO29" s="266"/>
      <c r="CP29" s="266"/>
      <c r="CQ29" s="266"/>
      <c r="CR29" s="266"/>
      <c r="CS29" s="266"/>
      <c r="CT29" s="266"/>
      <c r="CU29" s="266"/>
      <c r="CV29" s="266"/>
      <c r="CW29" s="266"/>
      <c r="CX29" s="266"/>
      <c r="CY29" s="266"/>
      <c r="CZ29" s="266"/>
      <c r="DA29" s="266"/>
      <c r="DB29" s="266"/>
      <c r="DC29" s="266"/>
      <c r="DD29" s="266"/>
      <c r="DE29" s="266"/>
      <c r="DF29" s="266"/>
      <c r="DG29" s="266"/>
      <c r="DH29" s="266"/>
      <c r="DI29" s="266"/>
      <c r="DJ29" s="266"/>
      <c r="DK29" s="266"/>
      <c r="DL29" s="266"/>
      <c r="DM29" s="266"/>
      <c r="DN29" s="266"/>
      <c r="DO29" s="266"/>
      <c r="DP29" s="266"/>
      <c r="DQ29" s="266"/>
      <c r="DR29" s="266"/>
      <c r="DS29" s="266"/>
      <c r="DT29" s="266"/>
      <c r="DU29" s="266"/>
      <c r="DV29" s="266"/>
      <c r="DW29" s="266"/>
      <c r="DX29" s="266"/>
      <c r="DY29" s="266"/>
    </row>
    <row r="30" s="6" customFormat="1" ht="14.5">
      <c r="A30"/>
      <c r="B30" s="103" t="str">
        <f>+Passivo_Tipologie!E6</f>
        <v>0_2_Non Aderente Scaduto _ YYY</v>
      </c>
      <c r="C30" s="109">
        <f>+SUMIF(Passivo!K:K,B30,Passivo!J:J)</f>
        <v>0</v>
      </c>
      <c r="D30" s="104"/>
      <c r="E30" s="109">
        <f t="shared" ref="E30:E38" si="25">+C30+D30</f>
        <v>0</v>
      </c>
      <c r="F30" s="136">
        <v>1</v>
      </c>
      <c r="G30" s="109">
        <f t="shared" ref="G30:G56" si="26">+C30*(1-F30)</f>
        <v>0</v>
      </c>
      <c r="H30" s="109">
        <f t="shared" ref="H30:H56" si="27">+E30-G30</f>
        <v>0</v>
      </c>
      <c r="I30" s="268">
        <f t="shared" si="24"/>
        <v>0</v>
      </c>
      <c r="J30" s="266"/>
      <c r="K30" s="266"/>
      <c r="L30" s="266"/>
      <c r="M30" s="266"/>
      <c r="N30" s="266"/>
      <c r="O30" s="266"/>
      <c r="P30" s="266"/>
      <c r="Q30" s="266"/>
      <c r="R30" s="266"/>
      <c r="S30" s="267">
        <f t="shared" ref="S30:S31" si="28">H30</f>
        <v>0</v>
      </c>
      <c r="T30" s="266"/>
      <c r="U30" s="266"/>
      <c r="V30" s="266"/>
      <c r="W30" s="266"/>
      <c r="X30" s="266"/>
      <c r="Y30" s="266"/>
      <c r="Z30" s="266"/>
      <c r="AA30" s="266"/>
      <c r="AB30" s="266"/>
      <c r="AC30" s="266"/>
      <c r="AD30" s="266"/>
      <c r="AE30" s="266"/>
      <c r="AF30" s="266"/>
      <c r="AG30" s="266"/>
      <c r="AH30" s="266"/>
      <c r="AI30" s="266"/>
      <c r="AJ30" s="266"/>
      <c r="AK30" s="266"/>
      <c r="AL30" s="266"/>
      <c r="AM30" s="266"/>
      <c r="AN30" s="266"/>
      <c r="AO30" s="266"/>
      <c r="AP30" s="266"/>
      <c r="AQ30" s="266"/>
      <c r="AR30" s="266"/>
      <c r="AS30" s="266"/>
      <c r="AT30" s="266"/>
      <c r="AU30" s="266"/>
      <c r="AV30" s="266"/>
      <c r="AW30" s="266"/>
      <c r="AX30" s="266"/>
      <c r="AY30" s="266"/>
      <c r="AZ30" s="266"/>
      <c r="BA30" s="266"/>
      <c r="BB30" s="266"/>
      <c r="BC30" s="266"/>
      <c r="BD30" s="266"/>
      <c r="BE30" s="266"/>
      <c r="BF30" s="266"/>
      <c r="BG30" s="266"/>
      <c r="BH30" s="266"/>
      <c r="BI30" s="266"/>
      <c r="BJ30" s="266"/>
      <c r="BK30" s="266"/>
      <c r="BL30" s="266"/>
      <c r="BM30" s="266"/>
      <c r="BN30" s="266"/>
      <c r="BO30" s="266"/>
      <c r="BP30" s="266"/>
      <c r="BQ30" s="266"/>
      <c r="BR30" s="266"/>
      <c r="BS30" s="266"/>
      <c r="BT30" s="266"/>
      <c r="BU30" s="266"/>
      <c r="BV30" s="266"/>
      <c r="BW30" s="266"/>
      <c r="BX30" s="266"/>
      <c r="BY30" s="266"/>
      <c r="BZ30" s="266"/>
      <c r="CA30" s="266"/>
      <c r="CB30" s="266"/>
      <c r="CC30" s="266"/>
      <c r="CD30" s="266"/>
      <c r="CE30" s="266"/>
      <c r="CF30" s="266"/>
      <c r="CG30" s="266"/>
      <c r="CH30" s="266"/>
      <c r="CI30" s="266"/>
      <c r="CJ30" s="266"/>
      <c r="CK30" s="266"/>
      <c r="CL30" s="266"/>
      <c r="CM30" s="266"/>
      <c r="CN30" s="266"/>
      <c r="CO30" s="266"/>
      <c r="CP30" s="266"/>
      <c r="CQ30" s="266"/>
      <c r="CR30" s="266"/>
      <c r="CS30" s="266"/>
      <c r="CT30" s="266"/>
      <c r="CU30" s="266"/>
      <c r="CV30" s="266"/>
      <c r="CW30" s="266"/>
      <c r="CX30" s="266"/>
      <c r="CY30" s="266"/>
      <c r="CZ30" s="266"/>
      <c r="DA30" s="266"/>
      <c r="DB30" s="266"/>
      <c r="DC30" s="266"/>
      <c r="DD30" s="266"/>
      <c r="DE30" s="266"/>
      <c r="DF30" s="266"/>
      <c r="DG30" s="266"/>
      <c r="DH30" s="266"/>
      <c r="DI30" s="266"/>
      <c r="DJ30" s="266"/>
      <c r="DK30" s="266"/>
      <c r="DL30" s="266"/>
      <c r="DM30" s="266"/>
      <c r="DN30" s="266"/>
      <c r="DO30" s="266"/>
      <c r="DP30" s="266"/>
      <c r="DQ30" s="266"/>
      <c r="DR30" s="266"/>
      <c r="DS30" s="266"/>
      <c r="DT30" s="266"/>
      <c r="DU30" s="266"/>
      <c r="DV30" s="266"/>
      <c r="DW30" s="266"/>
      <c r="DX30" s="266"/>
      <c r="DY30" s="266"/>
    </row>
    <row r="31" s="6" customFormat="1" ht="14.5">
      <c r="A31"/>
      <c r="B31" s="103" t="str">
        <f>+Passivo_Tipologie!E7</f>
        <v>0_3_Non Aderente Scaduto _ ZZZ</v>
      </c>
      <c r="C31" s="109">
        <f>+SUMIF(Passivo!K:K,B31,Passivo!J:J)</f>
        <v>0</v>
      </c>
      <c r="D31" s="104"/>
      <c r="E31" s="109">
        <f t="shared" si="25"/>
        <v>0</v>
      </c>
      <c r="F31" s="136">
        <v>1</v>
      </c>
      <c r="G31" s="109">
        <f t="shared" si="26"/>
        <v>0</v>
      </c>
      <c r="H31" s="109">
        <f t="shared" si="27"/>
        <v>0</v>
      </c>
      <c r="I31" s="268">
        <f t="shared" si="24"/>
        <v>0</v>
      </c>
      <c r="J31" s="266"/>
      <c r="K31" s="266"/>
      <c r="L31" s="266"/>
      <c r="M31" s="266"/>
      <c r="N31" s="266"/>
      <c r="O31" s="266"/>
      <c r="P31" s="266"/>
      <c r="Q31" s="266"/>
      <c r="R31" s="266"/>
      <c r="S31" s="267">
        <f t="shared" si="28"/>
        <v>0</v>
      </c>
      <c r="T31" s="266"/>
      <c r="U31" s="266"/>
      <c r="V31" s="266"/>
      <c r="W31" s="266"/>
      <c r="X31" s="266"/>
      <c r="Y31" s="266"/>
      <c r="Z31" s="266"/>
      <c r="AA31" s="266"/>
      <c r="AB31" s="266"/>
      <c r="AC31" s="266"/>
      <c r="AD31" s="266"/>
      <c r="AE31" s="266"/>
      <c r="AF31" s="266"/>
      <c r="AG31" s="266"/>
      <c r="AH31" s="266"/>
      <c r="AI31" s="266"/>
      <c r="AJ31" s="266"/>
      <c r="AK31" s="266"/>
      <c r="AL31" s="266"/>
      <c r="AM31" s="266"/>
      <c r="AN31" s="266"/>
      <c r="AO31" s="266"/>
      <c r="AP31" s="266"/>
      <c r="AQ31" s="266"/>
      <c r="AR31" s="266"/>
      <c r="AS31" s="266"/>
      <c r="AT31" s="266"/>
      <c r="AU31" s="266"/>
      <c r="AV31" s="266"/>
      <c r="AW31" s="266"/>
      <c r="AX31" s="266"/>
      <c r="AY31" s="266"/>
      <c r="AZ31" s="266"/>
      <c r="BA31" s="266"/>
      <c r="BB31" s="266"/>
      <c r="BC31" s="266"/>
      <c r="BD31" s="266"/>
      <c r="BE31" s="266"/>
      <c r="BF31" s="266"/>
      <c r="BG31" s="266"/>
      <c r="BH31" s="266"/>
      <c r="BI31" s="266"/>
      <c r="BJ31" s="266"/>
      <c r="BK31" s="266"/>
      <c r="BL31" s="266"/>
      <c r="BM31" s="266"/>
      <c r="BN31" s="266"/>
      <c r="BO31" s="266"/>
      <c r="BP31" s="266"/>
      <c r="BQ31" s="266"/>
      <c r="BR31" s="266"/>
      <c r="BS31" s="266"/>
      <c r="BT31" s="266"/>
      <c r="BU31" s="266"/>
      <c r="BV31" s="266"/>
      <c r="BW31" s="266"/>
      <c r="BX31" s="266"/>
      <c r="BY31" s="266"/>
      <c r="BZ31" s="266"/>
      <c r="CA31" s="266"/>
      <c r="CB31" s="266"/>
      <c r="CC31" s="266"/>
      <c r="CD31" s="266"/>
      <c r="CE31" s="266"/>
      <c r="CF31" s="266"/>
      <c r="CG31" s="266"/>
      <c r="CH31" s="266"/>
      <c r="CI31" s="266"/>
      <c r="CJ31" s="266"/>
      <c r="CK31" s="266"/>
      <c r="CL31" s="266"/>
      <c r="CM31" s="266"/>
      <c r="CN31" s="266"/>
      <c r="CO31" s="266"/>
      <c r="CP31" s="266"/>
      <c r="CQ31" s="266"/>
      <c r="CR31" s="266"/>
      <c r="CS31" s="266"/>
      <c r="CT31" s="266"/>
      <c r="CU31" s="266"/>
      <c r="CV31" s="266"/>
      <c r="CW31" s="266"/>
      <c r="CX31" s="266"/>
      <c r="CY31" s="266"/>
      <c r="CZ31" s="266"/>
      <c r="DA31" s="266"/>
      <c r="DB31" s="266"/>
      <c r="DC31" s="266"/>
      <c r="DD31" s="266"/>
      <c r="DE31" s="266"/>
      <c r="DF31" s="266"/>
      <c r="DG31" s="266"/>
      <c r="DH31" s="266"/>
      <c r="DI31" s="266"/>
      <c r="DJ31" s="266"/>
      <c r="DK31" s="266"/>
      <c r="DL31" s="266"/>
      <c r="DM31" s="266"/>
      <c r="DN31" s="266"/>
      <c r="DO31" s="266"/>
      <c r="DP31" s="266"/>
      <c r="DQ31" s="266"/>
      <c r="DR31" s="266"/>
      <c r="DS31" s="266"/>
      <c r="DT31" s="266"/>
      <c r="DU31" s="266"/>
      <c r="DV31" s="266"/>
      <c r="DW31" s="266"/>
      <c r="DX31" s="266"/>
      <c r="DY31" s="266"/>
    </row>
    <row r="32" s="6" customFormat="1" ht="14.5">
      <c r="A32"/>
      <c r="B32" s="103" t="str">
        <f>+Passivo_Tipologie!E8</f>
        <v>0_4_Non Aderente Scaduto _ ZZZ</v>
      </c>
      <c r="C32" s="109">
        <f>+SUMIF(Passivo!K:K,B32,Passivo!J:J)</f>
        <v>0</v>
      </c>
      <c r="D32" s="104"/>
      <c r="E32" s="109">
        <f t="shared" si="25"/>
        <v>0</v>
      </c>
      <c r="F32" s="136">
        <v>1</v>
      </c>
      <c r="G32" s="109">
        <f t="shared" si="26"/>
        <v>0</v>
      </c>
      <c r="H32" s="109">
        <f t="shared" si="27"/>
        <v>0</v>
      </c>
      <c r="I32" s="268">
        <f t="shared" si="24"/>
        <v>0</v>
      </c>
      <c r="J32" s="266"/>
      <c r="K32" s="266"/>
      <c r="L32" s="266"/>
      <c r="M32" s="266"/>
      <c r="N32" s="266"/>
      <c r="O32" s="266"/>
      <c r="P32" s="266"/>
      <c r="Q32" s="266"/>
      <c r="R32" s="266"/>
      <c r="S32" s="266"/>
      <c r="T32" s="266"/>
      <c r="U32" s="266"/>
      <c r="V32" s="266"/>
      <c r="W32" s="266"/>
      <c r="X32" s="266"/>
      <c r="Y32" s="266"/>
      <c r="Z32" s="266"/>
      <c r="AA32" s="266"/>
      <c r="AB32" s="266"/>
      <c r="AC32" s="266"/>
      <c r="AD32" s="266"/>
      <c r="AE32" s="266"/>
      <c r="AF32" s="266"/>
      <c r="AG32" s="266"/>
      <c r="AH32" s="266"/>
      <c r="AI32" s="266"/>
      <c r="AJ32" s="266"/>
      <c r="AK32" s="266"/>
      <c r="AL32" s="266"/>
      <c r="AM32" s="266"/>
      <c r="AN32" s="266"/>
      <c r="AO32" s="266"/>
      <c r="AP32" s="266"/>
      <c r="AQ32" s="266"/>
      <c r="AR32" s="266"/>
      <c r="AS32" s="266"/>
      <c r="AT32" s="266"/>
      <c r="AU32" s="266"/>
      <c r="AV32" s="266"/>
      <c r="AW32" s="266"/>
      <c r="AX32" s="266"/>
      <c r="AY32" s="266"/>
      <c r="AZ32" s="266"/>
      <c r="BA32" s="266"/>
      <c r="BB32" s="266"/>
      <c r="BC32" s="266"/>
      <c r="BD32" s="266"/>
      <c r="BE32" s="266"/>
      <c r="BF32" s="266"/>
      <c r="BG32" s="266"/>
      <c r="BH32" s="266"/>
      <c r="BI32" s="266"/>
      <c r="BJ32" s="266"/>
      <c r="BK32" s="266"/>
      <c r="BL32" s="266"/>
      <c r="BM32" s="266"/>
      <c r="BN32" s="266"/>
      <c r="BO32" s="266"/>
      <c r="BP32" s="266"/>
      <c r="BQ32" s="266"/>
      <c r="BR32" s="266"/>
      <c r="BS32" s="266"/>
      <c r="BT32" s="266"/>
      <c r="BU32" s="266"/>
      <c r="BV32" s="266"/>
      <c r="BW32" s="266"/>
      <c r="BX32" s="266"/>
      <c r="BY32" s="266"/>
      <c r="BZ32" s="266"/>
      <c r="CA32" s="266"/>
      <c r="CB32" s="266"/>
      <c r="CC32" s="266"/>
      <c r="CD32" s="266"/>
      <c r="CE32" s="266"/>
      <c r="CF32" s="266"/>
      <c r="CG32" s="266"/>
      <c r="CH32" s="266"/>
      <c r="CI32" s="266"/>
      <c r="CJ32" s="266"/>
      <c r="CK32" s="266"/>
      <c r="CL32" s="266"/>
      <c r="CM32" s="266"/>
      <c r="CN32" s="266"/>
      <c r="CO32" s="266"/>
      <c r="CP32" s="266"/>
      <c r="CQ32" s="266"/>
      <c r="CR32" s="266"/>
      <c r="CS32" s="266"/>
      <c r="CT32" s="266"/>
      <c r="CU32" s="266"/>
      <c r="CV32" s="266"/>
      <c r="CW32" s="266"/>
      <c r="CX32" s="266"/>
      <c r="CY32" s="266"/>
      <c r="CZ32" s="266"/>
      <c r="DA32" s="266"/>
      <c r="DB32" s="266"/>
      <c r="DC32" s="266"/>
      <c r="DD32" s="266"/>
      <c r="DE32" s="266"/>
      <c r="DF32" s="266"/>
      <c r="DG32" s="266"/>
      <c r="DH32" s="266"/>
      <c r="DI32" s="266"/>
      <c r="DJ32" s="266"/>
      <c r="DK32" s="266"/>
      <c r="DL32" s="266"/>
      <c r="DM32" s="266"/>
      <c r="DN32" s="266"/>
      <c r="DO32" s="266"/>
      <c r="DP32" s="266"/>
      <c r="DQ32" s="266"/>
      <c r="DR32" s="266"/>
      <c r="DS32" s="266"/>
      <c r="DT32" s="266"/>
      <c r="DU32" s="266"/>
      <c r="DV32" s="266"/>
      <c r="DW32" s="266"/>
      <c r="DX32" s="266"/>
      <c r="DY32" s="266"/>
    </row>
    <row r="33" s="6" customFormat="1" ht="14.5">
      <c r="A33"/>
      <c r="B33" s="103" t="str">
        <f>+Passivo_Tipologie!E9</f>
        <v>0_5_Non Aderente Scaduto _ ZZZ</v>
      </c>
      <c r="C33" s="109">
        <f>+SUMIF(Passivo!K:K,B33,Passivo!J:J)</f>
        <v>0</v>
      </c>
      <c r="D33" s="104"/>
      <c r="E33" s="109">
        <f t="shared" si="25"/>
        <v>0</v>
      </c>
      <c r="F33" s="136">
        <v>1</v>
      </c>
      <c r="G33" s="109">
        <f t="shared" si="26"/>
        <v>0</v>
      </c>
      <c r="H33" s="109">
        <f t="shared" si="27"/>
        <v>0</v>
      </c>
      <c r="I33" s="268">
        <f t="shared" si="24"/>
        <v>0</v>
      </c>
      <c r="J33" s="266"/>
      <c r="K33" s="266"/>
      <c r="L33" s="266"/>
      <c r="M33" s="266"/>
      <c r="N33" s="266"/>
      <c r="O33" s="266"/>
      <c r="P33" s="266"/>
      <c r="Q33" s="266"/>
      <c r="R33" s="266"/>
      <c r="S33" s="266"/>
      <c r="T33" s="266"/>
      <c r="U33" s="266"/>
      <c r="V33" s="266"/>
      <c r="W33" s="266"/>
      <c r="X33" s="266"/>
      <c r="Y33" s="266"/>
      <c r="Z33" s="266"/>
      <c r="AA33" s="266"/>
      <c r="AB33" s="266"/>
      <c r="AC33" s="266"/>
      <c r="AD33" s="266"/>
      <c r="AE33" s="266"/>
      <c r="AF33" s="266"/>
      <c r="AG33" s="266"/>
      <c r="AH33" s="266"/>
      <c r="AI33" s="266"/>
      <c r="AJ33" s="266"/>
      <c r="AK33" s="266"/>
      <c r="AL33" s="266"/>
      <c r="AM33" s="266"/>
      <c r="AN33" s="266"/>
      <c r="AO33" s="266"/>
      <c r="AP33" s="266"/>
      <c r="AQ33" s="266"/>
      <c r="AR33" s="266"/>
      <c r="AS33" s="266"/>
      <c r="AT33" s="266"/>
      <c r="AU33" s="266"/>
      <c r="AV33" s="266"/>
      <c r="AW33" s="266"/>
      <c r="AX33" s="266"/>
      <c r="AY33" s="266"/>
      <c r="AZ33" s="266"/>
      <c r="BA33" s="266"/>
      <c r="BB33" s="266"/>
      <c r="BC33" s="266"/>
      <c r="BD33" s="266"/>
      <c r="BE33" s="266"/>
      <c r="BF33" s="266"/>
      <c r="BG33" s="266"/>
      <c r="BH33" s="266"/>
      <c r="BI33" s="266"/>
      <c r="BJ33" s="266"/>
      <c r="BK33" s="266"/>
      <c r="BL33" s="266"/>
      <c r="BM33" s="266"/>
      <c r="BN33" s="266"/>
      <c r="BO33" s="266"/>
      <c r="BP33" s="266"/>
      <c r="BQ33" s="266"/>
      <c r="BR33" s="266"/>
      <c r="BS33" s="266"/>
      <c r="BT33" s="266"/>
      <c r="BU33" s="266"/>
      <c r="BV33" s="266"/>
      <c r="BW33" s="266"/>
      <c r="BX33" s="266"/>
      <c r="BY33" s="266"/>
      <c r="BZ33" s="266"/>
      <c r="CA33" s="266"/>
      <c r="CB33" s="266"/>
      <c r="CC33" s="266"/>
      <c r="CD33" s="266"/>
      <c r="CE33" s="266"/>
      <c r="CF33" s="266"/>
      <c r="CG33" s="266"/>
      <c r="CH33" s="266"/>
      <c r="CI33" s="266"/>
      <c r="CJ33" s="266"/>
      <c r="CK33" s="266"/>
      <c r="CL33" s="266"/>
      <c r="CM33" s="266"/>
      <c r="CN33" s="266"/>
      <c r="CO33" s="266"/>
      <c r="CP33" s="266"/>
      <c r="CQ33" s="266"/>
      <c r="CR33" s="266"/>
      <c r="CS33" s="266"/>
      <c r="CT33" s="266"/>
      <c r="CU33" s="266"/>
      <c r="CV33" s="266"/>
      <c r="CW33" s="266"/>
      <c r="CX33" s="266"/>
      <c r="CY33" s="266"/>
      <c r="CZ33" s="266"/>
      <c r="DA33" s="266"/>
      <c r="DB33" s="266"/>
      <c r="DC33" s="266"/>
      <c r="DD33" s="266"/>
      <c r="DE33" s="266"/>
      <c r="DF33" s="266"/>
      <c r="DG33" s="266"/>
      <c r="DH33" s="266"/>
      <c r="DI33" s="266"/>
      <c r="DJ33" s="266"/>
      <c r="DK33" s="266"/>
      <c r="DL33" s="266"/>
      <c r="DM33" s="266"/>
      <c r="DN33" s="266"/>
      <c r="DO33" s="266"/>
      <c r="DP33" s="266"/>
      <c r="DQ33" s="266"/>
      <c r="DR33" s="266"/>
      <c r="DS33" s="266"/>
      <c r="DT33" s="266"/>
      <c r="DU33" s="266"/>
      <c r="DV33" s="266"/>
      <c r="DW33" s="266"/>
      <c r="DX33" s="266"/>
      <c r="DY33" s="266"/>
    </row>
    <row r="34" s="6" customFormat="1" ht="14.5">
      <c r="A34"/>
      <c r="B34" s="103" t="str">
        <f>+Passivo_Tipologie!E10</f>
        <v>0_6_Non Aderente non Scaduto _ ZZZ</v>
      </c>
      <c r="C34" s="109">
        <f>+SUMIF(Passivo!K:K,B34,Passivo!J:J)</f>
        <v>0</v>
      </c>
      <c r="D34" s="104"/>
      <c r="E34" s="109">
        <f t="shared" si="25"/>
        <v>0</v>
      </c>
      <c r="F34" s="136">
        <v>1</v>
      </c>
      <c r="G34" s="109">
        <f t="shared" si="26"/>
        <v>0</v>
      </c>
      <c r="H34" s="109">
        <f t="shared" si="27"/>
        <v>0</v>
      </c>
      <c r="I34" s="268">
        <f>+H34-SUM(J34:DY34)</f>
        <v>0</v>
      </c>
      <c r="J34" s="266"/>
      <c r="K34" s="266"/>
      <c r="L34" s="266"/>
      <c r="M34" s="266"/>
      <c r="N34" s="266"/>
      <c r="O34" s="266"/>
      <c r="P34" s="266"/>
      <c r="Q34" s="266"/>
      <c r="R34" s="266"/>
      <c r="S34" s="266"/>
      <c r="T34" s="266"/>
      <c r="U34" s="266"/>
      <c r="V34" s="266"/>
      <c r="W34" s="266"/>
      <c r="X34" s="266"/>
      <c r="Y34" s="266"/>
      <c r="Z34" s="266"/>
      <c r="AA34" s="266"/>
      <c r="AB34" s="266"/>
      <c r="AC34" s="266"/>
      <c r="AD34" s="266"/>
      <c r="AE34" s="266"/>
      <c r="AF34" s="266"/>
      <c r="AG34" s="266"/>
      <c r="AH34" s="266"/>
      <c r="AI34" s="266"/>
      <c r="AJ34" s="266"/>
      <c r="AK34" s="266"/>
      <c r="AL34" s="266"/>
      <c r="AM34" s="266"/>
      <c r="AN34" s="266"/>
      <c r="AO34" s="266"/>
      <c r="AP34" s="266"/>
      <c r="AQ34" s="266"/>
      <c r="AR34" s="266"/>
      <c r="AS34" s="266"/>
      <c r="AT34" s="266"/>
      <c r="AU34" s="266"/>
      <c r="AV34" s="266"/>
      <c r="AW34" s="266"/>
      <c r="AX34" s="266"/>
      <c r="AY34" s="266"/>
      <c r="AZ34" s="266"/>
      <c r="BA34" s="266"/>
      <c r="BB34" s="266"/>
      <c r="BC34" s="266"/>
      <c r="BD34" s="266"/>
      <c r="BE34" s="266"/>
      <c r="BF34" s="266"/>
      <c r="BG34" s="266"/>
      <c r="BH34" s="266"/>
      <c r="BI34" s="266"/>
      <c r="BJ34" s="266"/>
      <c r="BK34" s="266"/>
      <c r="BL34" s="266"/>
      <c r="BM34" s="266"/>
      <c r="BN34" s="266"/>
      <c r="BO34" s="266"/>
      <c r="BP34" s="266"/>
      <c r="BQ34" s="266"/>
      <c r="BR34" s="266"/>
      <c r="BS34" s="266"/>
      <c r="BT34" s="266"/>
      <c r="BU34" s="266"/>
      <c r="BV34" s="266"/>
      <c r="BW34" s="266"/>
      <c r="BX34" s="266"/>
      <c r="BY34" s="266"/>
      <c r="BZ34" s="266"/>
      <c r="CA34" s="266"/>
      <c r="CB34" s="266"/>
      <c r="CC34" s="266"/>
      <c r="CD34" s="266"/>
      <c r="CE34" s="266"/>
      <c r="CF34" s="266"/>
      <c r="CG34" s="266"/>
      <c r="CH34" s="266"/>
      <c r="CI34" s="266"/>
      <c r="CJ34" s="266"/>
      <c r="CK34" s="266"/>
      <c r="CL34" s="266"/>
      <c r="CM34" s="266"/>
      <c r="CN34" s="266"/>
      <c r="CO34" s="266"/>
      <c r="CP34" s="266"/>
      <c r="CQ34" s="266"/>
      <c r="CR34" s="266"/>
      <c r="CS34" s="266"/>
      <c r="CT34" s="266"/>
      <c r="CU34" s="266"/>
      <c r="CV34" s="266"/>
      <c r="CW34" s="266"/>
      <c r="CX34" s="266"/>
      <c r="CY34" s="266"/>
      <c r="CZ34" s="266"/>
      <c r="DA34" s="266"/>
      <c r="DB34" s="266"/>
      <c r="DC34" s="266"/>
      <c r="DD34" s="266"/>
      <c r="DE34" s="266"/>
      <c r="DF34" s="266"/>
      <c r="DG34" s="266"/>
      <c r="DH34" s="266"/>
      <c r="DI34" s="266"/>
      <c r="DJ34" s="266"/>
      <c r="DK34" s="266"/>
      <c r="DL34" s="266"/>
      <c r="DM34" s="266"/>
      <c r="DN34" s="266"/>
      <c r="DO34" s="266"/>
      <c r="DP34" s="266"/>
      <c r="DQ34" s="266"/>
      <c r="DR34" s="266"/>
      <c r="DS34" s="266"/>
      <c r="DT34" s="266"/>
      <c r="DU34" s="266"/>
      <c r="DV34" s="266"/>
      <c r="DW34" s="266"/>
      <c r="DX34" s="266"/>
      <c r="DY34" s="266"/>
    </row>
    <row r="35" s="6" customFormat="1" ht="14.5">
      <c r="A35"/>
      <c r="B35" s="103" t="str">
        <f>+Passivo_Tipologie!E11</f>
        <v>0_7_Non Aderente non Scaduto _ ZZZ</v>
      </c>
      <c r="C35" s="109">
        <f>+SUMIF(Passivo!K:K,B35,Passivo!J:J)</f>
        <v>0</v>
      </c>
      <c r="D35" s="104"/>
      <c r="E35" s="109">
        <f t="shared" si="25"/>
        <v>0</v>
      </c>
      <c r="F35" s="136">
        <v>1</v>
      </c>
      <c r="G35" s="109">
        <f t="shared" si="26"/>
        <v>0</v>
      </c>
      <c r="H35" s="109">
        <f t="shared" si="27"/>
        <v>0</v>
      </c>
      <c r="I35" s="268">
        <f t="shared" si="24"/>
        <v>0</v>
      </c>
      <c r="J35" s="266"/>
      <c r="K35" s="266"/>
      <c r="L35" s="266"/>
      <c r="M35" s="266"/>
      <c r="N35" s="266"/>
      <c r="O35" s="266"/>
      <c r="P35" s="266"/>
      <c r="Q35" s="266"/>
      <c r="R35" s="266"/>
      <c r="S35" s="266"/>
      <c r="T35" s="266"/>
      <c r="U35" s="266"/>
      <c r="V35" s="266"/>
      <c r="W35" s="266"/>
      <c r="X35" s="266"/>
      <c r="Y35" s="266"/>
      <c r="Z35" s="266"/>
      <c r="AA35" s="266"/>
      <c r="AB35" s="266"/>
      <c r="AC35" s="266"/>
      <c r="AD35" s="266"/>
      <c r="AE35" s="266"/>
      <c r="AF35" s="266"/>
      <c r="AG35" s="266"/>
      <c r="AH35" s="266"/>
      <c r="AI35" s="266"/>
      <c r="AJ35" s="266"/>
      <c r="AK35" s="266"/>
      <c r="AL35" s="266"/>
      <c r="AM35" s="266"/>
      <c r="AN35" s="266"/>
      <c r="AO35" s="266"/>
      <c r="AP35" s="266"/>
      <c r="AQ35" s="266"/>
      <c r="AR35" s="266"/>
      <c r="AS35" s="266"/>
      <c r="AT35" s="266"/>
      <c r="AU35" s="266"/>
      <c r="AV35" s="266"/>
      <c r="AW35" s="266"/>
      <c r="AX35" s="266"/>
      <c r="AY35" s="266"/>
      <c r="AZ35" s="266"/>
      <c r="BA35" s="266"/>
      <c r="BB35" s="266"/>
      <c r="BC35" s="266"/>
      <c r="BD35" s="266"/>
      <c r="BE35" s="266"/>
      <c r="BF35" s="266"/>
      <c r="BG35" s="266"/>
      <c r="BH35" s="266"/>
      <c r="BI35" s="266"/>
      <c r="BJ35" s="266"/>
      <c r="BK35" s="266"/>
      <c r="BL35" s="266"/>
      <c r="BM35" s="266"/>
      <c r="BN35" s="266"/>
      <c r="BO35" s="266"/>
      <c r="BP35" s="266"/>
      <c r="BQ35" s="266"/>
      <c r="BR35" s="266"/>
      <c r="BS35" s="266"/>
      <c r="BT35" s="266"/>
      <c r="BU35" s="266"/>
      <c r="BV35" s="266"/>
      <c r="BW35" s="266"/>
      <c r="BX35" s="266"/>
      <c r="BY35" s="266"/>
      <c r="BZ35" s="266"/>
      <c r="CA35" s="266"/>
      <c r="CB35" s="266"/>
      <c r="CC35" s="266"/>
      <c r="CD35" s="266"/>
      <c r="CE35" s="266"/>
      <c r="CF35" s="266"/>
      <c r="CG35" s="266"/>
      <c r="CH35" s="266"/>
      <c r="CI35" s="266"/>
      <c r="CJ35" s="266"/>
      <c r="CK35" s="266"/>
      <c r="CL35" s="266"/>
      <c r="CM35" s="266"/>
      <c r="CN35" s="266"/>
      <c r="CO35" s="266"/>
      <c r="CP35" s="266"/>
      <c r="CQ35" s="266"/>
      <c r="CR35" s="266"/>
      <c r="CS35" s="266"/>
      <c r="CT35" s="266"/>
      <c r="CU35" s="266"/>
      <c r="CV35" s="266"/>
      <c r="CW35" s="266"/>
      <c r="CX35" s="266"/>
      <c r="CY35" s="266"/>
      <c r="CZ35" s="266"/>
      <c r="DA35" s="266"/>
      <c r="DB35" s="266"/>
      <c r="DC35" s="266"/>
      <c r="DD35" s="266"/>
      <c r="DE35" s="266"/>
      <c r="DF35" s="266"/>
      <c r="DG35" s="266"/>
      <c r="DH35" s="266"/>
      <c r="DI35" s="266"/>
      <c r="DJ35" s="266"/>
      <c r="DK35" s="266"/>
      <c r="DL35" s="266"/>
      <c r="DM35" s="266"/>
      <c r="DN35" s="266"/>
      <c r="DO35" s="266"/>
      <c r="DP35" s="266"/>
      <c r="DQ35" s="266"/>
      <c r="DR35" s="266"/>
      <c r="DS35" s="266"/>
      <c r="DT35" s="266"/>
      <c r="DU35" s="266"/>
      <c r="DV35" s="266"/>
      <c r="DW35" s="266"/>
      <c r="DX35" s="266"/>
      <c r="DY35" s="266"/>
    </row>
    <row r="36" s="6" customFormat="1" ht="14.5">
      <c r="A36"/>
      <c r="B36" s="103" t="str">
        <f>+Passivo_Tipologie!E12</f>
        <v>0_8_Non Aderente non Scaduto _ ZZZ</v>
      </c>
      <c r="C36" s="109">
        <f>+SUMIF(Passivo!K:K,B36,Passivo!J:J)</f>
        <v>0</v>
      </c>
      <c r="D36" s="104"/>
      <c r="E36" s="109">
        <f t="shared" si="25"/>
        <v>0</v>
      </c>
      <c r="F36" s="136">
        <v>1</v>
      </c>
      <c r="G36" s="109">
        <f>+(C36+D36)*(1-F36)</f>
        <v>0</v>
      </c>
      <c r="H36" s="109">
        <f t="shared" si="27"/>
        <v>0</v>
      </c>
      <c r="I36" s="268">
        <f t="shared" si="24"/>
        <v>0</v>
      </c>
      <c r="J36" s="266"/>
      <c r="K36" s="266"/>
      <c r="L36" s="266"/>
      <c r="M36" s="266"/>
      <c r="N36" s="266"/>
      <c r="O36" s="266"/>
      <c r="P36" s="266"/>
      <c r="Q36" s="266"/>
      <c r="R36" s="266"/>
      <c r="S36" s="266"/>
      <c r="T36" s="266"/>
      <c r="U36" s="266"/>
      <c r="V36" s="266"/>
      <c r="W36" s="266"/>
      <c r="X36" s="266"/>
      <c r="Y36" s="266"/>
      <c r="Z36" s="266"/>
      <c r="AA36" s="266"/>
      <c r="AB36" s="266"/>
      <c r="AC36" s="266"/>
      <c r="AD36" s="266"/>
      <c r="AE36" s="266"/>
      <c r="AF36" s="266"/>
      <c r="AG36" s="266"/>
      <c r="AH36" s="266"/>
      <c r="AI36" s="266"/>
      <c r="AJ36" s="266"/>
      <c r="AK36" s="266"/>
      <c r="AL36" s="266"/>
      <c r="AM36" s="266"/>
      <c r="AN36" s="266"/>
      <c r="AO36" s="266"/>
      <c r="AP36" s="266"/>
      <c r="AQ36" s="266"/>
      <c r="AR36" s="266"/>
      <c r="AS36" s="266"/>
      <c r="AT36" s="266"/>
      <c r="AU36" s="266"/>
      <c r="AV36" s="266"/>
      <c r="AW36" s="266"/>
      <c r="AX36" s="266"/>
      <c r="AY36" s="266"/>
      <c r="AZ36" s="266"/>
      <c r="BA36" s="266"/>
      <c r="BB36" s="266"/>
      <c r="BC36" s="266"/>
      <c r="BD36" s="266"/>
      <c r="BE36" s="266"/>
      <c r="BF36" s="266"/>
      <c r="BG36" s="266"/>
      <c r="BH36" s="266"/>
      <c r="BI36" s="266"/>
      <c r="BJ36" s="266"/>
      <c r="BK36" s="266"/>
      <c r="BL36" s="266"/>
      <c r="BM36" s="266"/>
      <c r="BN36" s="266"/>
      <c r="BO36" s="266"/>
      <c r="BP36" s="266"/>
      <c r="BQ36" s="266"/>
      <c r="BR36" s="266"/>
      <c r="BS36" s="266"/>
      <c r="BT36" s="266"/>
      <c r="BU36" s="266"/>
      <c r="BV36" s="266"/>
      <c r="BW36" s="266"/>
      <c r="BX36" s="266"/>
      <c r="BY36" s="266"/>
      <c r="BZ36" s="266"/>
      <c r="CA36" s="266"/>
      <c r="CB36" s="266"/>
      <c r="CC36" s="266"/>
      <c r="CD36" s="266"/>
      <c r="CE36" s="266"/>
      <c r="CF36" s="266"/>
      <c r="CG36" s="266"/>
      <c r="CH36" s="266"/>
      <c r="CI36" s="266"/>
      <c r="CJ36" s="266"/>
      <c r="CK36" s="266"/>
      <c r="CL36" s="266"/>
      <c r="CM36" s="266"/>
      <c r="CN36" s="266"/>
      <c r="CO36" s="266"/>
      <c r="CP36" s="266"/>
      <c r="CQ36" s="266"/>
      <c r="CR36" s="266"/>
      <c r="CS36" s="266"/>
      <c r="CT36" s="266"/>
      <c r="CU36" s="266"/>
      <c r="CV36" s="266"/>
      <c r="CW36" s="266"/>
      <c r="CX36" s="266"/>
      <c r="CY36" s="266"/>
      <c r="CZ36" s="266"/>
      <c r="DA36" s="266"/>
      <c r="DB36" s="266"/>
      <c r="DC36" s="266"/>
      <c r="DD36" s="266"/>
      <c r="DE36" s="266"/>
      <c r="DF36" s="266"/>
      <c r="DG36" s="266"/>
      <c r="DH36" s="266"/>
      <c r="DI36" s="266"/>
      <c r="DJ36" s="266"/>
      <c r="DK36" s="266"/>
      <c r="DL36" s="266"/>
      <c r="DM36" s="266"/>
      <c r="DN36" s="266"/>
      <c r="DO36" s="266"/>
      <c r="DP36" s="266"/>
      <c r="DQ36" s="266"/>
      <c r="DR36" s="266"/>
      <c r="DS36" s="266"/>
      <c r="DT36" s="266"/>
      <c r="DU36" s="266"/>
      <c r="DV36" s="266"/>
      <c r="DW36" s="266"/>
      <c r="DX36" s="266"/>
      <c r="DY36" s="266"/>
    </row>
    <row r="37" s="6" customFormat="1" ht="14.5">
      <c r="A37"/>
      <c r="B37" s="103" t="str">
        <f>+Passivo_Tipologie!E13</f>
        <v>0_9_Non Aderente non Scaduto _ ZZZ</v>
      </c>
      <c r="C37" s="109">
        <f>+SUMIF(Passivo!K:K,B37,Passivo!J:J)</f>
        <v>0</v>
      </c>
      <c r="D37" s="104"/>
      <c r="E37" s="109">
        <f t="shared" si="25"/>
        <v>0</v>
      </c>
      <c r="F37" s="136">
        <v>1</v>
      </c>
      <c r="G37" s="109">
        <f t="shared" ref="G37:G38" si="29">+(C37+D37)*(1-F37)</f>
        <v>0</v>
      </c>
      <c r="H37" s="109">
        <f t="shared" si="27"/>
        <v>0</v>
      </c>
      <c r="I37" s="268">
        <f t="shared" si="24"/>
        <v>0</v>
      </c>
      <c r="J37" s="266"/>
      <c r="K37" s="266"/>
      <c r="L37" s="266"/>
      <c r="M37" s="266"/>
      <c r="N37" s="266"/>
      <c r="O37" s="266"/>
      <c r="P37" s="266"/>
      <c r="Q37" s="266"/>
      <c r="R37" s="266"/>
      <c r="S37" s="266"/>
      <c r="T37" s="266"/>
      <c r="U37" s="266"/>
      <c r="V37" s="266"/>
      <c r="W37" s="266"/>
      <c r="X37" s="266"/>
      <c r="Y37" s="266"/>
      <c r="Z37" s="266"/>
      <c r="AA37" s="266"/>
      <c r="AB37" s="266"/>
      <c r="AC37" s="266"/>
      <c r="AD37" s="266"/>
      <c r="AE37" s="266"/>
      <c r="AF37" s="266"/>
      <c r="AG37" s="266"/>
      <c r="AH37" s="266"/>
      <c r="AI37" s="266"/>
      <c r="AJ37" s="266"/>
      <c r="AK37" s="266"/>
      <c r="AL37" s="266"/>
      <c r="AM37" s="266"/>
      <c r="AN37" s="266"/>
      <c r="AO37" s="266"/>
      <c r="AP37" s="266"/>
      <c r="AQ37" s="266"/>
      <c r="AR37" s="266"/>
      <c r="AS37" s="266"/>
      <c r="AT37" s="266"/>
      <c r="AU37" s="266"/>
      <c r="AV37" s="266"/>
      <c r="AW37" s="266"/>
      <c r="AX37" s="266"/>
      <c r="AY37" s="266"/>
      <c r="AZ37" s="266"/>
      <c r="BA37" s="266"/>
      <c r="BB37" s="266"/>
      <c r="BC37" s="266"/>
      <c r="BD37" s="266"/>
      <c r="BE37" s="266"/>
      <c r="BF37" s="266"/>
      <c r="BG37" s="266"/>
      <c r="BH37" s="266"/>
      <c r="BI37" s="266"/>
      <c r="BJ37" s="266"/>
      <c r="BK37" s="266"/>
      <c r="BL37" s="266"/>
      <c r="BM37" s="266"/>
      <c r="BN37" s="266"/>
      <c r="BO37" s="266"/>
      <c r="BP37" s="266"/>
      <c r="BQ37" s="266"/>
      <c r="BR37" s="266"/>
      <c r="BS37" s="266"/>
      <c r="BT37" s="266"/>
      <c r="BU37" s="266"/>
      <c r="BV37" s="266"/>
      <c r="BW37" s="266"/>
      <c r="BX37" s="266"/>
      <c r="BY37" s="266"/>
      <c r="BZ37" s="266"/>
      <c r="CA37" s="266"/>
      <c r="CB37" s="266"/>
      <c r="CC37" s="266"/>
      <c r="CD37" s="266"/>
      <c r="CE37" s="266"/>
      <c r="CF37" s="266"/>
      <c r="CG37" s="266"/>
      <c r="CH37" s="266"/>
      <c r="CI37" s="266"/>
      <c r="CJ37" s="266"/>
      <c r="CK37" s="266"/>
      <c r="CL37" s="266"/>
      <c r="CM37" s="266"/>
      <c r="CN37" s="266"/>
      <c r="CO37" s="266"/>
      <c r="CP37" s="266"/>
      <c r="CQ37" s="266"/>
      <c r="CR37" s="266"/>
      <c r="CS37" s="266"/>
      <c r="CT37" s="266"/>
      <c r="CU37" s="266"/>
      <c r="CV37" s="266"/>
      <c r="CW37" s="266"/>
      <c r="CX37" s="266"/>
      <c r="CY37" s="266"/>
      <c r="CZ37" s="266"/>
      <c r="DA37" s="266"/>
      <c r="DB37" s="266"/>
      <c r="DC37" s="266"/>
      <c r="DD37" s="266"/>
      <c r="DE37" s="266"/>
      <c r="DF37" s="266"/>
      <c r="DG37" s="266"/>
      <c r="DH37" s="266"/>
      <c r="DI37" s="266"/>
      <c r="DJ37" s="266"/>
      <c r="DK37" s="266"/>
      <c r="DL37" s="266"/>
      <c r="DM37" s="266"/>
      <c r="DN37" s="266"/>
      <c r="DO37" s="266"/>
      <c r="DP37" s="266"/>
      <c r="DQ37" s="266"/>
      <c r="DR37" s="266"/>
      <c r="DS37" s="266"/>
      <c r="DT37" s="266"/>
      <c r="DU37" s="266"/>
      <c r="DV37" s="266"/>
      <c r="DW37" s="266"/>
      <c r="DX37" s="266"/>
      <c r="DY37" s="266"/>
    </row>
    <row r="38" thickBot="1" s="6" customFormat="1">
      <c r="A38"/>
      <c r="B38" s="103" t="str">
        <f>+Passivo_Tipologie!E14</f>
        <v>0_10_Non Aderente non Scaduto _ ZZZ</v>
      </c>
      <c r="C38" s="109">
        <f>+SUMIF(Passivo!K:K,B38,Passivo!J:J)</f>
        <v>0</v>
      </c>
      <c r="D38" s="104"/>
      <c r="E38" s="109">
        <f t="shared" si="25"/>
        <v>0</v>
      </c>
      <c r="F38" s="136">
        <v>1</v>
      </c>
      <c r="G38" s="109">
        <f t="shared" si="29"/>
        <v>0</v>
      </c>
      <c r="H38" s="109">
        <f t="shared" si="27"/>
        <v>0</v>
      </c>
      <c r="I38" s="268">
        <f t="shared" si="24"/>
        <v>0</v>
      </c>
      <c r="J38" s="266"/>
      <c r="K38" s="266"/>
      <c r="L38" s="266"/>
      <c r="M38" s="266"/>
      <c r="N38" s="266"/>
      <c r="O38" s="266"/>
      <c r="P38" s="266"/>
      <c r="Q38" s="266"/>
      <c r="R38" s="266"/>
      <c r="S38" s="266"/>
      <c r="T38" s="266"/>
      <c r="U38" s="266"/>
      <c r="V38" s="266"/>
      <c r="W38" s="266"/>
      <c r="X38" s="266"/>
      <c r="Y38" s="266"/>
      <c r="Z38" s="266"/>
      <c r="AA38" s="266"/>
      <c r="AB38" s="266"/>
      <c r="AC38" s="266"/>
      <c r="AD38" s="266"/>
      <c r="AE38" s="266"/>
      <c r="AF38" s="266"/>
      <c r="AG38" s="266"/>
      <c r="AH38" s="266"/>
      <c r="AI38" s="266"/>
      <c r="AJ38" s="266"/>
      <c r="AK38" s="266"/>
      <c r="AL38" s="266"/>
      <c r="AM38" s="266"/>
      <c r="AN38" s="266"/>
      <c r="AO38" s="266"/>
      <c r="AP38" s="266"/>
      <c r="AQ38" s="266"/>
      <c r="AR38" s="266"/>
      <c r="AS38" s="266"/>
      <c r="AT38" s="266"/>
      <c r="AU38" s="266"/>
      <c r="AV38" s="266"/>
      <c r="AW38" s="266"/>
      <c r="AX38" s="266"/>
      <c r="AY38" s="266"/>
      <c r="AZ38" s="266"/>
      <c r="BA38" s="266"/>
      <c r="BB38" s="266"/>
      <c r="BC38" s="266"/>
      <c r="BD38" s="266"/>
      <c r="BE38" s="266"/>
      <c r="BF38" s="266"/>
      <c r="BG38" s="266"/>
      <c r="BH38" s="266"/>
      <c r="BI38" s="266"/>
      <c r="BJ38" s="266"/>
      <c r="BK38" s="266"/>
      <c r="BL38" s="266"/>
      <c r="BM38" s="266"/>
      <c r="BN38" s="266"/>
      <c r="BO38" s="266"/>
      <c r="BP38" s="266"/>
      <c r="BQ38" s="266"/>
      <c r="BR38" s="266"/>
      <c r="BS38" s="266"/>
      <c r="BT38" s="266"/>
      <c r="BU38" s="266"/>
      <c r="BV38" s="266"/>
      <c r="BW38" s="266"/>
      <c r="BX38" s="266"/>
      <c r="BY38" s="266"/>
      <c r="BZ38" s="266"/>
      <c r="CA38" s="266"/>
      <c r="CB38" s="266"/>
      <c r="CC38" s="266"/>
      <c r="CD38" s="266"/>
      <c r="CE38" s="266"/>
      <c r="CF38" s="266"/>
      <c r="CG38" s="266"/>
      <c r="CH38" s="266"/>
      <c r="CI38" s="266"/>
      <c r="CJ38" s="266"/>
      <c r="CK38" s="266"/>
      <c r="CL38" s="266"/>
      <c r="CM38" s="266"/>
      <c r="CN38" s="266"/>
      <c r="CO38" s="266"/>
      <c r="CP38" s="266"/>
      <c r="CQ38" s="266"/>
      <c r="CR38" s="266"/>
      <c r="CS38" s="266"/>
      <c r="CT38" s="266"/>
      <c r="CU38" s="266"/>
      <c r="CV38" s="266"/>
      <c r="CW38" s="266"/>
      <c r="CX38" s="266"/>
      <c r="CY38" s="266"/>
      <c r="CZ38" s="266"/>
      <c r="DA38" s="266"/>
      <c r="DB38" s="266"/>
      <c r="DC38" s="266"/>
      <c r="DD38" s="266"/>
      <c r="DE38" s="266"/>
      <c r="DF38" s="266"/>
      <c r="DG38" s="266"/>
      <c r="DH38" s="266"/>
      <c r="DI38" s="266"/>
      <c r="DJ38" s="266"/>
      <c r="DK38" s="266"/>
      <c r="DL38" s="266"/>
      <c r="DM38" s="266"/>
      <c r="DN38" s="266"/>
      <c r="DO38" s="266"/>
      <c r="DP38" s="266"/>
      <c r="DQ38" s="266"/>
      <c r="DR38" s="266"/>
      <c r="DS38" s="266"/>
      <c r="DT38" s="266"/>
      <c r="DU38" s="266"/>
      <c r="DV38" s="266"/>
      <c r="DW38" s="266"/>
      <c r="DX38" s="266"/>
      <c r="DY38" s="266"/>
    </row>
    <row r="39" thickBot="1">
      <c r="C39" s="269"/>
      <c r="D39" s="270"/>
      <c r="E39" s="269"/>
      <c r="F39" s="271"/>
      <c r="G39" s="269"/>
      <c r="H39" s="254" t="s">
        <v>63</v>
      </c>
      <c r="I39" s="272" t="s">
        <v>1187</v>
      </c>
      <c r="J39" s="273">
        <f>SUM(J29:J38)</f>
        <v>0</v>
      </c>
      <c r="K39" s="273">
        <f t="shared" ref="K39:BV39" si="30">SUM(K29:K38)</f>
        <v>0</v>
      </c>
      <c r="L39" s="273">
        <f t="shared" si="30"/>
        <v>0</v>
      </c>
      <c r="M39" s="273">
        <f t="shared" si="30"/>
        <v>0</v>
      </c>
      <c r="N39" s="273">
        <f t="shared" si="30"/>
        <v>0</v>
      </c>
      <c r="O39" s="273">
        <f t="shared" si="30"/>
        <v>0</v>
      </c>
      <c r="P39" s="273">
        <f t="shared" si="30"/>
        <v>0</v>
      </c>
      <c r="Q39" s="273">
        <f t="shared" si="30"/>
        <v>0</v>
      </c>
      <c r="R39" s="273">
        <f t="shared" si="30"/>
        <v>0</v>
      </c>
      <c r="S39" s="273">
        <f t="shared" si="30"/>
        <v>0</v>
      </c>
      <c r="T39" s="273">
        <f t="shared" si="30"/>
        <v>0</v>
      </c>
      <c r="U39" s="273">
        <f t="shared" si="30"/>
        <v>0</v>
      </c>
      <c r="V39" s="273">
        <f t="shared" si="30"/>
        <v>0</v>
      </c>
      <c r="W39" s="273">
        <f t="shared" si="30"/>
        <v>0</v>
      </c>
      <c r="X39" s="273">
        <f t="shared" si="30"/>
        <v>0</v>
      </c>
      <c r="Y39" s="273">
        <f t="shared" si="30"/>
        <v>0</v>
      </c>
      <c r="Z39" s="273">
        <f t="shared" si="30"/>
        <v>0</v>
      </c>
      <c r="AA39" s="273">
        <f t="shared" si="30"/>
        <v>0</v>
      </c>
      <c r="AB39" s="273">
        <f t="shared" si="30"/>
        <v>0</v>
      </c>
      <c r="AC39" s="273">
        <f t="shared" si="30"/>
        <v>0</v>
      </c>
      <c r="AD39" s="273">
        <f t="shared" si="30"/>
        <v>0</v>
      </c>
      <c r="AE39" s="273">
        <f t="shared" si="30"/>
        <v>0</v>
      </c>
      <c r="AF39" s="273">
        <f t="shared" si="30"/>
        <v>0</v>
      </c>
      <c r="AG39" s="273">
        <f t="shared" si="30"/>
        <v>0</v>
      </c>
      <c r="AH39" s="273">
        <f t="shared" si="30"/>
        <v>0</v>
      </c>
      <c r="AI39" s="273">
        <f t="shared" si="30"/>
        <v>0</v>
      </c>
      <c r="AJ39" s="273">
        <f t="shared" si="30"/>
        <v>0</v>
      </c>
      <c r="AK39" s="273">
        <f t="shared" si="30"/>
        <v>0</v>
      </c>
      <c r="AL39" s="273">
        <f t="shared" si="30"/>
        <v>0</v>
      </c>
      <c r="AM39" s="273">
        <f t="shared" si="30"/>
        <v>0</v>
      </c>
      <c r="AN39" s="273">
        <f t="shared" si="30"/>
        <v>0</v>
      </c>
      <c r="AO39" s="273">
        <f t="shared" si="30"/>
        <v>0</v>
      </c>
      <c r="AP39" s="273">
        <f t="shared" si="30"/>
        <v>0</v>
      </c>
      <c r="AQ39" s="273">
        <f t="shared" si="30"/>
        <v>0</v>
      </c>
      <c r="AR39" s="273">
        <f t="shared" si="30"/>
        <v>0</v>
      </c>
      <c r="AS39" s="273">
        <f t="shared" si="30"/>
        <v>0</v>
      </c>
      <c r="AT39" s="274">
        <f t="shared" si="30"/>
        <v>0</v>
      </c>
      <c r="AU39" s="274">
        <f t="shared" si="30"/>
        <v>0</v>
      </c>
      <c r="AV39" s="274">
        <f t="shared" si="30"/>
        <v>0</v>
      </c>
      <c r="AW39" s="274">
        <f t="shared" si="30"/>
        <v>0</v>
      </c>
      <c r="AX39" s="274">
        <f t="shared" si="30"/>
        <v>0</v>
      </c>
      <c r="AY39" s="274">
        <f t="shared" si="30"/>
        <v>0</v>
      </c>
      <c r="AZ39" s="274">
        <f t="shared" si="30"/>
        <v>0</v>
      </c>
      <c r="BA39" s="274">
        <f t="shared" si="30"/>
        <v>0</v>
      </c>
      <c r="BB39" s="274">
        <f t="shared" si="30"/>
        <v>0</v>
      </c>
      <c r="BC39" s="274">
        <f t="shared" si="30"/>
        <v>0</v>
      </c>
      <c r="BD39" s="274">
        <f t="shared" si="30"/>
        <v>0</v>
      </c>
      <c r="BE39" s="274">
        <f t="shared" si="30"/>
        <v>0</v>
      </c>
      <c r="BF39" s="274">
        <f t="shared" si="30"/>
        <v>0</v>
      </c>
      <c r="BG39" s="274">
        <f t="shared" si="30"/>
        <v>0</v>
      </c>
      <c r="BH39" s="274">
        <f t="shared" si="30"/>
        <v>0</v>
      </c>
      <c r="BI39" s="274">
        <f t="shared" si="30"/>
        <v>0</v>
      </c>
      <c r="BJ39" s="274">
        <f t="shared" si="30"/>
        <v>0</v>
      </c>
      <c r="BK39" s="274">
        <f t="shared" si="30"/>
        <v>0</v>
      </c>
      <c r="BL39" s="274">
        <f t="shared" si="30"/>
        <v>0</v>
      </c>
      <c r="BM39" s="274">
        <f t="shared" si="30"/>
        <v>0</v>
      </c>
      <c r="BN39" s="274">
        <f t="shared" si="30"/>
        <v>0</v>
      </c>
      <c r="BO39" s="274">
        <f t="shared" si="30"/>
        <v>0</v>
      </c>
      <c r="BP39" s="274">
        <f t="shared" si="30"/>
        <v>0</v>
      </c>
      <c r="BQ39" s="274">
        <f t="shared" si="30"/>
        <v>0</v>
      </c>
      <c r="BR39" s="274">
        <f t="shared" si="30"/>
        <v>0</v>
      </c>
      <c r="BS39" s="274">
        <f t="shared" si="30"/>
        <v>0</v>
      </c>
      <c r="BT39" s="274">
        <f t="shared" si="30"/>
        <v>0</v>
      </c>
      <c r="BU39" s="274">
        <f t="shared" si="30"/>
        <v>0</v>
      </c>
      <c r="BV39" s="274">
        <f t="shared" si="30"/>
        <v>0</v>
      </c>
      <c r="BW39" s="274">
        <f t="shared" ref="BW39:DY39" si="31">SUM(BW29:BW38)</f>
        <v>0</v>
      </c>
      <c r="BX39" s="274">
        <f t="shared" si="31"/>
        <v>0</v>
      </c>
      <c r="BY39" s="274">
        <f t="shared" si="31"/>
        <v>0</v>
      </c>
      <c r="BZ39" s="274">
        <f t="shared" si="31"/>
        <v>0</v>
      </c>
      <c r="CA39" s="274">
        <f t="shared" si="31"/>
        <v>0</v>
      </c>
      <c r="CB39" s="274">
        <f t="shared" si="31"/>
        <v>0</v>
      </c>
      <c r="CC39" s="274">
        <f t="shared" si="31"/>
        <v>0</v>
      </c>
      <c r="CD39" s="274">
        <f t="shared" si="31"/>
        <v>0</v>
      </c>
      <c r="CE39" s="274">
        <f t="shared" si="31"/>
        <v>0</v>
      </c>
      <c r="CF39" s="274">
        <f t="shared" si="31"/>
        <v>0</v>
      </c>
      <c r="CG39" s="274">
        <f t="shared" si="31"/>
        <v>0</v>
      </c>
      <c r="CH39" s="274">
        <f t="shared" si="31"/>
        <v>0</v>
      </c>
      <c r="CI39" s="274">
        <f t="shared" si="31"/>
        <v>0</v>
      </c>
      <c r="CJ39" s="274">
        <f t="shared" si="31"/>
        <v>0</v>
      </c>
      <c r="CK39" s="274">
        <f t="shared" si="31"/>
        <v>0</v>
      </c>
      <c r="CL39" s="274">
        <f t="shared" si="31"/>
        <v>0</v>
      </c>
      <c r="CM39" s="274">
        <f t="shared" si="31"/>
        <v>0</v>
      </c>
      <c r="CN39" s="274">
        <f t="shared" si="31"/>
        <v>0</v>
      </c>
      <c r="CO39" s="274">
        <f t="shared" si="31"/>
        <v>0</v>
      </c>
      <c r="CP39" s="274">
        <f t="shared" si="31"/>
        <v>0</v>
      </c>
      <c r="CQ39" s="274">
        <f t="shared" si="31"/>
        <v>0</v>
      </c>
      <c r="CR39" s="274">
        <f t="shared" si="31"/>
        <v>0</v>
      </c>
      <c r="CS39" s="274">
        <f t="shared" si="31"/>
        <v>0</v>
      </c>
      <c r="CT39" s="274">
        <f t="shared" si="31"/>
        <v>0</v>
      </c>
      <c r="CU39" s="274">
        <f t="shared" si="31"/>
        <v>0</v>
      </c>
      <c r="CV39" s="274">
        <f t="shared" si="31"/>
        <v>0</v>
      </c>
      <c r="CW39" s="274">
        <f t="shared" si="31"/>
        <v>0</v>
      </c>
      <c r="CX39" s="274">
        <f t="shared" si="31"/>
        <v>0</v>
      </c>
      <c r="CY39" s="274">
        <f t="shared" si="31"/>
        <v>0</v>
      </c>
      <c r="CZ39" s="274">
        <f t="shared" si="31"/>
        <v>0</v>
      </c>
      <c r="DA39" s="274">
        <f t="shared" si="31"/>
        <v>0</v>
      </c>
      <c r="DB39" s="274">
        <f t="shared" si="31"/>
        <v>0</v>
      </c>
      <c r="DC39" s="274">
        <f t="shared" si="31"/>
        <v>0</v>
      </c>
      <c r="DD39" s="274">
        <f t="shared" si="31"/>
        <v>0</v>
      </c>
      <c r="DE39" s="274">
        <f t="shared" si="31"/>
        <v>0</v>
      </c>
      <c r="DF39" s="274">
        <f t="shared" si="31"/>
        <v>0</v>
      </c>
      <c r="DG39" s="274">
        <f t="shared" si="31"/>
        <v>0</v>
      </c>
      <c r="DH39" s="274">
        <f t="shared" si="31"/>
        <v>0</v>
      </c>
      <c r="DI39" s="274">
        <f t="shared" si="31"/>
        <v>0</v>
      </c>
      <c r="DJ39" s="274">
        <f t="shared" si="31"/>
        <v>0</v>
      </c>
      <c r="DK39" s="274">
        <f t="shared" si="31"/>
        <v>0</v>
      </c>
      <c r="DL39" s="274">
        <f t="shared" si="31"/>
        <v>0</v>
      </c>
      <c r="DM39" s="274">
        <f t="shared" si="31"/>
        <v>0</v>
      </c>
      <c r="DN39" s="274">
        <f t="shared" si="31"/>
        <v>0</v>
      </c>
      <c r="DO39" s="274">
        <f t="shared" si="31"/>
        <v>0</v>
      </c>
      <c r="DP39" s="274">
        <f t="shared" si="31"/>
        <v>0</v>
      </c>
      <c r="DQ39" s="274">
        <f t="shared" si="31"/>
        <v>0</v>
      </c>
      <c r="DR39" s="274">
        <f t="shared" si="31"/>
        <v>0</v>
      </c>
      <c r="DS39" s="274">
        <f t="shared" si="31"/>
        <v>0</v>
      </c>
      <c r="DT39" s="274">
        <f t="shared" si="31"/>
        <v>0</v>
      </c>
      <c r="DU39" s="274">
        <f t="shared" si="31"/>
        <v>0</v>
      </c>
      <c r="DV39" s="274">
        <f t="shared" si="31"/>
        <v>0</v>
      </c>
      <c r="DW39" s="274">
        <f t="shared" si="31"/>
        <v>0</v>
      </c>
      <c r="DX39" s="274">
        <f t="shared" si="31"/>
        <v>0</v>
      </c>
      <c r="DY39" s="274">
        <f t="shared" si="31"/>
        <v>0</v>
      </c>
    </row>
    <row r="40" thickBot="1">
      <c r="B40" s="115" t="s">
        <v>953</v>
      </c>
    </row>
    <row r="41" thickBot="1">
      <c r="B41" s="257">
        <f>MIN(J41:DY41)</f>
        <v>0</v>
      </c>
      <c r="H41" s="252" t="s">
        <v>1188</v>
      </c>
      <c r="I41" s="272" t="s">
        <v>1189</v>
      </c>
      <c r="J41" s="275">
        <f>+J24-J39</f>
        <v>0</v>
      </c>
      <c r="K41" s="275">
        <f>+K24-SUM($J39:K39)</f>
        <v>0</v>
      </c>
      <c r="L41" s="275">
        <f>+L24-SUM($J39:L39)</f>
        <v>0</v>
      </c>
      <c r="M41" s="275">
        <f>+M24-SUM($J39:M39)</f>
        <v>0</v>
      </c>
      <c r="N41" s="275">
        <f>+N24-SUM($J39:N39)</f>
        <v>0</v>
      </c>
      <c r="O41" s="275">
        <f>+O24-SUM($J39:O39)</f>
        <v>0</v>
      </c>
      <c r="P41" s="275">
        <f>+P24-SUM($J39:P39)</f>
        <v>0</v>
      </c>
      <c r="Q41" s="275">
        <f>+Q24-SUM($J39:Q39)</f>
        <v>0</v>
      </c>
      <c r="R41" s="275">
        <f>+R24-SUM($J39:R39)</f>
        <v>0</v>
      </c>
      <c r="S41" s="275">
        <f>+S24-SUM($J39:S39)</f>
        <v>0</v>
      </c>
      <c r="T41" s="275">
        <f>+T24-SUM($J39:T39)</f>
        <v>0</v>
      </c>
      <c r="U41" s="275">
        <f>+U24-SUM($J39:U39)</f>
        <v>0</v>
      </c>
      <c r="V41" s="275">
        <f>+V24-SUM($J39:V39)</f>
        <v>0</v>
      </c>
      <c r="W41" s="275">
        <f>+W24-SUM($J39:W39)</f>
        <v>0</v>
      </c>
      <c r="X41" s="275">
        <f>+X24-SUM($J39:X39)</f>
        <v>0</v>
      </c>
      <c r="Y41" s="275">
        <f>+Y24-SUM($J39:Y39)</f>
        <v>0</v>
      </c>
      <c r="Z41" s="275">
        <f>+Z24-SUM($J39:Z39)</f>
        <v>0</v>
      </c>
      <c r="AA41" s="275">
        <f>+AA24-SUM($J39:AA39)</f>
        <v>0</v>
      </c>
      <c r="AB41" s="275">
        <f>+AB24-SUM($J39:AB39)</f>
        <v>0</v>
      </c>
      <c r="AC41" s="275">
        <f>+AC24-SUM($J39:AC39)</f>
        <v>0</v>
      </c>
      <c r="AD41" s="275">
        <f>+AD24-SUM($J39:AD39)</f>
        <v>0</v>
      </c>
      <c r="AE41" s="275">
        <f>+AE24-SUM($J39:AE39)</f>
        <v>0</v>
      </c>
      <c r="AF41" s="275">
        <f>+AF24-SUM($J39:AF39)</f>
        <v>0</v>
      </c>
      <c r="AG41" s="275">
        <f>+AG24-SUM($J39:AG39)</f>
        <v>0</v>
      </c>
      <c r="AH41" s="275">
        <f>+AH24-SUM($J39:AH39)</f>
        <v>0</v>
      </c>
      <c r="AI41" s="275">
        <f>+AI24-SUM($J39:AI39)</f>
        <v>0</v>
      </c>
      <c r="AJ41" s="275">
        <f>+AJ24-SUM($J39:AJ39)</f>
        <v>0</v>
      </c>
      <c r="AK41" s="275">
        <f>+AK24-SUM($J39:AK39)</f>
        <v>0</v>
      </c>
      <c r="AL41" s="275">
        <f>+AL24-SUM($J39:AL39)</f>
        <v>0</v>
      </c>
      <c r="AM41" s="275">
        <f>+AM24-SUM($J39:AM39)</f>
        <v>0</v>
      </c>
      <c r="AN41" s="275">
        <f>+AN24-SUM($J39:AN39)</f>
        <v>0</v>
      </c>
      <c r="AO41" s="275">
        <f>+AO24-SUM($J39:AO39)</f>
        <v>0</v>
      </c>
      <c r="AP41" s="275">
        <f>+AP24-SUM($J39:AP39)</f>
        <v>0</v>
      </c>
      <c r="AQ41" s="275">
        <f>+AQ24-SUM($J39:AQ39)</f>
        <v>0</v>
      </c>
      <c r="AR41" s="275">
        <f>+AR24-SUM($J39:AR39)</f>
        <v>0</v>
      </c>
      <c r="AS41" s="275">
        <f>+AS24-SUM($J39:AS39)</f>
        <v>0</v>
      </c>
      <c r="AT41" s="276">
        <f>+AT24-SUM($J39:AT39)</f>
        <v>0</v>
      </c>
      <c r="AU41" s="276">
        <f>+AU24-SUM($J39:AU39)</f>
        <v>0</v>
      </c>
      <c r="AV41" s="276">
        <f>+AV24-SUM($J39:AV39)</f>
        <v>0</v>
      </c>
      <c r="AW41" s="276">
        <f>+AW24-SUM($J39:AW39)</f>
        <v>0</v>
      </c>
      <c r="AX41" s="276">
        <f>+AX24-SUM($J39:AX39)</f>
        <v>0</v>
      </c>
      <c r="AY41" s="276">
        <f>+AY24-SUM($J39:AY39)</f>
        <v>0</v>
      </c>
      <c r="AZ41" s="276">
        <f>+AZ24-SUM($J39:AZ39)</f>
        <v>0</v>
      </c>
      <c r="BA41" s="276">
        <f>+BA24-SUM($J39:BA39)</f>
        <v>0</v>
      </c>
      <c r="BB41" s="276">
        <f>+BB24-SUM($J39:BB39)</f>
        <v>0</v>
      </c>
      <c r="BC41" s="276">
        <f>+BC24-SUM($J39:BC39)</f>
        <v>0</v>
      </c>
      <c r="BD41" s="276">
        <f>+BD24-SUM($J39:BD39)</f>
        <v>0</v>
      </c>
      <c r="BE41" s="276">
        <f>+BE24-SUM($J39:BE39)</f>
        <v>0</v>
      </c>
      <c r="BF41" s="276">
        <f>+BF24-SUM($J39:BF39)</f>
        <v>0</v>
      </c>
      <c r="BG41" s="276">
        <f>+BG24-SUM($J39:BG39)</f>
        <v>0</v>
      </c>
      <c r="BH41" s="276">
        <f>+BH24-SUM($J39:BH39)</f>
        <v>0</v>
      </c>
      <c r="BI41" s="276">
        <f>+BI24-SUM($J39:BI39)</f>
        <v>0</v>
      </c>
      <c r="BJ41" s="276">
        <f>+BJ24-SUM($J39:BJ39)</f>
        <v>0</v>
      </c>
      <c r="BK41" s="276">
        <f>+BK24-SUM($J39:BK39)</f>
        <v>0</v>
      </c>
      <c r="BL41" s="276">
        <f>+BL24-SUM($J39:BL39)</f>
        <v>0</v>
      </c>
      <c r="BM41" s="276">
        <f>+BM24-SUM($J39:BM39)</f>
        <v>0</v>
      </c>
      <c r="BN41" s="276">
        <f>+BN24-SUM($J39:BN39)</f>
        <v>0</v>
      </c>
      <c r="BO41" s="276">
        <f>+BO24-SUM($J39:BO39)</f>
        <v>0</v>
      </c>
      <c r="BP41" s="276">
        <f>+BP24-SUM($J39:BP39)</f>
        <v>0</v>
      </c>
      <c r="BQ41" s="276">
        <f>+BQ24-SUM($J39:BQ39)</f>
        <v>0</v>
      </c>
      <c r="BR41" s="276">
        <f>+BR24-SUM($J39:BR39)</f>
        <v>0</v>
      </c>
      <c r="BS41" s="276">
        <f>+BS24-SUM($J39:BS39)</f>
        <v>0</v>
      </c>
      <c r="BT41" s="276">
        <f>+BT24-SUM($J39:BT39)</f>
        <v>0</v>
      </c>
      <c r="BU41" s="276">
        <f>+BU24-SUM($J39:BU39)</f>
        <v>0</v>
      </c>
      <c r="BV41" s="276">
        <f>+BV24-SUM($J39:BV39)</f>
        <v>0</v>
      </c>
      <c r="BW41" s="276">
        <f>+BW24-SUM($J39:BW39)</f>
        <v>0</v>
      </c>
      <c r="BX41" s="276">
        <f>+BX24-SUM($J39:BX39)</f>
        <v>0</v>
      </c>
      <c r="BY41" s="276">
        <f>+BY24-SUM($J39:BY39)</f>
        <v>0</v>
      </c>
      <c r="BZ41" s="276">
        <f>+BZ24-SUM($J39:BZ39)</f>
        <v>0</v>
      </c>
      <c r="CA41" s="276">
        <f>+CA24-SUM($J39:CA39)</f>
        <v>0</v>
      </c>
      <c r="CB41" s="276">
        <f>+CB24-SUM($J39:CB39)</f>
        <v>0</v>
      </c>
      <c r="CC41" s="276">
        <f>+CC24-SUM($J39:CC39)</f>
        <v>0</v>
      </c>
      <c r="CD41" s="276">
        <f>+CD24-SUM($J39:CD39)</f>
        <v>0</v>
      </c>
      <c r="CE41" s="276">
        <f>+CE24-SUM($J39:CE39)</f>
        <v>0</v>
      </c>
      <c r="CF41" s="276">
        <f>+CF24-SUM($J39:CF39)</f>
        <v>0</v>
      </c>
      <c r="CG41" s="276">
        <f>+CG24-SUM($J39:CG39)</f>
        <v>0</v>
      </c>
      <c r="CH41" s="276">
        <f>+CH24-SUM($J39:CH39)</f>
        <v>0</v>
      </c>
      <c r="CI41" s="276">
        <f>+CI24-SUM($J39:CI39)</f>
        <v>0</v>
      </c>
      <c r="CJ41" s="276">
        <f>+CJ24-SUM($J39:CJ39)</f>
        <v>0</v>
      </c>
      <c r="CK41" s="276">
        <f>+CK24-SUM($J39:CK39)</f>
        <v>0</v>
      </c>
      <c r="CL41" s="276">
        <f>+CL24-SUM($J39:CL39)</f>
        <v>0</v>
      </c>
      <c r="CM41" s="276">
        <f>+CM24-SUM($J39:CM39)</f>
        <v>0</v>
      </c>
      <c r="CN41" s="276">
        <f>+CN24-SUM($J39:CN39)</f>
        <v>0</v>
      </c>
      <c r="CO41" s="276">
        <f>+CO24-SUM($J39:CO39)</f>
        <v>0</v>
      </c>
      <c r="CP41" s="276">
        <f>+CP24-SUM($J39:CP39)</f>
        <v>0</v>
      </c>
      <c r="CQ41" s="276">
        <f>+CQ24-SUM($J39:CQ39)</f>
        <v>0</v>
      </c>
      <c r="CR41" s="276">
        <f>+CR24-SUM($J39:CR39)</f>
        <v>0</v>
      </c>
      <c r="CS41" s="276">
        <f>+CS24-SUM($J39:CS39)</f>
        <v>0</v>
      </c>
      <c r="CT41" s="276">
        <f>+CT24-SUM($J39:CT39)</f>
        <v>0</v>
      </c>
      <c r="CU41" s="276">
        <f>+CU24-SUM($J39:CU39)</f>
        <v>0</v>
      </c>
      <c r="CV41" s="276">
        <f>+CV24-SUM($J39:CV39)</f>
        <v>0</v>
      </c>
      <c r="CW41" s="276">
        <f>+CW24-SUM($J39:CW39)</f>
        <v>0</v>
      </c>
      <c r="CX41" s="276">
        <f>+CX24-SUM($J39:CX39)</f>
        <v>0</v>
      </c>
      <c r="CY41" s="276">
        <f>+CY24-SUM($J39:CY39)</f>
        <v>0</v>
      </c>
      <c r="CZ41" s="276">
        <f>+CZ24-SUM($J39:CZ39)</f>
        <v>0</v>
      </c>
      <c r="DA41" s="276">
        <f>+DA24-SUM($J39:DA39)</f>
        <v>0</v>
      </c>
      <c r="DB41" s="276">
        <f>+DB24-SUM($J39:DB39)</f>
        <v>0</v>
      </c>
      <c r="DC41" s="276">
        <f>+DC24-SUM($J39:DC39)</f>
        <v>0</v>
      </c>
      <c r="DD41" s="276">
        <f>+DD24-SUM($J39:DD39)</f>
        <v>0</v>
      </c>
      <c r="DE41" s="276">
        <f>+DE24-SUM($J39:DE39)</f>
        <v>0</v>
      </c>
      <c r="DF41" s="276">
        <f>+DF24-SUM($J39:DF39)</f>
        <v>0</v>
      </c>
      <c r="DG41" s="276">
        <f>+DG24-SUM($J39:DG39)</f>
        <v>0</v>
      </c>
      <c r="DH41" s="276">
        <f>+DH24-SUM($J39:DH39)</f>
        <v>0</v>
      </c>
      <c r="DI41" s="276">
        <f>+DI24-SUM($J39:DI39)</f>
        <v>0</v>
      </c>
      <c r="DJ41" s="276">
        <f>+DJ24-SUM($J39:DJ39)</f>
        <v>0</v>
      </c>
      <c r="DK41" s="276">
        <f>+DK24-SUM($J39:DK39)</f>
        <v>0</v>
      </c>
      <c r="DL41" s="276">
        <f>+DL24-SUM($J39:DL39)</f>
        <v>0</v>
      </c>
      <c r="DM41" s="276">
        <f>+DM24-SUM($J39:DM39)</f>
        <v>0</v>
      </c>
      <c r="DN41" s="276">
        <f>+DN24-SUM($J39:DN39)</f>
        <v>0</v>
      </c>
      <c r="DO41" s="276">
        <f>+DO24-SUM($J39:DO39)</f>
        <v>0</v>
      </c>
      <c r="DP41" s="276">
        <f>+DP24-SUM($J39:DP39)</f>
        <v>0</v>
      </c>
      <c r="DQ41" s="276">
        <f>+DQ24-SUM($J39:DQ39)</f>
        <v>0</v>
      </c>
      <c r="DR41" s="276">
        <f>+DR24-SUM($J39:DR39)</f>
        <v>0</v>
      </c>
      <c r="DS41" s="276">
        <f>+DS24-SUM($J39:DS39)</f>
        <v>0</v>
      </c>
      <c r="DT41" s="276">
        <f>+DT24-SUM($J39:DT39)</f>
        <v>0</v>
      </c>
      <c r="DU41" s="276">
        <f>+DU24-SUM($J39:DU39)</f>
        <v>0</v>
      </c>
      <c r="DV41" s="276">
        <f>+DV24-SUM($J39:DV39)</f>
        <v>0</v>
      </c>
      <c r="DW41" s="276">
        <f>+DW24-SUM($J39:DW39)</f>
        <v>0</v>
      </c>
      <c r="DX41" s="276">
        <f>+DX24-SUM($J39:DX39)</f>
        <v>0</v>
      </c>
      <c r="DY41" s="276">
        <f>+DY24-SUM($J39:DY39)</f>
        <v>0</v>
      </c>
    </row>
    <row r="42" thickTop="1"/>
    <row r="45" ht="15.5">
      <c r="B45" s="260" t="s">
        <v>884</v>
      </c>
      <c r="C45" s="260">
        <f>SUM(C47:C56)</f>
        <v>0</v>
      </c>
      <c r="D45" s="277">
        <v>0.29999999999999999</v>
      </c>
      <c r="E45" s="260">
        <f>SUM(E47:E56)</f>
        <v>0</v>
      </c>
      <c r="F45" s="15"/>
      <c r="G45" s="260">
        <f>SUM(G47:G56)</f>
        <v>0</v>
      </c>
      <c r="H45" s="260">
        <f>SUM(H47:H56)</f>
        <v>0</v>
      </c>
      <c r="J45" s="12" t="str">
        <f>+J27</f>
        <v>OTT</v>
      </c>
      <c r="K45" s="12" t="str">
        <f t="shared" ref="K45:BV45" si="32">+K27</f>
        <v>NOV</v>
      </c>
      <c r="L45" s="12" t="str">
        <f t="shared" si="32"/>
        <v>DIC</v>
      </c>
      <c r="M45" s="12" t="str">
        <f t="shared" si="32"/>
        <v>GEN</v>
      </c>
      <c r="N45" s="12" t="str">
        <f t="shared" si="32"/>
        <v>FEB</v>
      </c>
      <c r="O45" s="12" t="str">
        <f t="shared" si="32"/>
        <v>MAR</v>
      </c>
      <c r="P45" s="12" t="str">
        <f t="shared" si="32"/>
        <v>APR</v>
      </c>
      <c r="Q45" s="12" t="str">
        <f t="shared" si="32"/>
        <v>MAG</v>
      </c>
      <c r="R45" s="12" t="str">
        <f t="shared" si="32"/>
        <v>GIU</v>
      </c>
      <c r="S45" s="12" t="str">
        <f t="shared" si="32"/>
        <v>LUG</v>
      </c>
      <c r="T45" s="12" t="str">
        <f t="shared" si="32"/>
        <v>AGO</v>
      </c>
      <c r="U45" s="12" t="str">
        <f t="shared" si="32"/>
        <v>SET</v>
      </c>
      <c r="V45" s="12" t="str">
        <f t="shared" si="32"/>
        <v>OTT</v>
      </c>
      <c r="W45" s="12" t="str">
        <f t="shared" si="32"/>
        <v>NOV</v>
      </c>
      <c r="X45" s="12" t="str">
        <f t="shared" si="32"/>
        <v>DIC</v>
      </c>
      <c r="Y45" s="12" t="str">
        <f t="shared" si="32"/>
        <v>GEN</v>
      </c>
      <c r="Z45" s="12" t="str">
        <f t="shared" si="32"/>
        <v>FEB</v>
      </c>
      <c r="AA45" s="12" t="str">
        <f t="shared" si="32"/>
        <v>MAR</v>
      </c>
      <c r="AB45" s="12" t="str">
        <f t="shared" si="32"/>
        <v>APR</v>
      </c>
      <c r="AC45" s="12" t="str">
        <f t="shared" si="32"/>
        <v>MAG</v>
      </c>
      <c r="AD45" s="12" t="str">
        <f t="shared" si="32"/>
        <v>GIU</v>
      </c>
      <c r="AE45" s="12" t="str">
        <f t="shared" si="32"/>
        <v>LUG</v>
      </c>
      <c r="AF45" s="12" t="str">
        <f t="shared" si="32"/>
        <v>AGO</v>
      </c>
      <c r="AG45" s="12" t="str">
        <f t="shared" si="32"/>
        <v>SET</v>
      </c>
      <c r="AH45" s="12" t="str">
        <f t="shared" si="32"/>
        <v>OTT</v>
      </c>
      <c r="AI45" s="12" t="str">
        <f t="shared" si="32"/>
        <v>NOV</v>
      </c>
      <c r="AJ45" s="12" t="str">
        <f t="shared" si="32"/>
        <v>DIC</v>
      </c>
      <c r="AK45" s="12" t="str">
        <f t="shared" si="32"/>
        <v>GEN</v>
      </c>
      <c r="AL45" s="12" t="str">
        <f t="shared" si="32"/>
        <v>FEB</v>
      </c>
      <c r="AM45" s="12" t="str">
        <f t="shared" si="32"/>
        <v>MAR</v>
      </c>
      <c r="AN45" s="12" t="str">
        <f t="shared" si="32"/>
        <v>APR</v>
      </c>
      <c r="AO45" s="12" t="str">
        <f t="shared" si="32"/>
        <v>MAG</v>
      </c>
      <c r="AP45" s="12" t="str">
        <f t="shared" si="32"/>
        <v>GIU</v>
      </c>
      <c r="AQ45" s="12" t="str">
        <f t="shared" si="32"/>
        <v>LUG</v>
      </c>
      <c r="AR45" s="12" t="str">
        <f t="shared" si="32"/>
        <v>AGO</v>
      </c>
      <c r="AS45" s="12" t="str">
        <f t="shared" si="32"/>
        <v>SET</v>
      </c>
      <c r="AT45" s="12" t="str">
        <f t="shared" si="32"/>
        <v>OTT</v>
      </c>
      <c r="AU45" s="12" t="str">
        <f t="shared" si="32"/>
        <v>NOV</v>
      </c>
      <c r="AV45" s="12" t="str">
        <f t="shared" si="32"/>
        <v>DIC</v>
      </c>
      <c r="AW45" s="12" t="str">
        <f t="shared" si="32"/>
        <v>GEN</v>
      </c>
      <c r="AX45" s="12" t="str">
        <f t="shared" si="32"/>
        <v>FEB</v>
      </c>
      <c r="AY45" s="12" t="str">
        <f t="shared" si="32"/>
        <v>MAR</v>
      </c>
      <c r="AZ45" s="12" t="str">
        <f t="shared" si="32"/>
        <v>APR</v>
      </c>
      <c r="BA45" s="12" t="str">
        <f t="shared" si="32"/>
        <v>MAG</v>
      </c>
      <c r="BB45" s="12" t="str">
        <f t="shared" si="32"/>
        <v>GIU</v>
      </c>
      <c r="BC45" s="12" t="str">
        <f t="shared" si="32"/>
        <v>LUG</v>
      </c>
      <c r="BD45" s="12" t="str">
        <f t="shared" si="32"/>
        <v>AGO</v>
      </c>
      <c r="BE45" s="12" t="str">
        <f t="shared" si="32"/>
        <v>SET</v>
      </c>
      <c r="BF45" s="12" t="str">
        <f t="shared" si="32"/>
        <v>OTT</v>
      </c>
      <c r="BG45" s="12" t="str">
        <f t="shared" si="32"/>
        <v>NOV</v>
      </c>
      <c r="BH45" s="12" t="str">
        <f t="shared" si="32"/>
        <v>DIC</v>
      </c>
      <c r="BI45" s="12" t="str">
        <f t="shared" si="32"/>
        <v>GEN</v>
      </c>
      <c r="BJ45" s="12" t="str">
        <f t="shared" si="32"/>
        <v>FEB</v>
      </c>
      <c r="BK45" s="12" t="str">
        <f t="shared" si="32"/>
        <v>MAR</v>
      </c>
      <c r="BL45" s="12" t="str">
        <f t="shared" si="32"/>
        <v>APR</v>
      </c>
      <c r="BM45" s="12" t="str">
        <f t="shared" si="32"/>
        <v>MAG</v>
      </c>
      <c r="BN45" s="12" t="str">
        <f t="shared" si="32"/>
        <v>GIU</v>
      </c>
      <c r="BO45" s="12" t="str">
        <f t="shared" si="32"/>
        <v>LUG</v>
      </c>
      <c r="BP45" s="12" t="str">
        <f t="shared" si="32"/>
        <v>AGO</v>
      </c>
      <c r="BQ45" s="12" t="str">
        <f t="shared" si="32"/>
        <v>SET</v>
      </c>
      <c r="BR45" s="12" t="str">
        <f t="shared" si="32"/>
        <v>OTT</v>
      </c>
      <c r="BS45" s="12" t="str">
        <f t="shared" si="32"/>
        <v>NOV</v>
      </c>
      <c r="BT45" s="12" t="str">
        <f t="shared" si="32"/>
        <v>DIC</v>
      </c>
      <c r="BU45" s="12" t="str">
        <f t="shared" si="32"/>
        <v>GEN</v>
      </c>
      <c r="BV45" s="12" t="str">
        <f t="shared" si="32"/>
        <v>FEB</v>
      </c>
      <c r="BW45" s="12" t="str">
        <f t="shared" ref="BW45:DY45" si="33">+BW27</f>
        <v>MAR</v>
      </c>
      <c r="BX45" s="12" t="str">
        <f t="shared" si="33"/>
        <v>APR</v>
      </c>
      <c r="BY45" s="12" t="str">
        <f t="shared" si="33"/>
        <v>MAG</v>
      </c>
      <c r="BZ45" s="12" t="str">
        <f t="shared" si="33"/>
        <v>GIU</v>
      </c>
      <c r="CA45" s="12" t="str">
        <f t="shared" si="33"/>
        <v>LUG</v>
      </c>
      <c r="CB45" s="12" t="str">
        <f t="shared" si="33"/>
        <v>AGO</v>
      </c>
      <c r="CC45" s="12" t="str">
        <f t="shared" si="33"/>
        <v>SET</v>
      </c>
      <c r="CD45" s="12" t="str">
        <f t="shared" si="33"/>
        <v>OTT</v>
      </c>
      <c r="CE45" s="12" t="str">
        <f t="shared" si="33"/>
        <v>NOV</v>
      </c>
      <c r="CF45" s="12" t="str">
        <f t="shared" si="33"/>
        <v>DIC</v>
      </c>
      <c r="CG45" s="12" t="str">
        <f t="shared" si="33"/>
        <v>GEN</v>
      </c>
      <c r="CH45" s="12" t="str">
        <f t="shared" si="33"/>
        <v>FEB</v>
      </c>
      <c r="CI45" s="12" t="str">
        <f t="shared" si="33"/>
        <v>MAR</v>
      </c>
      <c r="CJ45" s="12" t="str">
        <f t="shared" si="33"/>
        <v>APR</v>
      </c>
      <c r="CK45" s="12" t="str">
        <f t="shared" si="33"/>
        <v>MAG</v>
      </c>
      <c r="CL45" s="12" t="str">
        <f t="shared" si="33"/>
        <v>GIU</v>
      </c>
      <c r="CM45" s="12" t="str">
        <f t="shared" si="33"/>
        <v>LUG</v>
      </c>
      <c r="CN45" s="12" t="str">
        <f t="shared" si="33"/>
        <v>AGO</v>
      </c>
      <c r="CO45" s="12" t="str">
        <f t="shared" si="33"/>
        <v>SET</v>
      </c>
      <c r="CP45" s="12" t="str">
        <f t="shared" si="33"/>
        <v>OTT</v>
      </c>
      <c r="CQ45" s="12" t="str">
        <f t="shared" si="33"/>
        <v>NOV</v>
      </c>
      <c r="CR45" s="12" t="str">
        <f t="shared" si="33"/>
        <v>DIC</v>
      </c>
      <c r="CS45" s="12" t="str">
        <f t="shared" si="33"/>
        <v>GEN</v>
      </c>
      <c r="CT45" s="12" t="str">
        <f t="shared" si="33"/>
        <v>FEB</v>
      </c>
      <c r="CU45" s="12" t="str">
        <f t="shared" si="33"/>
        <v>MAR</v>
      </c>
      <c r="CV45" s="12" t="str">
        <f t="shared" si="33"/>
        <v>APR</v>
      </c>
      <c r="CW45" s="12" t="str">
        <f t="shared" si="33"/>
        <v>MAG</v>
      </c>
      <c r="CX45" s="12" t="str">
        <f t="shared" si="33"/>
        <v>GIU</v>
      </c>
      <c r="CY45" s="12" t="str">
        <f t="shared" si="33"/>
        <v>LUG</v>
      </c>
      <c r="CZ45" s="12" t="str">
        <f t="shared" si="33"/>
        <v>AGO</v>
      </c>
      <c r="DA45" s="12" t="str">
        <f t="shared" si="33"/>
        <v>SET</v>
      </c>
      <c r="DB45" s="12" t="str">
        <f t="shared" si="33"/>
        <v>OTT</v>
      </c>
      <c r="DC45" s="12" t="str">
        <f t="shared" si="33"/>
        <v>NOV</v>
      </c>
      <c r="DD45" s="12" t="str">
        <f t="shared" si="33"/>
        <v>DIC</v>
      </c>
      <c r="DE45" s="12" t="str">
        <f t="shared" si="33"/>
        <v>GEN</v>
      </c>
      <c r="DF45" s="12" t="str">
        <f t="shared" si="33"/>
        <v>FEB</v>
      </c>
      <c r="DG45" s="12" t="str">
        <f t="shared" si="33"/>
        <v>MAR</v>
      </c>
      <c r="DH45" s="12" t="str">
        <f t="shared" si="33"/>
        <v>APR</v>
      </c>
      <c r="DI45" s="12" t="str">
        <f t="shared" si="33"/>
        <v>MAG</v>
      </c>
      <c r="DJ45" s="12" t="str">
        <f t="shared" si="33"/>
        <v>GIU</v>
      </c>
      <c r="DK45" s="12" t="str">
        <f t="shared" si="33"/>
        <v>LUG</v>
      </c>
      <c r="DL45" s="12" t="str">
        <f t="shared" si="33"/>
        <v>AGO</v>
      </c>
      <c r="DM45" s="12" t="str">
        <f t="shared" si="33"/>
        <v>SET</v>
      </c>
      <c r="DN45" s="12" t="str">
        <f t="shared" si="33"/>
        <v>OTT</v>
      </c>
      <c r="DO45" s="12" t="str">
        <f t="shared" si="33"/>
        <v>NOV</v>
      </c>
      <c r="DP45" s="12" t="str">
        <f t="shared" si="33"/>
        <v>DIC</v>
      </c>
      <c r="DQ45" s="12" t="str">
        <f t="shared" si="33"/>
        <v>GEN</v>
      </c>
      <c r="DR45" s="12" t="str">
        <f t="shared" si="33"/>
        <v>FEB</v>
      </c>
      <c r="DS45" s="12" t="str">
        <f t="shared" si="33"/>
        <v>MAR</v>
      </c>
      <c r="DT45" s="12" t="str">
        <f t="shared" si="33"/>
        <v>APR</v>
      </c>
      <c r="DU45" s="12" t="str">
        <f t="shared" si="33"/>
        <v>MAG</v>
      </c>
      <c r="DV45" s="12" t="str">
        <f t="shared" si="33"/>
        <v>GIU</v>
      </c>
      <c r="DW45" s="12" t="str">
        <f t="shared" si="33"/>
        <v>LUG</v>
      </c>
      <c r="DX45" s="12" t="str">
        <f t="shared" si="33"/>
        <v>AGO</v>
      </c>
      <c r="DY45" s="12" t="str">
        <f t="shared" si="33"/>
        <v>SET</v>
      </c>
    </row>
    <row r="46" ht="14.5">
      <c r="B46" s="103" t="str">
        <f>+Passivo_Tipologie!E18</f>
        <v>Tipologia Creditore</v>
      </c>
      <c r="C46" s="263" t="s">
        <v>849</v>
      </c>
      <c r="D46" s="263" t="s">
        <v>1184</v>
      </c>
      <c r="E46" s="263" t="s">
        <v>896</v>
      </c>
      <c r="F46" s="262" t="s">
        <v>1185</v>
      </c>
      <c r="G46" s="262" t="s">
        <v>1186</v>
      </c>
      <c r="H46" s="262" t="s">
        <v>768</v>
      </c>
      <c r="I46" s="263" t="s">
        <v>955</v>
      </c>
      <c r="J46" s="127">
        <f>+J28</f>
        <v>2025</v>
      </c>
      <c r="K46" s="127">
        <f t="shared" ref="K46:BV46" si="34">+K28</f>
        <v>2025</v>
      </c>
      <c r="L46" s="127">
        <f t="shared" si="34"/>
        <v>2025</v>
      </c>
      <c r="M46" s="127">
        <f t="shared" si="34"/>
        <v>2026</v>
      </c>
      <c r="N46" s="127">
        <f t="shared" si="34"/>
        <v>2026</v>
      </c>
      <c r="O46" s="127">
        <f t="shared" si="34"/>
        <v>2026</v>
      </c>
      <c r="P46" s="127">
        <f t="shared" si="34"/>
        <v>2026</v>
      </c>
      <c r="Q46" s="127">
        <f t="shared" si="34"/>
        <v>2026</v>
      </c>
      <c r="R46" s="127">
        <f t="shared" si="34"/>
        <v>2026</v>
      </c>
      <c r="S46" s="127">
        <f t="shared" si="34"/>
        <v>2026</v>
      </c>
      <c r="T46" s="127">
        <f t="shared" si="34"/>
        <v>2026</v>
      </c>
      <c r="U46" s="127">
        <f t="shared" si="34"/>
        <v>2026</v>
      </c>
      <c r="V46" s="127">
        <f t="shared" si="34"/>
        <v>2026</v>
      </c>
      <c r="W46" s="127">
        <f t="shared" si="34"/>
        <v>2026</v>
      </c>
      <c r="X46" s="127">
        <f t="shared" si="34"/>
        <v>2026</v>
      </c>
      <c r="Y46" s="127">
        <f t="shared" si="34"/>
        <v>2027</v>
      </c>
      <c r="Z46" s="127">
        <f t="shared" si="34"/>
        <v>2027</v>
      </c>
      <c r="AA46" s="127">
        <f t="shared" si="34"/>
        <v>2027</v>
      </c>
      <c r="AB46" s="127">
        <f t="shared" si="34"/>
        <v>2027</v>
      </c>
      <c r="AC46" s="127">
        <f t="shared" si="34"/>
        <v>2027</v>
      </c>
      <c r="AD46" s="127">
        <f t="shared" si="34"/>
        <v>2027</v>
      </c>
      <c r="AE46" s="127">
        <f t="shared" si="34"/>
        <v>2027</v>
      </c>
      <c r="AF46" s="127">
        <f t="shared" si="34"/>
        <v>2027</v>
      </c>
      <c r="AG46" s="127">
        <f t="shared" si="34"/>
        <v>2027</v>
      </c>
      <c r="AH46" s="127">
        <f t="shared" si="34"/>
        <v>2027</v>
      </c>
      <c r="AI46" s="127">
        <f t="shared" si="34"/>
        <v>2027</v>
      </c>
      <c r="AJ46" s="127">
        <f t="shared" si="34"/>
        <v>2027</v>
      </c>
      <c r="AK46" s="127">
        <f t="shared" si="34"/>
        <v>2028</v>
      </c>
      <c r="AL46" s="127">
        <f t="shared" si="34"/>
        <v>2028</v>
      </c>
      <c r="AM46" s="127">
        <f t="shared" si="34"/>
        <v>2028</v>
      </c>
      <c r="AN46" s="127">
        <f t="shared" si="34"/>
        <v>2028</v>
      </c>
      <c r="AO46" s="127">
        <f t="shared" si="34"/>
        <v>2028</v>
      </c>
      <c r="AP46" s="127">
        <f t="shared" si="34"/>
        <v>2028</v>
      </c>
      <c r="AQ46" s="127">
        <f t="shared" si="34"/>
        <v>2028</v>
      </c>
      <c r="AR46" s="127">
        <f t="shared" si="34"/>
        <v>2028</v>
      </c>
      <c r="AS46" s="127">
        <f t="shared" si="34"/>
        <v>2028</v>
      </c>
      <c r="AT46" s="127">
        <f t="shared" si="34"/>
        <v>2028</v>
      </c>
      <c r="AU46" s="127">
        <f t="shared" si="34"/>
        <v>2028</v>
      </c>
      <c r="AV46" s="127">
        <f t="shared" si="34"/>
        <v>2028</v>
      </c>
      <c r="AW46" s="127">
        <f t="shared" si="34"/>
        <v>2029</v>
      </c>
      <c r="AX46" s="127">
        <f t="shared" si="34"/>
        <v>2029</v>
      </c>
      <c r="AY46" s="127">
        <f t="shared" si="34"/>
        <v>2029</v>
      </c>
      <c r="AZ46" s="127">
        <f t="shared" si="34"/>
        <v>2029</v>
      </c>
      <c r="BA46" s="127">
        <f t="shared" si="34"/>
        <v>2029</v>
      </c>
      <c r="BB46" s="127">
        <f t="shared" si="34"/>
        <v>2029</v>
      </c>
      <c r="BC46" s="127">
        <f t="shared" si="34"/>
        <v>2029</v>
      </c>
      <c r="BD46" s="127">
        <f t="shared" si="34"/>
        <v>2029</v>
      </c>
      <c r="BE46" s="127">
        <f t="shared" si="34"/>
        <v>2029</v>
      </c>
      <c r="BF46" s="127">
        <f t="shared" si="34"/>
        <v>2029</v>
      </c>
      <c r="BG46" s="127">
        <f t="shared" si="34"/>
        <v>2029</v>
      </c>
      <c r="BH46" s="127">
        <f t="shared" si="34"/>
        <v>2029</v>
      </c>
      <c r="BI46" s="127">
        <f t="shared" si="34"/>
        <v>2030</v>
      </c>
      <c r="BJ46" s="127">
        <f t="shared" si="34"/>
        <v>2030</v>
      </c>
      <c r="BK46" s="127">
        <f t="shared" si="34"/>
        <v>2030</v>
      </c>
      <c r="BL46" s="127">
        <f t="shared" si="34"/>
        <v>2030</v>
      </c>
      <c r="BM46" s="127">
        <f t="shared" si="34"/>
        <v>2030</v>
      </c>
      <c r="BN46" s="127">
        <f t="shared" si="34"/>
        <v>2030</v>
      </c>
      <c r="BO46" s="127">
        <f t="shared" si="34"/>
        <v>2030</v>
      </c>
      <c r="BP46" s="127">
        <f t="shared" si="34"/>
        <v>2030</v>
      </c>
      <c r="BQ46" s="127">
        <f t="shared" si="34"/>
        <v>2030</v>
      </c>
      <c r="BR46" s="127">
        <f t="shared" si="34"/>
        <v>2030</v>
      </c>
      <c r="BS46" s="127">
        <f t="shared" si="34"/>
        <v>2030</v>
      </c>
      <c r="BT46" s="127">
        <f t="shared" si="34"/>
        <v>2030</v>
      </c>
      <c r="BU46" s="127">
        <f t="shared" si="34"/>
        <v>2031</v>
      </c>
      <c r="BV46" s="127">
        <f t="shared" si="34"/>
        <v>2031</v>
      </c>
      <c r="BW46" s="127">
        <f t="shared" ref="BW46:DY46" si="35">+BW28</f>
        <v>2031</v>
      </c>
      <c r="BX46" s="127">
        <f t="shared" si="35"/>
        <v>2031</v>
      </c>
      <c r="BY46" s="127">
        <f t="shared" si="35"/>
        <v>2031</v>
      </c>
      <c r="BZ46" s="127">
        <f t="shared" si="35"/>
        <v>2031</v>
      </c>
      <c r="CA46" s="127">
        <f t="shared" si="35"/>
        <v>2031</v>
      </c>
      <c r="CB46" s="127">
        <f t="shared" si="35"/>
        <v>2031</v>
      </c>
      <c r="CC46" s="127">
        <f t="shared" si="35"/>
        <v>2031</v>
      </c>
      <c r="CD46" s="127">
        <f t="shared" si="35"/>
        <v>2031</v>
      </c>
      <c r="CE46" s="127">
        <f t="shared" si="35"/>
        <v>2031</v>
      </c>
      <c r="CF46" s="127">
        <f t="shared" si="35"/>
        <v>2031</v>
      </c>
      <c r="CG46" s="127">
        <f t="shared" si="35"/>
        <v>2032</v>
      </c>
      <c r="CH46" s="127">
        <f t="shared" si="35"/>
        <v>2032</v>
      </c>
      <c r="CI46" s="127">
        <f t="shared" si="35"/>
        <v>2032</v>
      </c>
      <c r="CJ46" s="127">
        <f t="shared" si="35"/>
        <v>2032</v>
      </c>
      <c r="CK46" s="127">
        <f t="shared" si="35"/>
        <v>2032</v>
      </c>
      <c r="CL46" s="127">
        <f t="shared" si="35"/>
        <v>2032</v>
      </c>
      <c r="CM46" s="127">
        <f t="shared" si="35"/>
        <v>2032</v>
      </c>
      <c r="CN46" s="127">
        <f t="shared" si="35"/>
        <v>2032</v>
      </c>
      <c r="CO46" s="127">
        <f t="shared" si="35"/>
        <v>2032</v>
      </c>
      <c r="CP46" s="127">
        <f t="shared" si="35"/>
        <v>2032</v>
      </c>
      <c r="CQ46" s="127">
        <f t="shared" si="35"/>
        <v>2032</v>
      </c>
      <c r="CR46" s="127">
        <f t="shared" si="35"/>
        <v>2032</v>
      </c>
      <c r="CS46" s="127">
        <f t="shared" si="35"/>
        <v>2033</v>
      </c>
      <c r="CT46" s="127">
        <f t="shared" si="35"/>
        <v>2033</v>
      </c>
      <c r="CU46" s="127">
        <f t="shared" si="35"/>
        <v>2033</v>
      </c>
      <c r="CV46" s="127">
        <f t="shared" si="35"/>
        <v>2033</v>
      </c>
      <c r="CW46" s="127">
        <f t="shared" si="35"/>
        <v>2033</v>
      </c>
      <c r="CX46" s="127">
        <f t="shared" si="35"/>
        <v>2033</v>
      </c>
      <c r="CY46" s="127">
        <f t="shared" si="35"/>
        <v>2033</v>
      </c>
      <c r="CZ46" s="127">
        <f t="shared" si="35"/>
        <v>2033</v>
      </c>
      <c r="DA46" s="127">
        <f t="shared" si="35"/>
        <v>2033</v>
      </c>
      <c r="DB46" s="127">
        <f t="shared" si="35"/>
        <v>2033</v>
      </c>
      <c r="DC46" s="127">
        <f t="shared" si="35"/>
        <v>2033</v>
      </c>
      <c r="DD46" s="127">
        <f t="shared" si="35"/>
        <v>2033</v>
      </c>
      <c r="DE46" s="127">
        <f t="shared" si="35"/>
        <v>2034</v>
      </c>
      <c r="DF46" s="127">
        <f t="shared" si="35"/>
        <v>2034</v>
      </c>
      <c r="DG46" s="127">
        <f t="shared" si="35"/>
        <v>2034</v>
      </c>
      <c r="DH46" s="127">
        <f t="shared" si="35"/>
        <v>2034</v>
      </c>
      <c r="DI46" s="127">
        <f t="shared" si="35"/>
        <v>2034</v>
      </c>
      <c r="DJ46" s="127">
        <f t="shared" si="35"/>
        <v>2034</v>
      </c>
      <c r="DK46" s="127">
        <f t="shared" si="35"/>
        <v>2034</v>
      </c>
      <c r="DL46" s="127">
        <f t="shared" si="35"/>
        <v>2034</v>
      </c>
      <c r="DM46" s="127">
        <f t="shared" si="35"/>
        <v>2034</v>
      </c>
      <c r="DN46" s="127">
        <f t="shared" si="35"/>
        <v>2034</v>
      </c>
      <c r="DO46" s="127">
        <f t="shared" si="35"/>
        <v>2034</v>
      </c>
      <c r="DP46" s="127">
        <f t="shared" si="35"/>
        <v>2034</v>
      </c>
      <c r="DQ46" s="127">
        <f t="shared" si="35"/>
        <v>2035</v>
      </c>
      <c r="DR46" s="127">
        <f t="shared" si="35"/>
        <v>2035</v>
      </c>
      <c r="DS46" s="127">
        <f t="shared" si="35"/>
        <v>2035</v>
      </c>
      <c r="DT46" s="127">
        <f t="shared" si="35"/>
        <v>2035</v>
      </c>
      <c r="DU46" s="127">
        <f t="shared" si="35"/>
        <v>2035</v>
      </c>
      <c r="DV46" s="127">
        <f t="shared" si="35"/>
        <v>2035</v>
      </c>
      <c r="DW46" s="127">
        <f t="shared" si="35"/>
        <v>2035</v>
      </c>
      <c r="DX46" s="127">
        <f t="shared" si="35"/>
        <v>2035</v>
      </c>
      <c r="DY46" s="127">
        <f t="shared" si="35"/>
        <v>2035</v>
      </c>
    </row>
    <row r="47" ht="14.5">
      <c r="B47" s="103" t="str">
        <f>+Passivo_Tipologie!E19</f>
        <v>0_1_Aderenti _ Accollato</v>
      </c>
      <c r="C47" s="109">
        <f>+SUMIF(Passivo!K:K,B47,Passivo!J:J)</f>
        <v>0</v>
      </c>
      <c r="D47" s="104"/>
      <c r="E47" s="109">
        <f>+C47+D47</f>
        <v>0</v>
      </c>
      <c r="F47" s="136">
        <v>1</v>
      </c>
      <c r="G47" s="109">
        <f t="shared" si="26"/>
        <v>0</v>
      </c>
      <c r="H47" s="109">
        <f t="shared" si="27"/>
        <v>0</v>
      </c>
      <c r="I47" s="268">
        <f t="shared" si="24"/>
        <v>0</v>
      </c>
      <c r="J47" s="278"/>
      <c r="K47" s="278"/>
      <c r="L47" s="278"/>
      <c r="M47" s="278"/>
      <c r="N47" s="278"/>
      <c r="O47" s="278"/>
      <c r="P47" s="278"/>
      <c r="Q47" s="278"/>
      <c r="R47" s="278"/>
      <c r="S47" s="278"/>
      <c r="T47" s="278"/>
      <c r="U47" s="278"/>
      <c r="V47" s="278"/>
      <c r="W47" s="278"/>
      <c r="X47" s="278"/>
      <c r="Y47" s="278"/>
      <c r="Z47" s="278"/>
      <c r="AA47" s="278"/>
      <c r="AB47" s="278"/>
      <c r="AC47" s="278"/>
      <c r="AD47" s="278"/>
      <c r="AE47" s="278"/>
      <c r="AF47" s="278"/>
      <c r="AG47" s="278"/>
      <c r="AH47" s="278"/>
      <c r="AI47" s="278"/>
      <c r="AJ47" s="278"/>
      <c r="AK47" s="278"/>
      <c r="AL47" s="278"/>
      <c r="AM47" s="278"/>
      <c r="AN47" s="278"/>
      <c r="AO47" s="278"/>
      <c r="AP47" s="278"/>
      <c r="AQ47" s="278"/>
      <c r="AR47" s="278"/>
      <c r="AS47" s="278"/>
      <c r="AT47" s="278"/>
      <c r="AU47" s="278"/>
      <c r="AV47" s="278"/>
      <c r="AW47" s="278"/>
      <c r="AX47" s="278"/>
      <c r="AY47" s="278"/>
      <c r="AZ47" s="278"/>
      <c r="BA47" s="278"/>
      <c r="BB47" s="278"/>
      <c r="BC47" s="278"/>
      <c r="BD47" s="278"/>
      <c r="BE47" s="278"/>
      <c r="BF47" s="278"/>
      <c r="BG47" s="278"/>
      <c r="BH47" s="278"/>
      <c r="BI47" s="278"/>
      <c r="BJ47" s="278"/>
      <c r="BK47" s="278"/>
      <c r="BL47" s="278"/>
      <c r="BM47" s="278"/>
      <c r="BN47" s="278"/>
      <c r="BO47" s="278"/>
      <c r="BP47" s="278"/>
      <c r="BQ47" s="278"/>
      <c r="BR47" s="278"/>
      <c r="BS47" s="278"/>
      <c r="BT47" s="278"/>
      <c r="BU47" s="278"/>
      <c r="BV47" s="278"/>
      <c r="BW47" s="278"/>
      <c r="BX47" s="278"/>
      <c r="BY47" s="278"/>
      <c r="BZ47" s="278"/>
      <c r="CA47" s="278"/>
      <c r="CB47" s="278"/>
      <c r="CC47" s="278"/>
      <c r="CD47" s="278"/>
      <c r="CE47" s="278"/>
      <c r="CF47" s="278"/>
      <c r="CG47" s="278"/>
      <c r="CH47" s="278"/>
      <c r="CI47" s="278"/>
      <c r="CJ47" s="278"/>
      <c r="CK47" s="278"/>
      <c r="CL47" s="278"/>
      <c r="CM47" s="278"/>
      <c r="CN47" s="278"/>
      <c r="CO47" s="278"/>
      <c r="CP47" s="278"/>
      <c r="CQ47" s="278"/>
      <c r="CR47" s="278"/>
      <c r="CS47" s="278"/>
      <c r="CT47" s="278"/>
      <c r="CU47" s="278"/>
      <c r="CV47" s="278"/>
      <c r="CW47" s="278"/>
      <c r="CX47" s="278"/>
      <c r="CY47" s="278"/>
      <c r="CZ47" s="278"/>
      <c r="DA47" s="278"/>
      <c r="DB47" s="278"/>
      <c r="DC47" s="278"/>
      <c r="DD47" s="278"/>
      <c r="DE47" s="278"/>
      <c r="DF47" s="278"/>
      <c r="DG47" s="278"/>
      <c r="DH47" s="278"/>
      <c r="DI47" s="278"/>
      <c r="DJ47" s="278"/>
      <c r="DK47" s="278"/>
      <c r="DL47" s="278"/>
      <c r="DM47" s="278"/>
      <c r="DN47" s="278"/>
      <c r="DO47" s="278"/>
      <c r="DP47" s="278"/>
      <c r="DQ47" s="278"/>
      <c r="DR47" s="278"/>
      <c r="DS47" s="278"/>
      <c r="DT47" s="278"/>
      <c r="DU47" s="278"/>
      <c r="DV47" s="278"/>
      <c r="DW47" s="278"/>
      <c r="DX47" s="278"/>
      <c r="DY47" s="278"/>
    </row>
    <row r="48" ht="14.5">
      <c r="B48" s="103" t="str">
        <f>+Passivo_Tipologie!E20</f>
        <v xml:space="preserve">0_2_Aderenti _ </v>
      </c>
      <c r="C48" s="109">
        <f>+SUMIF(Passivo!K:K,B48,Passivo!J:J)</f>
        <v>0</v>
      </c>
      <c r="D48" s="104"/>
      <c r="E48" s="109">
        <f t="shared" ref="E48:E56" si="36">+C48+D48</f>
        <v>0</v>
      </c>
      <c r="F48" s="136">
        <v>1</v>
      </c>
      <c r="G48" s="109">
        <f>+C48*(1-F48)</f>
        <v>0</v>
      </c>
      <c r="H48" s="109">
        <f>+E48-G48</f>
        <v>0</v>
      </c>
      <c r="I48" s="268">
        <f>+H48-SUM(J48:DY48)</f>
        <v>0</v>
      </c>
      <c r="J48" s="266"/>
      <c r="K48" s="266"/>
      <c r="L48" s="266"/>
      <c r="M48" s="266"/>
      <c r="N48" s="266"/>
      <c r="O48" s="266"/>
      <c r="P48" s="266"/>
      <c r="Q48" s="266"/>
      <c r="R48" s="266"/>
      <c r="S48" s="266"/>
      <c r="T48" s="266"/>
      <c r="U48" s="266"/>
      <c r="V48" s="266"/>
      <c r="W48" s="266"/>
      <c r="X48" s="266"/>
      <c r="Y48" s="266"/>
      <c r="Z48" s="266"/>
      <c r="AA48" s="266"/>
      <c r="AB48" s="266"/>
      <c r="AC48" s="278"/>
      <c r="AD48" s="278"/>
      <c r="AE48" s="278"/>
      <c r="AF48" s="278"/>
      <c r="AG48" s="278"/>
      <c r="AH48" s="278"/>
      <c r="AI48" s="278"/>
      <c r="AJ48" s="278"/>
      <c r="AK48" s="278"/>
      <c r="AL48" s="278"/>
      <c r="AM48" s="278"/>
      <c r="AN48" s="278"/>
      <c r="AO48" s="278"/>
      <c r="AP48" s="278"/>
      <c r="AQ48" s="278"/>
      <c r="AR48" s="278"/>
      <c r="AS48" s="278"/>
      <c r="AT48" s="278"/>
      <c r="AU48" s="278"/>
      <c r="AV48" s="278"/>
      <c r="AW48" s="278"/>
      <c r="AX48" s="278"/>
      <c r="AY48" s="278"/>
      <c r="AZ48" s="278"/>
      <c r="BA48" s="278"/>
      <c r="BB48" s="278"/>
      <c r="BC48" s="278"/>
      <c r="BD48" s="278"/>
      <c r="BE48" s="278"/>
      <c r="BF48" s="278"/>
      <c r="BG48" s="278"/>
      <c r="BH48" s="278"/>
      <c r="BI48" s="278"/>
      <c r="BJ48" s="278"/>
      <c r="BK48" s="278"/>
      <c r="BL48" s="278"/>
      <c r="BM48" s="278"/>
      <c r="BN48" s="278"/>
      <c r="BO48" s="278"/>
      <c r="BP48" s="278"/>
      <c r="BQ48" s="278"/>
      <c r="BR48" s="278"/>
      <c r="BS48" s="278"/>
      <c r="BT48" s="278"/>
      <c r="BU48" s="278"/>
      <c r="BV48" s="278"/>
      <c r="BW48" s="278"/>
      <c r="BX48" s="278"/>
      <c r="BY48" s="278"/>
      <c r="BZ48" s="278"/>
      <c r="CA48" s="278"/>
      <c r="CB48" s="278"/>
      <c r="CC48" s="278"/>
      <c r="CD48" s="278"/>
      <c r="CE48" s="278"/>
      <c r="CF48" s="278"/>
      <c r="CG48" s="278"/>
      <c r="CH48" s="278"/>
      <c r="CI48" s="278"/>
      <c r="CJ48" s="278"/>
      <c r="CK48" s="278"/>
      <c r="CL48" s="278"/>
      <c r="CM48" s="278"/>
      <c r="CN48" s="278"/>
      <c r="CO48" s="278"/>
      <c r="CP48" s="278"/>
      <c r="CQ48" s="278"/>
      <c r="CR48" s="278"/>
      <c r="CS48" s="278"/>
      <c r="CT48" s="278"/>
      <c r="CU48" s="278"/>
      <c r="CV48" s="278"/>
      <c r="CW48" s="278"/>
      <c r="CX48" s="278"/>
      <c r="CY48" s="278"/>
      <c r="CZ48" s="278"/>
      <c r="DA48" s="278"/>
      <c r="DB48" s="278"/>
      <c r="DC48" s="278"/>
      <c r="DD48" s="278"/>
      <c r="DE48" s="278"/>
      <c r="DF48" s="278"/>
      <c r="DG48" s="278"/>
      <c r="DH48" s="278"/>
      <c r="DI48" s="278"/>
      <c r="DJ48" s="278"/>
      <c r="DK48" s="278"/>
      <c r="DL48" s="278"/>
      <c r="DM48" s="278"/>
      <c r="DN48" s="278"/>
      <c r="DO48" s="278"/>
      <c r="DP48" s="278"/>
      <c r="DQ48" s="278"/>
      <c r="DR48" s="278"/>
      <c r="DS48" s="278"/>
      <c r="DT48" s="278"/>
      <c r="DU48" s="278"/>
      <c r="DV48" s="278"/>
      <c r="DW48" s="278"/>
      <c r="DX48" s="278"/>
      <c r="DY48" s="278"/>
    </row>
    <row r="49" ht="14.5">
      <c r="B49" s="103" t="str">
        <f>+Passivo_Tipologie!E21</f>
        <v xml:space="preserve">0_3_Aderenti _ </v>
      </c>
      <c r="C49" s="109">
        <f>+SUMIF(Passivo!K:K,B49,Passivo!J:J)</f>
        <v>0</v>
      </c>
      <c r="D49" s="104"/>
      <c r="E49" s="109">
        <f t="shared" si="36"/>
        <v>0</v>
      </c>
      <c r="F49" s="136">
        <v>1</v>
      </c>
      <c r="G49" s="109">
        <f t="shared" si="26"/>
        <v>0</v>
      </c>
      <c r="H49" s="109">
        <f t="shared" si="27"/>
        <v>0</v>
      </c>
      <c r="I49" s="279">
        <f t="shared" si="24"/>
        <v>0</v>
      </c>
      <c r="J49" s="266"/>
      <c r="K49" s="266"/>
      <c r="L49" s="266"/>
      <c r="M49" s="266"/>
      <c r="N49" s="266"/>
      <c r="O49" s="266"/>
      <c r="P49" s="266"/>
      <c r="Q49" s="266"/>
      <c r="R49" s="266"/>
      <c r="S49" s="266"/>
      <c r="T49" s="266"/>
      <c r="U49" s="278"/>
      <c r="V49" s="278"/>
      <c r="W49" s="278"/>
      <c r="X49" s="278"/>
      <c r="Y49" s="278"/>
      <c r="Z49" s="278"/>
      <c r="AA49" s="278"/>
      <c r="AB49" s="278"/>
      <c r="AC49" s="278"/>
      <c r="AD49" s="278"/>
      <c r="AE49" s="278"/>
      <c r="AF49" s="278"/>
      <c r="AG49" s="278"/>
      <c r="AH49" s="278"/>
      <c r="AI49" s="278"/>
      <c r="AJ49" s="278"/>
      <c r="AK49" s="278"/>
      <c r="AL49" s="278"/>
      <c r="AM49" s="278"/>
      <c r="AN49" s="278"/>
      <c r="AO49" s="278"/>
      <c r="AP49" s="278"/>
      <c r="AQ49" s="278"/>
      <c r="AR49" s="278"/>
      <c r="AS49" s="278"/>
      <c r="AT49" s="278"/>
      <c r="AU49" s="278"/>
      <c r="AV49" s="278"/>
      <c r="AW49" s="278"/>
      <c r="AX49" s="278"/>
      <c r="AY49" s="278"/>
      <c r="AZ49" s="278"/>
      <c r="BA49" s="278"/>
      <c r="BB49" s="278"/>
      <c r="BC49" s="278"/>
      <c r="BD49" s="278"/>
      <c r="BE49" s="278"/>
      <c r="BF49" s="278"/>
      <c r="BG49" s="278"/>
      <c r="BH49" s="278"/>
      <c r="BI49" s="278"/>
      <c r="BJ49" s="278"/>
      <c r="BK49" s="278"/>
      <c r="BL49" s="278"/>
      <c r="BM49" s="278"/>
      <c r="BN49" s="278"/>
      <c r="BO49" s="278"/>
      <c r="BP49" s="278"/>
      <c r="BQ49" s="278"/>
      <c r="BR49" s="278"/>
      <c r="BS49" s="278"/>
      <c r="BT49" s="278"/>
      <c r="BU49" s="278"/>
      <c r="BV49" s="278"/>
      <c r="BW49" s="278"/>
      <c r="BX49" s="278"/>
      <c r="BY49" s="278"/>
      <c r="BZ49" s="278"/>
      <c r="CA49" s="278"/>
      <c r="CB49" s="278"/>
      <c r="CC49" s="278"/>
      <c r="CD49" s="278"/>
      <c r="CE49" s="278"/>
      <c r="CF49" s="278"/>
      <c r="CG49" s="278"/>
      <c r="CH49" s="278"/>
      <c r="CI49" s="278"/>
      <c r="CJ49" s="278"/>
      <c r="CK49" s="278"/>
      <c r="CL49" s="278"/>
      <c r="CM49" s="278"/>
      <c r="CN49" s="278"/>
      <c r="CO49" s="278"/>
      <c r="CP49" s="278"/>
      <c r="CQ49" s="278"/>
      <c r="CR49" s="278"/>
      <c r="CS49" s="278"/>
      <c r="CT49" s="278"/>
      <c r="CU49" s="278"/>
      <c r="CV49" s="278"/>
      <c r="CW49" s="278"/>
      <c r="CX49" s="278"/>
      <c r="CY49" s="278"/>
      <c r="CZ49" s="278"/>
      <c r="DA49" s="278"/>
      <c r="DB49" s="278"/>
      <c r="DC49" s="278"/>
      <c r="DD49" s="278"/>
      <c r="DE49" s="278"/>
      <c r="DF49" s="278"/>
      <c r="DG49" s="278"/>
      <c r="DH49" s="278"/>
      <c r="DI49" s="278"/>
      <c r="DJ49" s="278"/>
      <c r="DK49" s="278"/>
      <c r="DL49" s="278"/>
      <c r="DM49" s="278"/>
      <c r="DN49" s="278"/>
      <c r="DO49" s="278"/>
      <c r="DP49" s="278"/>
      <c r="DQ49" s="278"/>
      <c r="DR49" s="278"/>
      <c r="DS49" s="278"/>
      <c r="DT49" s="278"/>
      <c r="DU49" s="278"/>
      <c r="DV49" s="278"/>
      <c r="DW49" s="278"/>
      <c r="DX49" s="278"/>
      <c r="DY49" s="278"/>
    </row>
    <row r="50" ht="14.5">
      <c r="B50" s="103" t="str">
        <f>+Passivo_Tipologie!E22</f>
        <v xml:space="preserve">0_4_Aderenti _ </v>
      </c>
      <c r="C50" s="109">
        <f>+SUMIF(Passivo!K:K,B50,Passivo!J:J)</f>
        <v>0</v>
      </c>
      <c r="D50" s="104"/>
      <c r="E50" s="109">
        <f t="shared" si="36"/>
        <v>0</v>
      </c>
      <c r="F50" s="136">
        <v>1</v>
      </c>
      <c r="G50" s="109">
        <f t="shared" si="26"/>
        <v>0</v>
      </c>
      <c r="H50" s="109">
        <f t="shared" si="27"/>
        <v>0</v>
      </c>
      <c r="I50" s="279">
        <f t="shared" si="24"/>
        <v>0</v>
      </c>
      <c r="J50" s="266"/>
      <c r="K50" s="266"/>
      <c r="L50" s="266"/>
      <c r="M50" s="266"/>
      <c r="N50" s="266"/>
      <c r="O50" s="266"/>
      <c r="P50" s="266"/>
      <c r="Q50" s="266"/>
      <c r="R50" s="266"/>
      <c r="S50" s="266"/>
      <c r="T50" s="266"/>
      <c r="U50" s="278"/>
      <c r="V50" s="278"/>
      <c r="W50" s="278"/>
      <c r="X50" s="278"/>
      <c r="Y50" s="278"/>
      <c r="Z50" s="278"/>
      <c r="AA50" s="278"/>
      <c r="AB50" s="278"/>
      <c r="AC50" s="278"/>
      <c r="AD50" s="278"/>
      <c r="AE50" s="278"/>
      <c r="AF50" s="278"/>
      <c r="AG50" s="278"/>
      <c r="AH50" s="278"/>
      <c r="AI50" s="278"/>
      <c r="AJ50" s="278"/>
      <c r="AK50" s="278"/>
      <c r="AL50" s="278"/>
      <c r="AM50" s="278"/>
      <c r="AN50" s="278"/>
      <c r="AO50" s="278"/>
      <c r="AP50" s="278"/>
      <c r="AQ50" s="278"/>
      <c r="AR50" s="278"/>
      <c r="AS50" s="278"/>
      <c r="AT50" s="278"/>
      <c r="AU50" s="278"/>
      <c r="AV50" s="278"/>
      <c r="AW50" s="278"/>
      <c r="AX50" s="278"/>
      <c r="AY50" s="278"/>
      <c r="AZ50" s="278"/>
      <c r="BA50" s="278"/>
      <c r="BB50" s="278"/>
      <c r="BC50" s="278"/>
      <c r="BD50" s="278"/>
      <c r="BE50" s="278"/>
      <c r="BF50" s="278"/>
      <c r="BG50" s="278"/>
      <c r="BH50" s="278"/>
      <c r="BI50" s="278"/>
      <c r="BJ50" s="278"/>
      <c r="BK50" s="278"/>
      <c r="BL50" s="278"/>
      <c r="BM50" s="278"/>
      <c r="BN50" s="278"/>
      <c r="BO50" s="278"/>
      <c r="BP50" s="278"/>
      <c r="BQ50" s="278"/>
      <c r="BR50" s="278"/>
      <c r="BS50" s="278"/>
      <c r="BT50" s="278"/>
      <c r="BU50" s="278"/>
      <c r="BV50" s="278"/>
      <c r="BW50" s="278"/>
      <c r="BX50" s="278"/>
      <c r="BY50" s="278"/>
      <c r="BZ50" s="278"/>
      <c r="CA50" s="278"/>
      <c r="CB50" s="278"/>
      <c r="CC50" s="278"/>
      <c r="CD50" s="278"/>
      <c r="CE50" s="278"/>
      <c r="CF50" s="278"/>
      <c r="CG50" s="278"/>
      <c r="CH50" s="278"/>
      <c r="CI50" s="278"/>
      <c r="CJ50" s="278"/>
      <c r="CK50" s="278"/>
      <c r="CL50" s="278"/>
      <c r="CM50" s="278"/>
      <c r="CN50" s="278"/>
      <c r="CO50" s="278"/>
      <c r="CP50" s="278"/>
      <c r="CQ50" s="278"/>
      <c r="CR50" s="278"/>
      <c r="CS50" s="278"/>
      <c r="CT50" s="278"/>
      <c r="CU50" s="278"/>
      <c r="CV50" s="278"/>
      <c r="CW50" s="278"/>
      <c r="CX50" s="278"/>
      <c r="CY50" s="278"/>
      <c r="CZ50" s="278"/>
      <c r="DA50" s="278"/>
      <c r="DB50" s="278"/>
      <c r="DC50" s="278"/>
      <c r="DD50" s="278"/>
      <c r="DE50" s="278"/>
      <c r="DF50" s="278"/>
      <c r="DG50" s="278"/>
      <c r="DH50" s="278"/>
      <c r="DI50" s="278"/>
      <c r="DJ50" s="278"/>
      <c r="DK50" s="278"/>
      <c r="DL50" s="278"/>
      <c r="DM50" s="278"/>
      <c r="DN50" s="278"/>
      <c r="DO50" s="278"/>
      <c r="DP50" s="278"/>
      <c r="DQ50" s="278"/>
      <c r="DR50" s="278"/>
      <c r="DS50" s="278"/>
      <c r="DT50" s="278"/>
      <c r="DU50" s="278"/>
      <c r="DV50" s="278"/>
      <c r="DW50" s="278"/>
      <c r="DX50" s="278"/>
      <c r="DY50" s="278"/>
    </row>
    <row r="51" ht="14.5">
      <c r="B51" s="103" t="str">
        <f>+Passivo_Tipologie!E23</f>
        <v xml:space="preserve">0_5_Aderenti _ </v>
      </c>
      <c r="C51" s="109">
        <f>+SUMIF(Passivo!K:K,B51,Passivo!J:J)</f>
        <v>0</v>
      </c>
      <c r="D51" s="104"/>
      <c r="E51" s="109">
        <f t="shared" si="36"/>
        <v>0</v>
      </c>
      <c r="F51" s="136">
        <v>1</v>
      </c>
      <c r="G51" s="109">
        <f t="shared" si="26"/>
        <v>0</v>
      </c>
      <c r="H51" s="109">
        <f t="shared" si="27"/>
        <v>0</v>
      </c>
      <c r="I51" s="279">
        <f t="shared" si="24"/>
        <v>0</v>
      </c>
      <c r="J51" s="266"/>
      <c r="K51" s="266"/>
      <c r="L51" s="266"/>
      <c r="M51" s="266"/>
      <c r="N51" s="266"/>
      <c r="O51" s="266"/>
      <c r="P51" s="266"/>
      <c r="Q51" s="266"/>
      <c r="R51" s="266"/>
      <c r="S51" s="266"/>
      <c r="T51" s="266"/>
      <c r="U51" s="278"/>
      <c r="V51" s="278"/>
      <c r="W51" s="278"/>
      <c r="X51" s="278"/>
      <c r="Y51" s="278"/>
      <c r="Z51" s="278"/>
      <c r="AA51" s="278"/>
      <c r="AB51" s="278"/>
      <c r="AC51" s="278"/>
      <c r="AD51" s="278"/>
      <c r="AE51" s="278"/>
      <c r="AF51" s="278"/>
      <c r="AG51" s="278"/>
      <c r="AH51" s="278"/>
      <c r="AI51" s="278"/>
      <c r="AJ51" s="278"/>
      <c r="AK51" s="278"/>
      <c r="AL51" s="278"/>
      <c r="AM51" s="278"/>
      <c r="AN51" s="278"/>
      <c r="AO51" s="278"/>
      <c r="AP51" s="278"/>
      <c r="AQ51" s="278"/>
      <c r="AR51" s="278"/>
      <c r="AS51" s="278"/>
      <c r="AT51" s="278"/>
      <c r="AU51" s="278"/>
      <c r="AV51" s="278"/>
      <c r="AW51" s="278"/>
      <c r="AX51" s="278"/>
      <c r="AY51" s="278"/>
      <c r="AZ51" s="278"/>
      <c r="BA51" s="278"/>
      <c r="BB51" s="278"/>
      <c r="BC51" s="278"/>
      <c r="BD51" s="278"/>
      <c r="BE51" s="278"/>
      <c r="BF51" s="278"/>
      <c r="BG51" s="278"/>
      <c r="BH51" s="278"/>
      <c r="BI51" s="278"/>
      <c r="BJ51" s="278"/>
      <c r="BK51" s="278"/>
      <c r="BL51" s="278"/>
      <c r="BM51" s="278"/>
      <c r="BN51" s="278"/>
      <c r="BO51" s="278"/>
      <c r="BP51" s="278"/>
      <c r="BQ51" s="278"/>
      <c r="BR51" s="278"/>
      <c r="BS51" s="278"/>
      <c r="BT51" s="278"/>
      <c r="BU51" s="278"/>
      <c r="BV51" s="278"/>
      <c r="BW51" s="278"/>
      <c r="BX51" s="278"/>
      <c r="BY51" s="278"/>
      <c r="BZ51" s="278"/>
      <c r="CA51" s="278"/>
      <c r="CB51" s="278"/>
      <c r="CC51" s="278"/>
      <c r="CD51" s="278"/>
      <c r="CE51" s="278"/>
      <c r="CF51" s="278"/>
      <c r="CG51" s="278"/>
      <c r="CH51" s="278"/>
      <c r="CI51" s="278"/>
      <c r="CJ51" s="278"/>
      <c r="CK51" s="278"/>
      <c r="CL51" s="278"/>
      <c r="CM51" s="278"/>
      <c r="CN51" s="278"/>
      <c r="CO51" s="278"/>
      <c r="CP51" s="278"/>
      <c r="CQ51" s="278"/>
      <c r="CR51" s="278"/>
      <c r="CS51" s="278"/>
      <c r="CT51" s="278"/>
      <c r="CU51" s="278"/>
      <c r="CV51" s="278"/>
      <c r="CW51" s="278"/>
      <c r="CX51" s="278"/>
      <c r="CY51" s="278"/>
      <c r="CZ51" s="278"/>
      <c r="DA51" s="278"/>
      <c r="DB51" s="278"/>
      <c r="DC51" s="278"/>
      <c r="DD51" s="278"/>
      <c r="DE51" s="278"/>
      <c r="DF51" s="278"/>
      <c r="DG51" s="278"/>
      <c r="DH51" s="278"/>
      <c r="DI51" s="278"/>
      <c r="DJ51" s="278"/>
      <c r="DK51" s="278"/>
      <c r="DL51" s="278"/>
      <c r="DM51" s="278"/>
      <c r="DN51" s="278"/>
      <c r="DO51" s="278"/>
      <c r="DP51" s="278"/>
      <c r="DQ51" s="278"/>
      <c r="DR51" s="278"/>
      <c r="DS51" s="278"/>
      <c r="DT51" s="278"/>
      <c r="DU51" s="278"/>
      <c r="DV51" s="278"/>
      <c r="DW51" s="278"/>
      <c r="DX51" s="278"/>
      <c r="DY51" s="278"/>
    </row>
    <row r="52" ht="14.5">
      <c r="B52" s="103" t="str">
        <f>+Passivo_Tipologie!E24</f>
        <v xml:space="preserve">0_6_Aderenti _ </v>
      </c>
      <c r="C52" s="109">
        <f>+SUMIF(Passivo!K:K,B52,Passivo!J:J)</f>
        <v>0</v>
      </c>
      <c r="D52" s="104"/>
      <c r="E52" s="109">
        <f t="shared" si="36"/>
        <v>0</v>
      </c>
      <c r="F52" s="136">
        <v>1</v>
      </c>
      <c r="G52" s="109">
        <f t="shared" si="26"/>
        <v>0</v>
      </c>
      <c r="H52" s="109">
        <f t="shared" si="27"/>
        <v>0</v>
      </c>
      <c r="I52" s="279">
        <f t="shared" si="24"/>
        <v>0</v>
      </c>
      <c r="J52" s="266"/>
      <c r="K52" s="266"/>
      <c r="L52" s="266"/>
      <c r="M52" s="266"/>
      <c r="N52" s="266"/>
      <c r="O52" s="266"/>
      <c r="P52" s="266"/>
      <c r="Q52" s="266"/>
      <c r="R52" s="266"/>
      <c r="S52" s="266"/>
      <c r="T52" s="266"/>
      <c r="U52" s="278"/>
      <c r="V52" s="278"/>
      <c r="W52" s="278"/>
      <c r="X52" s="278"/>
      <c r="Y52" s="278"/>
      <c r="Z52" s="278"/>
      <c r="AA52" s="278"/>
      <c r="AB52" s="278"/>
      <c r="AC52" s="278"/>
      <c r="AD52" s="278"/>
      <c r="AE52" s="278"/>
      <c r="AF52" s="278"/>
      <c r="AG52" s="278"/>
      <c r="AH52" s="278"/>
      <c r="AI52" s="278"/>
      <c r="AJ52" s="278"/>
      <c r="AK52" s="278"/>
      <c r="AL52" s="278"/>
      <c r="AM52" s="278"/>
      <c r="AN52" s="278"/>
      <c r="AO52" s="278"/>
      <c r="AP52" s="278"/>
      <c r="AQ52" s="278"/>
      <c r="AR52" s="278"/>
      <c r="AS52" s="278"/>
      <c r="AT52" s="278"/>
      <c r="AU52" s="278"/>
      <c r="AV52" s="278"/>
      <c r="AW52" s="278"/>
      <c r="AX52" s="278"/>
      <c r="AY52" s="278"/>
      <c r="AZ52" s="278"/>
      <c r="BA52" s="278"/>
      <c r="BB52" s="278"/>
      <c r="BC52" s="278"/>
      <c r="BD52" s="278"/>
      <c r="BE52" s="278"/>
      <c r="BF52" s="278"/>
      <c r="BG52" s="278"/>
      <c r="BH52" s="278"/>
      <c r="BI52" s="278"/>
      <c r="BJ52" s="278"/>
      <c r="BK52" s="278"/>
      <c r="BL52" s="278"/>
      <c r="BM52" s="278"/>
      <c r="BN52" s="278"/>
      <c r="BO52" s="278"/>
      <c r="BP52" s="278"/>
      <c r="BQ52" s="278"/>
      <c r="BR52" s="278"/>
      <c r="BS52" s="278"/>
      <c r="BT52" s="278"/>
      <c r="BU52" s="278"/>
      <c r="BV52" s="278"/>
      <c r="BW52" s="278"/>
      <c r="BX52" s="278"/>
      <c r="BY52" s="278"/>
      <c r="BZ52" s="278"/>
      <c r="CA52" s="278"/>
      <c r="CB52" s="278"/>
      <c r="CC52" s="278"/>
      <c r="CD52" s="278"/>
      <c r="CE52" s="278"/>
      <c r="CF52" s="278"/>
      <c r="CG52" s="278"/>
      <c r="CH52" s="278"/>
      <c r="CI52" s="278"/>
      <c r="CJ52" s="278"/>
      <c r="CK52" s="278"/>
      <c r="CL52" s="278"/>
      <c r="CM52" s="278"/>
      <c r="CN52" s="278"/>
      <c r="CO52" s="278"/>
      <c r="CP52" s="278"/>
      <c r="CQ52" s="278"/>
      <c r="CR52" s="278"/>
      <c r="CS52" s="278"/>
      <c r="CT52" s="278"/>
      <c r="CU52" s="278"/>
      <c r="CV52" s="278"/>
      <c r="CW52" s="278"/>
      <c r="CX52" s="278"/>
      <c r="CY52" s="278"/>
      <c r="CZ52" s="278"/>
      <c r="DA52" s="278"/>
      <c r="DB52" s="278"/>
      <c r="DC52" s="278"/>
      <c r="DD52" s="278"/>
      <c r="DE52" s="278"/>
      <c r="DF52" s="278"/>
      <c r="DG52" s="278"/>
      <c r="DH52" s="278"/>
      <c r="DI52" s="278"/>
      <c r="DJ52" s="278"/>
      <c r="DK52" s="278"/>
      <c r="DL52" s="278"/>
      <c r="DM52" s="278"/>
      <c r="DN52" s="278"/>
      <c r="DO52" s="278"/>
      <c r="DP52" s="278"/>
      <c r="DQ52" s="278"/>
      <c r="DR52" s="278"/>
      <c r="DS52" s="278"/>
      <c r="DT52" s="278"/>
      <c r="DU52" s="278"/>
      <c r="DV52" s="278"/>
      <c r="DW52" s="278"/>
      <c r="DX52" s="278"/>
      <c r="DY52" s="278"/>
    </row>
    <row r="53" ht="14.5">
      <c r="B53" s="103" t="str">
        <f>+Passivo_Tipologie!E25</f>
        <v xml:space="preserve">0_7_Aderenti _ </v>
      </c>
      <c r="C53" s="109">
        <f>+SUMIF(Passivo!K:K,B53,Passivo!J:J)</f>
        <v>0</v>
      </c>
      <c r="D53" s="104"/>
      <c r="E53" s="109">
        <f t="shared" si="36"/>
        <v>0</v>
      </c>
      <c r="F53" s="136">
        <v>1</v>
      </c>
      <c r="G53" s="109">
        <f t="shared" si="26"/>
        <v>0</v>
      </c>
      <c r="H53" s="109">
        <f t="shared" si="27"/>
        <v>0</v>
      </c>
      <c r="I53" s="279">
        <f t="shared" si="24"/>
        <v>0</v>
      </c>
      <c r="J53" s="266"/>
      <c r="K53" s="266"/>
      <c r="L53" s="266"/>
      <c r="M53" s="266"/>
      <c r="N53" s="266"/>
      <c r="O53" s="266"/>
      <c r="P53" s="266"/>
      <c r="Q53" s="266"/>
      <c r="R53" s="266"/>
      <c r="S53" s="266"/>
      <c r="T53" s="266"/>
      <c r="U53" s="278"/>
      <c r="V53" s="278"/>
      <c r="W53" s="278"/>
      <c r="X53" s="278"/>
      <c r="Y53" s="278"/>
      <c r="Z53" s="278"/>
      <c r="AA53" s="278"/>
      <c r="AB53" s="278"/>
      <c r="AC53" s="278"/>
      <c r="AD53" s="278"/>
      <c r="AE53" s="278"/>
      <c r="AF53" s="278"/>
      <c r="AG53" s="278"/>
      <c r="AH53" s="278"/>
      <c r="AI53" s="278"/>
      <c r="AJ53" s="278"/>
      <c r="AK53" s="278"/>
      <c r="AL53" s="278"/>
      <c r="AM53" s="278"/>
      <c r="AN53" s="278"/>
      <c r="AO53" s="278"/>
      <c r="AP53" s="278"/>
      <c r="AQ53" s="278"/>
      <c r="AR53" s="278"/>
      <c r="AS53" s="278"/>
      <c r="AT53" s="278"/>
      <c r="AU53" s="278"/>
      <c r="AV53" s="278"/>
      <c r="AW53" s="278"/>
      <c r="AX53" s="278"/>
      <c r="AY53" s="278"/>
      <c r="AZ53" s="278"/>
      <c r="BA53" s="278"/>
      <c r="BB53" s="278"/>
      <c r="BC53" s="278"/>
      <c r="BD53" s="278"/>
      <c r="BE53" s="278"/>
      <c r="BF53" s="278"/>
      <c r="BG53" s="278"/>
      <c r="BH53" s="278"/>
      <c r="BI53" s="278"/>
      <c r="BJ53" s="278"/>
      <c r="BK53" s="278"/>
      <c r="BL53" s="278"/>
      <c r="BM53" s="278"/>
      <c r="BN53" s="278"/>
      <c r="BO53" s="278"/>
      <c r="BP53" s="278"/>
      <c r="BQ53" s="278"/>
      <c r="BR53" s="278"/>
      <c r="BS53" s="278"/>
      <c r="BT53" s="278"/>
      <c r="BU53" s="278"/>
      <c r="BV53" s="278"/>
      <c r="BW53" s="278"/>
      <c r="BX53" s="278"/>
      <c r="BY53" s="278"/>
      <c r="BZ53" s="278"/>
      <c r="CA53" s="278"/>
      <c r="CB53" s="278"/>
      <c r="CC53" s="278"/>
      <c r="CD53" s="278"/>
      <c r="CE53" s="278"/>
      <c r="CF53" s="278"/>
      <c r="CG53" s="278"/>
      <c r="CH53" s="278"/>
      <c r="CI53" s="278"/>
      <c r="CJ53" s="278"/>
      <c r="CK53" s="278"/>
      <c r="CL53" s="278"/>
      <c r="CM53" s="278"/>
      <c r="CN53" s="278"/>
      <c r="CO53" s="278"/>
      <c r="CP53" s="278"/>
      <c r="CQ53" s="278"/>
      <c r="CR53" s="278"/>
      <c r="CS53" s="278"/>
      <c r="CT53" s="278"/>
      <c r="CU53" s="278"/>
      <c r="CV53" s="278"/>
      <c r="CW53" s="278"/>
      <c r="CX53" s="278"/>
      <c r="CY53" s="278"/>
      <c r="CZ53" s="278"/>
      <c r="DA53" s="278"/>
      <c r="DB53" s="278"/>
      <c r="DC53" s="278"/>
      <c r="DD53" s="278"/>
      <c r="DE53" s="278"/>
      <c r="DF53" s="278"/>
      <c r="DG53" s="278"/>
      <c r="DH53" s="278"/>
      <c r="DI53" s="278"/>
      <c r="DJ53" s="278"/>
      <c r="DK53" s="278"/>
      <c r="DL53" s="278"/>
      <c r="DM53" s="278"/>
      <c r="DN53" s="278"/>
      <c r="DO53" s="278"/>
      <c r="DP53" s="278"/>
      <c r="DQ53" s="278"/>
      <c r="DR53" s="278"/>
      <c r="DS53" s="278"/>
      <c r="DT53" s="278"/>
      <c r="DU53" s="278"/>
      <c r="DV53" s="278"/>
      <c r="DW53" s="278"/>
      <c r="DX53" s="278"/>
      <c r="DY53" s="278"/>
    </row>
    <row r="54" ht="14.5">
      <c r="B54" s="103" t="str">
        <f>+Passivo_Tipologie!E26</f>
        <v xml:space="preserve">0_8_Aderenti _ </v>
      </c>
      <c r="C54" s="109">
        <f>+SUMIF(Passivo!K:K,B54,Passivo!J:J)</f>
        <v>0</v>
      </c>
      <c r="D54" s="104"/>
      <c r="E54" s="109">
        <f t="shared" si="36"/>
        <v>0</v>
      </c>
      <c r="F54" s="136">
        <v>1</v>
      </c>
      <c r="G54" s="109">
        <f t="shared" si="26"/>
        <v>0</v>
      </c>
      <c r="H54" s="109">
        <f t="shared" si="27"/>
        <v>0</v>
      </c>
      <c r="I54" s="279">
        <f t="shared" si="24"/>
        <v>0</v>
      </c>
      <c r="J54" s="266"/>
      <c r="K54" s="266"/>
      <c r="L54" s="266"/>
      <c r="M54" s="266"/>
      <c r="N54" s="266"/>
      <c r="O54" s="266"/>
      <c r="P54" s="266"/>
      <c r="Q54" s="266"/>
      <c r="R54" s="266"/>
      <c r="S54" s="266"/>
      <c r="T54" s="266"/>
      <c r="U54" s="278"/>
      <c r="V54" s="278"/>
      <c r="W54" s="278"/>
      <c r="X54" s="278"/>
      <c r="Y54" s="278"/>
      <c r="Z54" s="278"/>
      <c r="AA54" s="278"/>
      <c r="AB54" s="278"/>
      <c r="AC54" s="278"/>
      <c r="AD54" s="278"/>
      <c r="AE54" s="278"/>
      <c r="AF54" s="278"/>
      <c r="AG54" s="278"/>
      <c r="AH54" s="278"/>
      <c r="AI54" s="278"/>
      <c r="AJ54" s="278"/>
      <c r="AK54" s="278"/>
      <c r="AL54" s="278"/>
      <c r="AM54" s="278"/>
      <c r="AN54" s="278"/>
      <c r="AO54" s="278"/>
      <c r="AP54" s="278"/>
      <c r="AQ54" s="278"/>
      <c r="AR54" s="278"/>
      <c r="AS54" s="278"/>
      <c r="AT54" s="278"/>
      <c r="AU54" s="278"/>
      <c r="AV54" s="278"/>
      <c r="AW54" s="278"/>
      <c r="AX54" s="278"/>
      <c r="AY54" s="278"/>
      <c r="AZ54" s="278"/>
      <c r="BA54" s="278"/>
      <c r="BB54" s="278"/>
      <c r="BC54" s="278"/>
      <c r="BD54" s="278"/>
      <c r="BE54" s="278"/>
      <c r="BF54" s="278"/>
      <c r="BG54" s="278"/>
      <c r="BH54" s="278"/>
      <c r="BI54" s="278"/>
      <c r="BJ54" s="278"/>
      <c r="BK54" s="278"/>
      <c r="BL54" s="278"/>
      <c r="BM54" s="278"/>
      <c r="BN54" s="278"/>
      <c r="BO54" s="278"/>
      <c r="BP54" s="278"/>
      <c r="BQ54" s="278"/>
      <c r="BR54" s="278"/>
      <c r="BS54" s="278"/>
      <c r="BT54" s="278"/>
      <c r="BU54" s="278"/>
      <c r="BV54" s="278"/>
      <c r="BW54" s="278"/>
      <c r="BX54" s="278"/>
      <c r="BY54" s="278"/>
      <c r="BZ54" s="278"/>
      <c r="CA54" s="278"/>
      <c r="CB54" s="278"/>
      <c r="CC54" s="278"/>
      <c r="CD54" s="278"/>
      <c r="CE54" s="278"/>
      <c r="CF54" s="278"/>
      <c r="CG54" s="278"/>
      <c r="CH54" s="278"/>
      <c r="CI54" s="278"/>
      <c r="CJ54" s="278"/>
      <c r="CK54" s="278"/>
      <c r="CL54" s="278"/>
      <c r="CM54" s="278"/>
      <c r="CN54" s="278"/>
      <c r="CO54" s="278"/>
      <c r="CP54" s="278"/>
      <c r="CQ54" s="278"/>
      <c r="CR54" s="278"/>
      <c r="CS54" s="278"/>
      <c r="CT54" s="278"/>
      <c r="CU54" s="278"/>
      <c r="CV54" s="278"/>
      <c r="CW54" s="278"/>
      <c r="CX54" s="278"/>
      <c r="CY54" s="278"/>
      <c r="CZ54" s="278"/>
      <c r="DA54" s="278"/>
      <c r="DB54" s="278"/>
      <c r="DC54" s="278"/>
      <c r="DD54" s="278"/>
      <c r="DE54" s="278"/>
      <c r="DF54" s="278"/>
      <c r="DG54" s="278"/>
      <c r="DH54" s="278"/>
      <c r="DI54" s="278"/>
      <c r="DJ54" s="278"/>
      <c r="DK54" s="278"/>
      <c r="DL54" s="278"/>
      <c r="DM54" s="278"/>
      <c r="DN54" s="278"/>
      <c r="DO54" s="278"/>
      <c r="DP54" s="278"/>
      <c r="DQ54" s="278"/>
      <c r="DR54" s="278"/>
      <c r="DS54" s="278"/>
      <c r="DT54" s="278"/>
      <c r="DU54" s="278"/>
      <c r="DV54" s="278"/>
      <c r="DW54" s="278"/>
      <c r="DX54" s="278"/>
      <c r="DY54" s="278"/>
    </row>
    <row r="55" ht="14.5">
      <c r="B55" s="103" t="str">
        <f>+Passivo_Tipologie!E27</f>
        <v xml:space="preserve">0_9_Aderenti _ </v>
      </c>
      <c r="C55" s="109">
        <f>+SUMIF(Passivo!K:K,B55,Passivo!J:J)</f>
        <v>0</v>
      </c>
      <c r="D55" s="104"/>
      <c r="E55" s="109">
        <f t="shared" si="36"/>
        <v>0</v>
      </c>
      <c r="F55" s="136">
        <v>1</v>
      </c>
      <c r="G55" s="109">
        <f t="shared" si="26"/>
        <v>0</v>
      </c>
      <c r="H55" s="109">
        <f t="shared" si="27"/>
        <v>0</v>
      </c>
      <c r="I55" s="279">
        <f t="shared" si="24"/>
        <v>0</v>
      </c>
      <c r="J55" s="266"/>
      <c r="K55" s="266"/>
      <c r="L55" s="266"/>
      <c r="M55" s="266"/>
      <c r="N55" s="266"/>
      <c r="O55" s="266"/>
      <c r="P55" s="266"/>
      <c r="Q55" s="266"/>
      <c r="R55" s="266"/>
      <c r="S55" s="266"/>
      <c r="T55" s="266"/>
      <c r="U55" s="278"/>
      <c r="V55" s="278"/>
      <c r="W55" s="278"/>
      <c r="X55" s="278"/>
      <c r="Y55" s="278"/>
      <c r="Z55" s="278"/>
      <c r="AA55" s="278"/>
      <c r="AB55" s="278"/>
      <c r="AC55" s="278"/>
      <c r="AD55" s="278"/>
      <c r="AE55" s="278"/>
      <c r="AF55" s="278"/>
      <c r="AG55" s="278"/>
      <c r="AH55" s="278"/>
      <c r="AI55" s="278"/>
      <c r="AJ55" s="278"/>
      <c r="AK55" s="278"/>
      <c r="AL55" s="278"/>
      <c r="AM55" s="278"/>
      <c r="AN55" s="278"/>
      <c r="AO55" s="278"/>
      <c r="AP55" s="278"/>
      <c r="AQ55" s="278"/>
      <c r="AR55" s="278"/>
      <c r="AS55" s="278"/>
      <c r="AT55" s="278"/>
      <c r="AU55" s="278"/>
      <c r="AV55" s="278"/>
      <c r="AW55" s="278"/>
      <c r="AX55" s="278"/>
      <c r="AY55" s="278"/>
      <c r="AZ55" s="278"/>
      <c r="BA55" s="278"/>
      <c r="BB55" s="278"/>
      <c r="BC55" s="278"/>
      <c r="BD55" s="278"/>
      <c r="BE55" s="278"/>
      <c r="BF55" s="278"/>
      <c r="BG55" s="278"/>
      <c r="BH55" s="278"/>
      <c r="BI55" s="278"/>
      <c r="BJ55" s="278"/>
      <c r="BK55" s="278"/>
      <c r="BL55" s="278"/>
      <c r="BM55" s="278"/>
      <c r="BN55" s="278"/>
      <c r="BO55" s="278"/>
      <c r="BP55" s="278"/>
      <c r="BQ55" s="278"/>
      <c r="BR55" s="278"/>
      <c r="BS55" s="278"/>
      <c r="BT55" s="278"/>
      <c r="BU55" s="278"/>
      <c r="BV55" s="278"/>
      <c r="BW55" s="278"/>
      <c r="BX55" s="278"/>
      <c r="BY55" s="278"/>
      <c r="BZ55" s="278"/>
      <c r="CA55" s="278"/>
      <c r="CB55" s="278"/>
      <c r="CC55" s="278"/>
      <c r="CD55" s="278"/>
      <c r="CE55" s="278"/>
      <c r="CF55" s="278"/>
      <c r="CG55" s="278"/>
      <c r="CH55" s="278"/>
      <c r="CI55" s="278"/>
      <c r="CJ55" s="278"/>
      <c r="CK55" s="278"/>
      <c r="CL55" s="278"/>
      <c r="CM55" s="278"/>
      <c r="CN55" s="278"/>
      <c r="CO55" s="278"/>
      <c r="CP55" s="278"/>
      <c r="CQ55" s="278"/>
      <c r="CR55" s="278"/>
      <c r="CS55" s="278"/>
      <c r="CT55" s="278"/>
      <c r="CU55" s="278"/>
      <c r="CV55" s="278"/>
      <c r="CW55" s="278"/>
      <c r="CX55" s="278"/>
      <c r="CY55" s="278"/>
      <c r="CZ55" s="278"/>
      <c r="DA55" s="278"/>
      <c r="DB55" s="278"/>
      <c r="DC55" s="278"/>
      <c r="DD55" s="278"/>
      <c r="DE55" s="278"/>
      <c r="DF55" s="278"/>
      <c r="DG55" s="278"/>
      <c r="DH55" s="278"/>
      <c r="DI55" s="278"/>
      <c r="DJ55" s="278"/>
      <c r="DK55" s="278"/>
      <c r="DL55" s="278"/>
      <c r="DM55" s="278"/>
      <c r="DN55" s="278"/>
      <c r="DO55" s="278"/>
      <c r="DP55" s="278"/>
      <c r="DQ55" s="278"/>
      <c r="DR55" s="278"/>
      <c r="DS55" s="278"/>
      <c r="DT55" s="278"/>
      <c r="DU55" s="278"/>
      <c r="DV55" s="278"/>
      <c r="DW55" s="278"/>
      <c r="DX55" s="278"/>
      <c r="DY55" s="278"/>
    </row>
    <row r="56" thickBot="1">
      <c r="B56" s="103" t="str">
        <f>+Passivo_Tipologie!E28</f>
        <v xml:space="preserve">0_10_Aderenti _ </v>
      </c>
      <c r="C56" s="109">
        <f>+SUMIF(Passivo!K:K,B56,Passivo!J:J)</f>
        <v>0</v>
      </c>
      <c r="D56" s="104"/>
      <c r="E56" s="109">
        <f t="shared" si="36"/>
        <v>0</v>
      </c>
      <c r="F56" s="136">
        <v>1</v>
      </c>
      <c r="G56" s="109">
        <f t="shared" si="26"/>
        <v>0</v>
      </c>
      <c r="H56" s="109">
        <f t="shared" si="27"/>
        <v>0</v>
      </c>
      <c r="I56" s="279">
        <f t="shared" si="24"/>
        <v>0</v>
      </c>
      <c r="J56" s="266"/>
      <c r="K56" s="266"/>
      <c r="L56" s="266"/>
      <c r="M56" s="266"/>
      <c r="N56" s="266"/>
      <c r="O56" s="266"/>
      <c r="P56" s="266"/>
      <c r="Q56" s="266"/>
      <c r="R56" s="266"/>
      <c r="S56" s="266"/>
      <c r="T56" s="266"/>
      <c r="U56" s="278"/>
      <c r="V56" s="278"/>
      <c r="W56" s="278"/>
      <c r="X56" s="278"/>
      <c r="Y56" s="278"/>
      <c r="Z56" s="278"/>
      <c r="AA56" s="278"/>
      <c r="AB56" s="278"/>
      <c r="AC56" s="278"/>
      <c r="AD56" s="278"/>
      <c r="AE56" s="278"/>
      <c r="AF56" s="278"/>
      <c r="AG56" s="278"/>
      <c r="AH56" s="278"/>
      <c r="AI56" s="278"/>
      <c r="AJ56" s="278"/>
      <c r="AK56" s="278"/>
      <c r="AL56" s="278"/>
      <c r="AM56" s="278"/>
      <c r="AN56" s="278"/>
      <c r="AO56" s="278"/>
      <c r="AP56" s="278"/>
      <c r="AQ56" s="278"/>
      <c r="AR56" s="278"/>
      <c r="AS56" s="278"/>
      <c r="AT56" s="278"/>
      <c r="AU56" s="278"/>
      <c r="AV56" s="278"/>
      <c r="AW56" s="278"/>
      <c r="AX56" s="278"/>
      <c r="AY56" s="278"/>
      <c r="AZ56" s="278"/>
      <c r="BA56" s="278"/>
      <c r="BB56" s="278"/>
      <c r="BC56" s="278"/>
      <c r="BD56" s="278"/>
      <c r="BE56" s="278"/>
      <c r="BF56" s="278"/>
      <c r="BG56" s="278"/>
      <c r="BH56" s="278"/>
      <c r="BI56" s="278"/>
      <c r="BJ56" s="278"/>
      <c r="BK56" s="278"/>
      <c r="BL56" s="278"/>
      <c r="BM56" s="278"/>
      <c r="BN56" s="278"/>
      <c r="BO56" s="278"/>
      <c r="BP56" s="278"/>
      <c r="BQ56" s="278"/>
      <c r="BR56" s="278"/>
      <c r="BS56" s="278"/>
      <c r="BT56" s="278"/>
      <c r="BU56" s="278"/>
      <c r="BV56" s="278"/>
      <c r="BW56" s="278"/>
      <c r="BX56" s="278"/>
      <c r="BY56" s="278"/>
      <c r="BZ56" s="278"/>
      <c r="CA56" s="278"/>
      <c r="CB56" s="278"/>
      <c r="CC56" s="278"/>
      <c r="CD56" s="278"/>
      <c r="CE56" s="278"/>
      <c r="CF56" s="278"/>
      <c r="CG56" s="278"/>
      <c r="CH56" s="278"/>
      <c r="CI56" s="278"/>
      <c r="CJ56" s="278"/>
      <c r="CK56" s="278"/>
      <c r="CL56" s="278"/>
      <c r="CM56" s="278"/>
      <c r="CN56" s="278"/>
      <c r="CO56" s="278"/>
      <c r="CP56" s="278"/>
      <c r="CQ56" s="278"/>
      <c r="CR56" s="278"/>
      <c r="CS56" s="278"/>
      <c r="CT56" s="278"/>
      <c r="CU56" s="278"/>
      <c r="CV56" s="278"/>
      <c r="CW56" s="278"/>
      <c r="CX56" s="278"/>
      <c r="CY56" s="278"/>
      <c r="CZ56" s="278"/>
      <c r="DA56" s="278"/>
      <c r="DB56" s="278"/>
      <c r="DC56" s="278"/>
      <c r="DD56" s="278"/>
      <c r="DE56" s="278"/>
      <c r="DF56" s="278"/>
      <c r="DG56" s="278"/>
      <c r="DH56" s="278"/>
      <c r="DI56" s="278"/>
      <c r="DJ56" s="278"/>
      <c r="DK56" s="278"/>
      <c r="DL56" s="278"/>
      <c r="DM56" s="278"/>
      <c r="DN56" s="278"/>
      <c r="DO56" s="278"/>
      <c r="DP56" s="278"/>
      <c r="DQ56" s="278"/>
      <c r="DR56" s="278"/>
      <c r="DS56" s="278"/>
      <c r="DT56" s="278"/>
      <c r="DU56" s="278"/>
      <c r="DV56" s="278"/>
      <c r="DW56" s="278"/>
      <c r="DX56" s="278"/>
      <c r="DY56" s="278"/>
    </row>
    <row r="57" ht="14.5">
      <c r="H57" s="254" t="s">
        <v>1190</v>
      </c>
      <c r="I57" s="273" t="s">
        <v>1191</v>
      </c>
      <c r="J57" s="273">
        <f>SUM(J47:J56)</f>
        <v>0</v>
      </c>
      <c r="K57" s="273">
        <f t="shared" ref="K57:BV57" si="37">SUM(K47:K56)</f>
        <v>0</v>
      </c>
      <c r="L57" s="273">
        <f t="shared" si="37"/>
        <v>0</v>
      </c>
      <c r="M57" s="273">
        <f t="shared" si="37"/>
        <v>0</v>
      </c>
      <c r="N57" s="273">
        <f t="shared" si="37"/>
        <v>0</v>
      </c>
      <c r="O57" s="273">
        <f t="shared" si="37"/>
        <v>0</v>
      </c>
      <c r="P57" s="273">
        <f t="shared" si="37"/>
        <v>0</v>
      </c>
      <c r="Q57" s="273">
        <f t="shared" si="37"/>
        <v>0</v>
      </c>
      <c r="R57" s="273">
        <f t="shared" si="37"/>
        <v>0</v>
      </c>
      <c r="S57" s="273">
        <f t="shared" si="37"/>
        <v>0</v>
      </c>
      <c r="T57" s="273">
        <f t="shared" si="37"/>
        <v>0</v>
      </c>
      <c r="U57" s="273">
        <f t="shared" si="37"/>
        <v>0</v>
      </c>
      <c r="V57" s="273">
        <f t="shared" si="37"/>
        <v>0</v>
      </c>
      <c r="W57" s="273">
        <f t="shared" si="37"/>
        <v>0</v>
      </c>
      <c r="X57" s="273">
        <f t="shared" si="37"/>
        <v>0</v>
      </c>
      <c r="Y57" s="273">
        <f t="shared" si="37"/>
        <v>0</v>
      </c>
      <c r="Z57" s="273">
        <f t="shared" si="37"/>
        <v>0</v>
      </c>
      <c r="AA57" s="273">
        <f t="shared" si="37"/>
        <v>0</v>
      </c>
      <c r="AB57" s="273">
        <f t="shared" si="37"/>
        <v>0</v>
      </c>
      <c r="AC57" s="273">
        <f t="shared" si="37"/>
        <v>0</v>
      </c>
      <c r="AD57" s="273">
        <f t="shared" si="37"/>
        <v>0</v>
      </c>
      <c r="AE57" s="273">
        <f t="shared" si="37"/>
        <v>0</v>
      </c>
      <c r="AF57" s="273">
        <f t="shared" si="37"/>
        <v>0</v>
      </c>
      <c r="AG57" s="273">
        <f t="shared" si="37"/>
        <v>0</v>
      </c>
      <c r="AH57" s="273">
        <f t="shared" si="37"/>
        <v>0</v>
      </c>
      <c r="AI57" s="273">
        <f t="shared" si="37"/>
        <v>0</v>
      </c>
      <c r="AJ57" s="273">
        <f t="shared" si="37"/>
        <v>0</v>
      </c>
      <c r="AK57" s="273">
        <f t="shared" si="37"/>
        <v>0</v>
      </c>
      <c r="AL57" s="273">
        <f t="shared" si="37"/>
        <v>0</v>
      </c>
      <c r="AM57" s="273">
        <f t="shared" si="37"/>
        <v>0</v>
      </c>
      <c r="AN57" s="273">
        <f t="shared" si="37"/>
        <v>0</v>
      </c>
      <c r="AO57" s="273">
        <f t="shared" si="37"/>
        <v>0</v>
      </c>
      <c r="AP57" s="273">
        <f t="shared" si="37"/>
        <v>0</v>
      </c>
      <c r="AQ57" s="273">
        <f t="shared" si="37"/>
        <v>0</v>
      </c>
      <c r="AR57" s="273">
        <f t="shared" si="37"/>
        <v>0</v>
      </c>
      <c r="AS57" s="274">
        <f t="shared" si="37"/>
        <v>0</v>
      </c>
      <c r="AT57" s="274">
        <f t="shared" si="37"/>
        <v>0</v>
      </c>
      <c r="AU57" s="274">
        <f t="shared" si="37"/>
        <v>0</v>
      </c>
      <c r="AV57" s="274">
        <f t="shared" si="37"/>
        <v>0</v>
      </c>
      <c r="AW57" s="274">
        <f t="shared" si="37"/>
        <v>0</v>
      </c>
      <c r="AX57" s="274">
        <f t="shared" si="37"/>
        <v>0</v>
      </c>
      <c r="AY57" s="274">
        <f t="shared" si="37"/>
        <v>0</v>
      </c>
      <c r="AZ57" s="274">
        <f t="shared" si="37"/>
        <v>0</v>
      </c>
      <c r="BA57" s="274">
        <f t="shared" si="37"/>
        <v>0</v>
      </c>
      <c r="BB57" s="274">
        <f t="shared" si="37"/>
        <v>0</v>
      </c>
      <c r="BC57" s="274">
        <f t="shared" si="37"/>
        <v>0</v>
      </c>
      <c r="BD57" s="274">
        <f t="shared" si="37"/>
        <v>0</v>
      </c>
      <c r="BE57" s="274">
        <f t="shared" si="37"/>
        <v>0</v>
      </c>
      <c r="BF57" s="274">
        <f t="shared" si="37"/>
        <v>0</v>
      </c>
      <c r="BG57" s="274">
        <f t="shared" si="37"/>
        <v>0</v>
      </c>
      <c r="BH57" s="274">
        <f t="shared" si="37"/>
        <v>0</v>
      </c>
      <c r="BI57" s="274">
        <f t="shared" si="37"/>
        <v>0</v>
      </c>
      <c r="BJ57" s="274">
        <f t="shared" si="37"/>
        <v>0</v>
      </c>
      <c r="BK57" s="274">
        <f t="shared" si="37"/>
        <v>0</v>
      </c>
      <c r="BL57" s="274">
        <f t="shared" si="37"/>
        <v>0</v>
      </c>
      <c r="BM57" s="274">
        <f t="shared" si="37"/>
        <v>0</v>
      </c>
      <c r="BN57" s="274">
        <f t="shared" si="37"/>
        <v>0</v>
      </c>
      <c r="BO57" s="274">
        <f t="shared" si="37"/>
        <v>0</v>
      </c>
      <c r="BP57" s="274">
        <f t="shared" si="37"/>
        <v>0</v>
      </c>
      <c r="BQ57" s="274">
        <f t="shared" si="37"/>
        <v>0</v>
      </c>
      <c r="BR57" s="274">
        <f t="shared" si="37"/>
        <v>0</v>
      </c>
      <c r="BS57" s="274">
        <f t="shared" si="37"/>
        <v>0</v>
      </c>
      <c r="BT57" s="274">
        <f t="shared" si="37"/>
        <v>0</v>
      </c>
      <c r="BU57" s="274">
        <f t="shared" si="37"/>
        <v>0</v>
      </c>
      <c r="BV57" s="274">
        <f t="shared" si="37"/>
        <v>0</v>
      </c>
      <c r="BW57" s="274">
        <f t="shared" ref="BW57:DY57" si="38">SUM(BW47:BW56)</f>
        <v>0</v>
      </c>
      <c r="BX57" s="274">
        <f t="shared" si="38"/>
        <v>0</v>
      </c>
      <c r="BY57" s="274">
        <f t="shared" si="38"/>
        <v>0</v>
      </c>
      <c r="BZ57" s="274">
        <f t="shared" si="38"/>
        <v>0</v>
      </c>
      <c r="CA57" s="274">
        <f t="shared" si="38"/>
        <v>0</v>
      </c>
      <c r="CB57" s="274">
        <f t="shared" si="38"/>
        <v>0</v>
      </c>
      <c r="CC57" s="274">
        <f t="shared" si="38"/>
        <v>0</v>
      </c>
      <c r="CD57" s="274">
        <f t="shared" si="38"/>
        <v>0</v>
      </c>
      <c r="CE57" s="274">
        <f t="shared" si="38"/>
        <v>0</v>
      </c>
      <c r="CF57" s="274">
        <f t="shared" si="38"/>
        <v>0</v>
      </c>
      <c r="CG57" s="274">
        <f t="shared" si="38"/>
        <v>0</v>
      </c>
      <c r="CH57" s="274">
        <f t="shared" si="38"/>
        <v>0</v>
      </c>
      <c r="CI57" s="274">
        <f t="shared" si="38"/>
        <v>0</v>
      </c>
      <c r="CJ57" s="274">
        <f t="shared" si="38"/>
        <v>0</v>
      </c>
      <c r="CK57" s="274">
        <f t="shared" si="38"/>
        <v>0</v>
      </c>
      <c r="CL57" s="274">
        <f t="shared" si="38"/>
        <v>0</v>
      </c>
      <c r="CM57" s="274">
        <f t="shared" si="38"/>
        <v>0</v>
      </c>
      <c r="CN57" s="274">
        <f t="shared" si="38"/>
        <v>0</v>
      </c>
      <c r="CO57" s="274">
        <f t="shared" si="38"/>
        <v>0</v>
      </c>
      <c r="CP57" s="274">
        <f t="shared" si="38"/>
        <v>0</v>
      </c>
      <c r="CQ57" s="274">
        <f t="shared" si="38"/>
        <v>0</v>
      </c>
      <c r="CR57" s="274">
        <f t="shared" si="38"/>
        <v>0</v>
      </c>
      <c r="CS57" s="274">
        <f t="shared" si="38"/>
        <v>0</v>
      </c>
      <c r="CT57" s="274">
        <f t="shared" si="38"/>
        <v>0</v>
      </c>
      <c r="CU57" s="274">
        <f t="shared" si="38"/>
        <v>0</v>
      </c>
      <c r="CV57" s="274">
        <f t="shared" si="38"/>
        <v>0</v>
      </c>
      <c r="CW57" s="274">
        <f t="shared" si="38"/>
        <v>0</v>
      </c>
      <c r="CX57" s="274">
        <f t="shared" si="38"/>
        <v>0</v>
      </c>
      <c r="CY57" s="274">
        <f t="shared" si="38"/>
        <v>0</v>
      </c>
      <c r="CZ57" s="274">
        <f t="shared" si="38"/>
        <v>0</v>
      </c>
      <c r="DA57" s="274">
        <f t="shared" si="38"/>
        <v>0</v>
      </c>
      <c r="DB57" s="274">
        <f t="shared" si="38"/>
        <v>0</v>
      </c>
      <c r="DC57" s="274">
        <f t="shared" si="38"/>
        <v>0</v>
      </c>
      <c r="DD57" s="274">
        <f t="shared" si="38"/>
        <v>0</v>
      </c>
      <c r="DE57" s="274">
        <f t="shared" si="38"/>
        <v>0</v>
      </c>
      <c r="DF57" s="274">
        <f t="shared" si="38"/>
        <v>0</v>
      </c>
      <c r="DG57" s="274">
        <f t="shared" si="38"/>
        <v>0</v>
      </c>
      <c r="DH57" s="274">
        <f t="shared" si="38"/>
        <v>0</v>
      </c>
      <c r="DI57" s="274">
        <f t="shared" si="38"/>
        <v>0</v>
      </c>
      <c r="DJ57" s="274">
        <f t="shared" si="38"/>
        <v>0</v>
      </c>
      <c r="DK57" s="274">
        <f t="shared" si="38"/>
        <v>0</v>
      </c>
      <c r="DL57" s="274">
        <f t="shared" si="38"/>
        <v>0</v>
      </c>
      <c r="DM57" s="274">
        <f t="shared" si="38"/>
        <v>0</v>
      </c>
      <c r="DN57" s="274">
        <f t="shared" si="38"/>
        <v>0</v>
      </c>
      <c r="DO57" s="274">
        <f t="shared" si="38"/>
        <v>0</v>
      </c>
      <c r="DP57" s="274">
        <f t="shared" si="38"/>
        <v>0</v>
      </c>
      <c r="DQ57" s="274">
        <f t="shared" si="38"/>
        <v>0</v>
      </c>
      <c r="DR57" s="274">
        <f t="shared" si="38"/>
        <v>0</v>
      </c>
      <c r="DS57" s="274">
        <f t="shared" si="38"/>
        <v>0</v>
      </c>
      <c r="DT57" s="274">
        <f t="shared" si="38"/>
        <v>0</v>
      </c>
      <c r="DU57" s="274">
        <f t="shared" si="38"/>
        <v>0</v>
      </c>
      <c r="DV57" s="274">
        <f t="shared" si="38"/>
        <v>0</v>
      </c>
      <c r="DW57" s="274">
        <f t="shared" si="38"/>
        <v>0</v>
      </c>
      <c r="DX57" s="274">
        <f t="shared" si="38"/>
        <v>0</v>
      </c>
      <c r="DY57" s="274">
        <f t="shared" si="38"/>
        <v>0</v>
      </c>
    </row>
    <row r="58" thickBot="1">
      <c r="J58" s="280"/>
      <c r="K58" s="280"/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Y58" s="280"/>
      <c r="Z58" s="280"/>
      <c r="AA58" s="280"/>
      <c r="AB58" s="280"/>
      <c r="AC58" s="280"/>
      <c r="AD58" s="280"/>
      <c r="AE58" s="280"/>
      <c r="AF58" s="280"/>
      <c r="AG58" s="280"/>
      <c r="AH58" s="280"/>
      <c r="AI58" s="280"/>
      <c r="AJ58" s="280"/>
      <c r="AK58" s="280"/>
      <c r="AL58" s="280"/>
      <c r="AM58" s="280"/>
      <c r="AN58" s="280"/>
      <c r="AO58" s="280"/>
      <c r="AP58" s="280"/>
      <c r="AQ58" s="280"/>
      <c r="AR58" s="280"/>
      <c r="AS58" s="280"/>
      <c r="AT58" s="280"/>
      <c r="AU58" s="280"/>
      <c r="AV58" s="280"/>
      <c r="AW58" s="280"/>
      <c r="AX58" s="280"/>
      <c r="AY58" s="280"/>
      <c r="AZ58" s="280"/>
      <c r="BA58" s="280"/>
      <c r="BB58" s="280"/>
      <c r="BC58" s="280"/>
      <c r="BD58" s="280"/>
      <c r="BE58" s="280"/>
      <c r="BF58" s="280"/>
      <c r="BG58" s="280"/>
      <c r="BH58" s="280"/>
      <c r="BI58" s="280"/>
      <c r="BJ58" s="280"/>
      <c r="BK58" s="280"/>
      <c r="BL58" s="280"/>
      <c r="BM58" s="280"/>
      <c r="BN58" s="280"/>
      <c r="BO58" s="280"/>
      <c r="BP58" s="280"/>
      <c r="BQ58" s="280"/>
      <c r="BR58" s="280"/>
      <c r="BS58" s="280"/>
      <c r="BT58" s="280"/>
      <c r="BU58" s="280"/>
      <c r="BV58" s="280"/>
      <c r="BW58" s="280"/>
      <c r="BX58" s="280"/>
      <c r="BY58" s="280"/>
      <c r="BZ58" s="280"/>
      <c r="CA58" s="280"/>
      <c r="CB58" s="280"/>
      <c r="CC58" s="280"/>
      <c r="CD58" s="280"/>
      <c r="CE58" s="280"/>
      <c r="CF58" s="280"/>
      <c r="CG58" s="280"/>
      <c r="CH58" s="280"/>
      <c r="CI58" s="280"/>
      <c r="CJ58" s="280"/>
      <c r="CK58" s="280"/>
      <c r="CL58" s="280"/>
      <c r="CM58" s="280"/>
      <c r="CN58" s="280"/>
      <c r="CO58" s="280"/>
      <c r="CP58" s="280"/>
      <c r="CQ58" s="280"/>
      <c r="CR58" s="280"/>
      <c r="CS58" s="280"/>
      <c r="CT58" s="280"/>
      <c r="CU58" s="280"/>
      <c r="CV58" s="280"/>
      <c r="CW58" s="280"/>
      <c r="CX58" s="280"/>
      <c r="CY58" s="280"/>
      <c r="CZ58" s="280"/>
      <c r="DA58" s="280"/>
      <c r="DB58" s="280"/>
      <c r="DC58" s="280"/>
      <c r="DD58" s="280"/>
      <c r="DE58" s="280"/>
      <c r="DF58" s="280"/>
      <c r="DG58" s="280"/>
      <c r="DH58" s="280"/>
      <c r="DI58" s="280"/>
      <c r="DJ58" s="280"/>
      <c r="DK58" s="280"/>
      <c r="DL58" s="280"/>
      <c r="DM58" s="280"/>
      <c r="DN58" s="280"/>
      <c r="DO58" s="280"/>
      <c r="DP58" s="280"/>
      <c r="DQ58" s="280"/>
      <c r="DR58" s="280"/>
      <c r="DS58" s="280"/>
      <c r="DT58" s="280"/>
      <c r="DU58" s="280"/>
      <c r="DV58" s="280"/>
      <c r="DW58" s="280"/>
      <c r="DX58" s="280"/>
      <c r="DY58" s="280"/>
    </row>
    <row r="59" thickBot="1">
      <c r="G59" s="115" t="s">
        <v>1192</v>
      </c>
      <c r="I59" s="272" t="s">
        <v>1193</v>
      </c>
      <c r="J59" s="273">
        <f>+J41-J57</f>
        <v>0</v>
      </c>
      <c r="K59" s="273">
        <f t="shared" ref="K59:BV59" si="39">+K41-K57</f>
        <v>0</v>
      </c>
      <c r="L59" s="273">
        <f t="shared" si="39"/>
        <v>0</v>
      </c>
      <c r="M59" s="273">
        <f t="shared" si="39"/>
        <v>0</v>
      </c>
      <c r="N59" s="273">
        <f t="shared" si="39"/>
        <v>0</v>
      </c>
      <c r="O59" s="273">
        <f t="shared" si="39"/>
        <v>0</v>
      </c>
      <c r="P59" s="273">
        <f t="shared" si="39"/>
        <v>0</v>
      </c>
      <c r="Q59" s="273">
        <f t="shared" si="39"/>
        <v>0</v>
      </c>
      <c r="R59" s="273">
        <f t="shared" si="39"/>
        <v>0</v>
      </c>
      <c r="S59" s="273">
        <f t="shared" si="39"/>
        <v>0</v>
      </c>
      <c r="T59" s="273">
        <f t="shared" si="39"/>
        <v>0</v>
      </c>
      <c r="U59" s="273">
        <f t="shared" si="39"/>
        <v>0</v>
      </c>
      <c r="V59" s="273">
        <f t="shared" si="39"/>
        <v>0</v>
      </c>
      <c r="W59" s="273">
        <f t="shared" si="39"/>
        <v>0</v>
      </c>
      <c r="X59" s="273">
        <f t="shared" si="39"/>
        <v>0</v>
      </c>
      <c r="Y59" s="273">
        <f t="shared" si="39"/>
        <v>0</v>
      </c>
      <c r="Z59" s="273">
        <f t="shared" si="39"/>
        <v>0</v>
      </c>
      <c r="AA59" s="273">
        <f t="shared" si="39"/>
        <v>0</v>
      </c>
      <c r="AB59" s="273">
        <f t="shared" si="39"/>
        <v>0</v>
      </c>
      <c r="AC59" s="273">
        <f t="shared" si="39"/>
        <v>0</v>
      </c>
      <c r="AD59" s="273">
        <f t="shared" si="39"/>
        <v>0</v>
      </c>
      <c r="AE59" s="273">
        <f t="shared" si="39"/>
        <v>0</v>
      </c>
      <c r="AF59" s="273">
        <f t="shared" si="39"/>
        <v>0</v>
      </c>
      <c r="AG59" s="273">
        <f t="shared" si="39"/>
        <v>0</v>
      </c>
      <c r="AH59" s="273">
        <f t="shared" si="39"/>
        <v>0</v>
      </c>
      <c r="AI59" s="273">
        <f t="shared" si="39"/>
        <v>0</v>
      </c>
      <c r="AJ59" s="273">
        <f t="shared" si="39"/>
        <v>0</v>
      </c>
      <c r="AK59" s="273">
        <f t="shared" si="39"/>
        <v>0</v>
      </c>
      <c r="AL59" s="273">
        <f t="shared" si="39"/>
        <v>0</v>
      </c>
      <c r="AM59" s="273">
        <f t="shared" si="39"/>
        <v>0</v>
      </c>
      <c r="AN59" s="273">
        <f t="shared" si="39"/>
        <v>0</v>
      </c>
      <c r="AO59" s="273">
        <f t="shared" si="39"/>
        <v>0</v>
      </c>
      <c r="AP59" s="273">
        <f t="shared" si="39"/>
        <v>0</v>
      </c>
      <c r="AQ59" s="273">
        <f t="shared" si="39"/>
        <v>0</v>
      </c>
      <c r="AR59" s="273">
        <f t="shared" si="39"/>
        <v>0</v>
      </c>
      <c r="AS59" s="274">
        <f t="shared" si="39"/>
        <v>0</v>
      </c>
      <c r="AT59" s="274">
        <f t="shared" si="39"/>
        <v>0</v>
      </c>
      <c r="AU59" s="274">
        <f t="shared" si="39"/>
        <v>0</v>
      </c>
      <c r="AV59" s="274">
        <f t="shared" si="39"/>
        <v>0</v>
      </c>
      <c r="AW59" s="274">
        <f t="shared" si="39"/>
        <v>0</v>
      </c>
      <c r="AX59" s="274">
        <f t="shared" si="39"/>
        <v>0</v>
      </c>
      <c r="AY59" s="274">
        <f t="shared" si="39"/>
        <v>0</v>
      </c>
      <c r="AZ59" s="274">
        <f t="shared" si="39"/>
        <v>0</v>
      </c>
      <c r="BA59" s="274">
        <f t="shared" si="39"/>
        <v>0</v>
      </c>
      <c r="BB59" s="274">
        <f t="shared" si="39"/>
        <v>0</v>
      </c>
      <c r="BC59" s="274">
        <f t="shared" si="39"/>
        <v>0</v>
      </c>
      <c r="BD59" s="274">
        <f t="shared" si="39"/>
        <v>0</v>
      </c>
      <c r="BE59" s="274">
        <f t="shared" si="39"/>
        <v>0</v>
      </c>
      <c r="BF59" s="274">
        <f t="shared" si="39"/>
        <v>0</v>
      </c>
      <c r="BG59" s="274">
        <f t="shared" si="39"/>
        <v>0</v>
      </c>
      <c r="BH59" s="274">
        <f t="shared" si="39"/>
        <v>0</v>
      </c>
      <c r="BI59" s="274">
        <f t="shared" si="39"/>
        <v>0</v>
      </c>
      <c r="BJ59" s="274">
        <f t="shared" si="39"/>
        <v>0</v>
      </c>
      <c r="BK59" s="274">
        <f t="shared" si="39"/>
        <v>0</v>
      </c>
      <c r="BL59" s="274">
        <f t="shared" si="39"/>
        <v>0</v>
      </c>
      <c r="BM59" s="274">
        <f t="shared" si="39"/>
        <v>0</v>
      </c>
      <c r="BN59" s="274">
        <f t="shared" si="39"/>
        <v>0</v>
      </c>
      <c r="BO59" s="274">
        <f t="shared" si="39"/>
        <v>0</v>
      </c>
      <c r="BP59" s="274">
        <f t="shared" si="39"/>
        <v>0</v>
      </c>
      <c r="BQ59" s="274">
        <f t="shared" si="39"/>
        <v>0</v>
      </c>
      <c r="BR59" s="274">
        <f t="shared" si="39"/>
        <v>0</v>
      </c>
      <c r="BS59" s="274">
        <f t="shared" si="39"/>
        <v>0</v>
      </c>
      <c r="BT59" s="274">
        <f t="shared" si="39"/>
        <v>0</v>
      </c>
      <c r="BU59" s="274">
        <f t="shared" si="39"/>
        <v>0</v>
      </c>
      <c r="BV59" s="274">
        <f t="shared" si="39"/>
        <v>0</v>
      </c>
      <c r="BW59" s="274">
        <f t="shared" ref="BW59:DY59" si="40">+BW41-BW57</f>
        <v>0</v>
      </c>
      <c r="BX59" s="274">
        <f t="shared" si="40"/>
        <v>0</v>
      </c>
      <c r="BY59" s="274">
        <f t="shared" si="40"/>
        <v>0</v>
      </c>
      <c r="BZ59" s="274">
        <f t="shared" si="40"/>
        <v>0</v>
      </c>
      <c r="CA59" s="274">
        <f t="shared" si="40"/>
        <v>0</v>
      </c>
      <c r="CB59" s="274">
        <f t="shared" si="40"/>
        <v>0</v>
      </c>
      <c r="CC59" s="274">
        <f t="shared" si="40"/>
        <v>0</v>
      </c>
      <c r="CD59" s="274">
        <f t="shared" si="40"/>
        <v>0</v>
      </c>
      <c r="CE59" s="274">
        <f t="shared" si="40"/>
        <v>0</v>
      </c>
      <c r="CF59" s="274">
        <f t="shared" si="40"/>
        <v>0</v>
      </c>
      <c r="CG59" s="274">
        <f t="shared" si="40"/>
        <v>0</v>
      </c>
      <c r="CH59" s="274">
        <f t="shared" si="40"/>
        <v>0</v>
      </c>
      <c r="CI59" s="274">
        <f t="shared" si="40"/>
        <v>0</v>
      </c>
      <c r="CJ59" s="274">
        <f t="shared" si="40"/>
        <v>0</v>
      </c>
      <c r="CK59" s="274">
        <f t="shared" si="40"/>
        <v>0</v>
      </c>
      <c r="CL59" s="274">
        <f t="shared" si="40"/>
        <v>0</v>
      </c>
      <c r="CM59" s="274">
        <f t="shared" si="40"/>
        <v>0</v>
      </c>
      <c r="CN59" s="274">
        <f t="shared" si="40"/>
        <v>0</v>
      </c>
      <c r="CO59" s="274">
        <f t="shared" si="40"/>
        <v>0</v>
      </c>
      <c r="CP59" s="274">
        <f t="shared" si="40"/>
        <v>0</v>
      </c>
      <c r="CQ59" s="274">
        <f t="shared" si="40"/>
        <v>0</v>
      </c>
      <c r="CR59" s="274">
        <f t="shared" si="40"/>
        <v>0</v>
      </c>
      <c r="CS59" s="274">
        <f t="shared" si="40"/>
        <v>0</v>
      </c>
      <c r="CT59" s="274">
        <f t="shared" si="40"/>
        <v>0</v>
      </c>
      <c r="CU59" s="274">
        <f t="shared" si="40"/>
        <v>0</v>
      </c>
      <c r="CV59" s="274">
        <f t="shared" si="40"/>
        <v>0</v>
      </c>
      <c r="CW59" s="274">
        <f t="shared" si="40"/>
        <v>0</v>
      </c>
      <c r="CX59" s="274">
        <f t="shared" si="40"/>
        <v>0</v>
      </c>
      <c r="CY59" s="274">
        <f t="shared" si="40"/>
        <v>0</v>
      </c>
      <c r="CZ59" s="274">
        <f t="shared" si="40"/>
        <v>0</v>
      </c>
      <c r="DA59" s="274">
        <f t="shared" si="40"/>
        <v>0</v>
      </c>
      <c r="DB59" s="274">
        <f t="shared" si="40"/>
        <v>0</v>
      </c>
      <c r="DC59" s="274">
        <f t="shared" si="40"/>
        <v>0</v>
      </c>
      <c r="DD59" s="274">
        <f t="shared" si="40"/>
        <v>0</v>
      </c>
      <c r="DE59" s="274">
        <f t="shared" si="40"/>
        <v>0</v>
      </c>
      <c r="DF59" s="274">
        <f t="shared" si="40"/>
        <v>0</v>
      </c>
      <c r="DG59" s="274">
        <f t="shared" si="40"/>
        <v>0</v>
      </c>
      <c r="DH59" s="274">
        <f t="shared" si="40"/>
        <v>0</v>
      </c>
      <c r="DI59" s="274">
        <f t="shared" si="40"/>
        <v>0</v>
      </c>
      <c r="DJ59" s="274">
        <f t="shared" si="40"/>
        <v>0</v>
      </c>
      <c r="DK59" s="274">
        <f t="shared" si="40"/>
        <v>0</v>
      </c>
      <c r="DL59" s="274">
        <f t="shared" si="40"/>
        <v>0</v>
      </c>
      <c r="DM59" s="274">
        <f t="shared" si="40"/>
        <v>0</v>
      </c>
      <c r="DN59" s="274">
        <f t="shared" si="40"/>
        <v>0</v>
      </c>
      <c r="DO59" s="274">
        <f t="shared" si="40"/>
        <v>0</v>
      </c>
      <c r="DP59" s="274">
        <f t="shared" si="40"/>
        <v>0</v>
      </c>
      <c r="DQ59" s="274">
        <f t="shared" si="40"/>
        <v>0</v>
      </c>
      <c r="DR59" s="274">
        <f t="shared" si="40"/>
        <v>0</v>
      </c>
      <c r="DS59" s="274">
        <f t="shared" si="40"/>
        <v>0</v>
      </c>
      <c r="DT59" s="274">
        <f t="shared" si="40"/>
        <v>0</v>
      </c>
      <c r="DU59" s="274">
        <f t="shared" si="40"/>
        <v>0</v>
      </c>
      <c r="DV59" s="274">
        <f t="shared" si="40"/>
        <v>0</v>
      </c>
      <c r="DW59" s="274">
        <f t="shared" si="40"/>
        <v>0</v>
      </c>
      <c r="DX59" s="274">
        <f t="shared" si="40"/>
        <v>0</v>
      </c>
      <c r="DY59" s="274">
        <f t="shared" si="40"/>
        <v>0</v>
      </c>
    </row>
    <row r="60" thickBot="1">
      <c r="G60" s="257">
        <f>MIN(J59:DY59)</f>
        <v>0</v>
      </c>
    </row>
    <row r="61" thickTop="1"/>
  </sheetData>
  <autoFilter ref="B28:B56">
    <sortState ref="B29:I56">
      <sortCondition ref="B28:B56"/>
    </sortState>
  </autoFilter>
  <conditionalFormatting sqref="G24">
    <cfRule priority="3" dxfId="5" type="cellIs" operator="lessThan">
      <formula>0</formula>
    </cfRule>
    <cfRule priority="4" dxfId="6" type="cellIs" operator="greaterThan">
      <formula>0</formula>
    </cfRule>
  </conditionalFormatting>
  <conditionalFormatting sqref="G60">
    <cfRule priority="6" dxfId="5" type="cellIs" operator="lessThan">
      <formula>0</formula>
    </cfRule>
    <cfRule priority="9" dxfId="6" type="cellIs" operator="greaterThan">
      <formula>0</formula>
    </cfRule>
  </conditionalFormatting>
  <dataValidations count="1">
    <dataValidation type="list" allowBlank="1" showInputMessage="1" showErrorMessage="1" sqref="D11:D13 D16 D19">
      <formula1>"-60,-30,0,30,60"</formula1>
    </dataValidation>
  </dataValidations>
  <hyperlinks>
    <hyperlink ref="A1" location="Input!A1" display="MENU"/>
    <hyperlink ref="I14" location="'Finanza esterna'!A1" r:id="rId1"/>
    <hyperlink ref="I12" location="L_Iva!A1" display="Liquidazione Iva"/>
    <hyperlink ref="I22" location="PreDeduzione!A1" display="PREDEDUZIONE"/>
  </hyperlinks>
  <pageSetup r:id="rId2" paperSize="9" orientation="portrait"/>
</worksheet>
</file>

<file path=xl/worksheets/sheet30.xml><?xml version="1.0" encoding="utf-8"?>
<worksheet xmlns:r="http://schemas.openxmlformats.org/officeDocument/2006/relationships" xmlns="http://schemas.openxmlformats.org/spreadsheetml/2006/main">
  <sheetViews>
    <sheetView showGridLines="0" workbookViewId="0"/>
  </sheetViews>
  <sheetFormatPr defaultRowHeight="15"/>
  <cols>
    <col min="2" max="3" width="15" bestFit="1" customWidth="1"/>
    <col min="4" max="5" width="14.42578" bestFit="1" customWidth="1"/>
    <col min="6" max="6" width="10.42578" bestFit="1" customWidth="1"/>
    <col min="16" max="16" width="10.42578" bestFit="1" customWidth="1"/>
    <col min="29" max="29" width="10.57031" bestFit="1" customWidth="1"/>
  </cols>
  <sheetData>
    <row r="1" ht="14.5">
      <c r="A1" s="79" t="s">
        <v>38</v>
      </c>
      <c r="E1" s="143" t="str">
        <f>+'CE-mese'!B3</f>
        <v>anno</v>
      </c>
      <c r="F1" s="143">
        <f>+'CE-mese'!C3</f>
        <v>2025</v>
      </c>
      <c r="G1" s="143">
        <f>+'CE-mese'!D3</f>
        <v>2025</v>
      </c>
      <c r="H1" s="143">
        <f>+'CE-mese'!E3</f>
        <v>2025</v>
      </c>
      <c r="I1" s="143">
        <f>+'CE-mese'!F3</f>
        <v>2026</v>
      </c>
      <c r="J1" s="143">
        <f>+'CE-mese'!G3</f>
        <v>2026</v>
      </c>
      <c r="K1" s="143">
        <f>+'CE-mese'!H3</f>
        <v>2026</v>
      </c>
      <c r="L1" s="143">
        <f>+'CE-mese'!I3</f>
        <v>2026</v>
      </c>
      <c r="M1" s="143">
        <f>+'CE-mese'!J3</f>
        <v>2026</v>
      </c>
      <c r="N1" s="143">
        <f>+'CE-mese'!K3</f>
        <v>2026</v>
      </c>
      <c r="O1" s="143">
        <f>+'CE-mese'!L3</f>
        <v>2026</v>
      </c>
      <c r="P1" s="143">
        <f>+'CE-mese'!M3</f>
        <v>2026</v>
      </c>
      <c r="Q1" s="143">
        <f>+'CE-mese'!N3</f>
        <v>2026</v>
      </c>
      <c r="R1" s="143">
        <f>+'CE-mese'!O3</f>
        <v>2026</v>
      </c>
      <c r="S1" s="143">
        <f>+'CE-mese'!P3</f>
        <v>2026</v>
      </c>
      <c r="T1" s="143">
        <f>+'CE-mese'!Q3</f>
        <v>2026</v>
      </c>
      <c r="U1" s="143">
        <f>+'CE-mese'!R3</f>
        <v>2027</v>
      </c>
      <c r="V1" s="143">
        <f>+'CE-mese'!S3</f>
        <v>2027</v>
      </c>
      <c r="W1" s="143">
        <f>+'CE-mese'!T3</f>
        <v>2027</v>
      </c>
      <c r="X1" s="143">
        <f>+'CE-mese'!U3</f>
        <v>2027</v>
      </c>
      <c r="Y1" s="143">
        <f>+'CE-mese'!V3</f>
        <v>2027</v>
      </c>
      <c r="Z1" s="143">
        <f>+'CE-mese'!W3</f>
        <v>2027</v>
      </c>
      <c r="AA1" s="143">
        <f>+'CE-mese'!X3</f>
        <v>2027</v>
      </c>
      <c r="AB1" s="143">
        <f>+'CE-mese'!Y3</f>
        <v>2027</v>
      </c>
      <c r="AC1" s="143">
        <f>+'CE-mese'!Z3</f>
        <v>2027</v>
      </c>
      <c r="AD1" s="143">
        <f>+'CE-mese'!AA3</f>
        <v>2027</v>
      </c>
      <c r="AE1" s="143">
        <f>+'CE-mese'!AB3</f>
        <v>2027</v>
      </c>
      <c r="AF1" s="143">
        <f>+'CE-mese'!AC3</f>
        <v>2027</v>
      </c>
      <c r="AG1" s="143">
        <f>+'CE-mese'!AD3</f>
        <v>2028</v>
      </c>
      <c r="AH1" s="143">
        <f>+'CE-mese'!AE3</f>
        <v>2028</v>
      </c>
      <c r="AI1" s="143">
        <f>+'CE-mese'!AF3</f>
        <v>2028</v>
      </c>
      <c r="AJ1" s="143">
        <f>+'CE-mese'!AG3</f>
        <v>2028</v>
      </c>
      <c r="AK1" s="143">
        <f>+'CE-mese'!AH3</f>
        <v>2028</v>
      </c>
      <c r="AL1" s="143">
        <f>+'CE-mese'!AI3</f>
        <v>2028</v>
      </c>
      <c r="AM1" s="143">
        <f>+'CE-mese'!AJ3</f>
        <v>2028</v>
      </c>
      <c r="AN1" s="143">
        <f>+'CE-mese'!AK3</f>
        <v>2028</v>
      </c>
      <c r="AO1" s="143">
        <f>+'CE-mese'!AL3</f>
        <v>2028</v>
      </c>
      <c r="AP1" s="143">
        <f>+'CE-mese'!AM3</f>
        <v>2028</v>
      </c>
      <c r="AQ1" s="143">
        <f>+'CE-mese'!AN3</f>
        <v>2028</v>
      </c>
      <c r="AR1" s="143">
        <f>+'CE-mese'!AO3</f>
        <v>2028</v>
      </c>
      <c r="AS1" s="143">
        <f>+'CE-mese'!AP3</f>
        <v>2029</v>
      </c>
      <c r="AT1" s="143">
        <f>+'CE-mese'!AQ3</f>
        <v>2029</v>
      </c>
      <c r="AU1" s="143">
        <f>+'CE-mese'!AR3</f>
        <v>2029</v>
      </c>
      <c r="AV1" s="143">
        <f>+'CE-mese'!AS3</f>
        <v>2029</v>
      </c>
      <c r="AW1" s="143">
        <f>+'CE-mese'!AT3</f>
        <v>2029</v>
      </c>
      <c r="AX1" s="143">
        <f>+'CE-mese'!AU3</f>
        <v>2029</v>
      </c>
      <c r="AY1" s="143">
        <f>+'CE-mese'!AV3</f>
        <v>2029</v>
      </c>
      <c r="AZ1" s="143">
        <f>+'CE-mese'!AW3</f>
        <v>2029</v>
      </c>
      <c r="BA1" s="143">
        <f>+'CE-mese'!AX3</f>
        <v>2029</v>
      </c>
      <c r="BB1" s="143">
        <f>+'CE-mese'!AY3</f>
        <v>2029</v>
      </c>
      <c r="BC1" s="143">
        <f>+'CE-mese'!AZ3</f>
        <v>2029</v>
      </c>
      <c r="BD1" s="143">
        <f>+'CE-mese'!BA3</f>
        <v>2029</v>
      </c>
      <c r="BE1" s="143">
        <f>+'CE-mese'!BB3</f>
        <v>2030</v>
      </c>
      <c r="BF1" s="143">
        <f>+'CE-mese'!BC3</f>
        <v>2030</v>
      </c>
      <c r="BG1" s="143">
        <f>+'CE-mese'!BD3</f>
        <v>2030</v>
      </c>
      <c r="BH1" s="143">
        <f>+'CE-mese'!BE3</f>
        <v>2030</v>
      </c>
      <c r="BI1" s="143">
        <f>+'CE-mese'!BF3</f>
        <v>2030</v>
      </c>
      <c r="BJ1" s="143">
        <f>+'CE-mese'!BG3</f>
        <v>2030</v>
      </c>
      <c r="BK1" s="143">
        <f>+'CE-mese'!BH3</f>
        <v>2030</v>
      </c>
      <c r="BL1" s="143">
        <f>+'CE-mese'!BI3</f>
        <v>2030</v>
      </c>
      <c r="BM1" s="143">
        <f>+'CE-mese'!BJ3</f>
        <v>2030</v>
      </c>
      <c r="BN1" s="143">
        <f>+'CE-mese'!BK3</f>
        <v>2030</v>
      </c>
      <c r="BO1" s="143">
        <f>+'CE-mese'!BL3</f>
        <v>2030</v>
      </c>
      <c r="BP1" s="143">
        <f>+'CE-mese'!BM3</f>
        <v>2030</v>
      </c>
      <c r="BQ1" s="143">
        <f>+'CE-mese'!BN3</f>
        <v>2031</v>
      </c>
      <c r="BR1" s="143">
        <f>+'CE-mese'!BO3</f>
        <v>2031</v>
      </c>
      <c r="BS1" s="143">
        <f>+'CE-mese'!BP3</f>
        <v>2031</v>
      </c>
      <c r="BT1" s="143">
        <f>+'CE-mese'!BQ3</f>
        <v>2031</v>
      </c>
      <c r="BU1" s="143">
        <f>+'CE-mese'!BR3</f>
        <v>2031</v>
      </c>
      <c r="BV1" s="143">
        <f>+'CE-mese'!BS3</f>
        <v>2031</v>
      </c>
      <c r="BW1" s="143">
        <f>+'CE-mese'!BT3</f>
        <v>2031</v>
      </c>
      <c r="BX1" s="143">
        <f>+'CE-mese'!BU3</f>
        <v>2031</v>
      </c>
      <c r="BY1" s="143">
        <f>+'CE-mese'!BV3</f>
        <v>2031</v>
      </c>
      <c r="BZ1" s="143">
        <f>+'CE-mese'!BW3</f>
        <v>2031</v>
      </c>
      <c r="CA1" s="143">
        <f>+'CE-mese'!BX3</f>
        <v>2031</v>
      </c>
      <c r="CB1" s="143">
        <f>+'CE-mese'!BY3</f>
        <v>2031</v>
      </c>
      <c r="CC1" s="143">
        <f>+'CE-mese'!BZ3</f>
        <v>2032</v>
      </c>
      <c r="CD1" s="143">
        <f>+'CE-mese'!CA3</f>
        <v>2032</v>
      </c>
      <c r="CE1" s="143">
        <f>+'CE-mese'!CB3</f>
        <v>2032</v>
      </c>
      <c r="CF1" s="143">
        <f>+'CE-mese'!CC3</f>
        <v>2032</v>
      </c>
      <c r="CG1" s="143">
        <f>+'CE-mese'!CD3</f>
        <v>2032</v>
      </c>
      <c r="CH1" s="143">
        <f>+'CE-mese'!CE3</f>
        <v>2032</v>
      </c>
      <c r="CI1" s="143">
        <f>+'CE-mese'!CF3</f>
        <v>2032</v>
      </c>
      <c r="CJ1" s="143">
        <f>+'CE-mese'!CG3</f>
        <v>2032</v>
      </c>
      <c r="CK1" s="143">
        <f>+'CE-mese'!CH3</f>
        <v>2032</v>
      </c>
      <c r="CL1" s="143">
        <f>+'CE-mese'!CI3</f>
        <v>2032</v>
      </c>
      <c r="CM1" s="143">
        <f>+'CE-mese'!CJ3</f>
        <v>2032</v>
      </c>
      <c r="CN1" s="143">
        <f>+'CE-mese'!CK3</f>
        <v>2032</v>
      </c>
      <c r="CO1" s="143">
        <f>+'CE-mese'!CL3</f>
        <v>2033</v>
      </c>
      <c r="CP1" s="143">
        <f>+'CE-mese'!CM3</f>
        <v>2033</v>
      </c>
      <c r="CQ1" s="143">
        <f>+'CE-mese'!CN3</f>
        <v>2033</v>
      </c>
      <c r="CR1" s="143">
        <f>+'CE-mese'!CO3</f>
        <v>2033</v>
      </c>
      <c r="CS1" s="143">
        <f>+'CE-mese'!CP3</f>
        <v>2033</v>
      </c>
      <c r="CT1" s="143">
        <f>+'CE-mese'!CQ3</f>
        <v>2033</v>
      </c>
      <c r="CU1" s="143">
        <f>+'CE-mese'!CR3</f>
        <v>2033</v>
      </c>
      <c r="CV1" s="143">
        <f>+'CE-mese'!CS3</f>
        <v>2033</v>
      </c>
      <c r="CW1" s="143">
        <f>+'CE-mese'!CT3</f>
        <v>2033</v>
      </c>
      <c r="CX1" s="143">
        <f>+'CE-mese'!CU3</f>
        <v>2033</v>
      </c>
      <c r="CY1" s="143">
        <f>+'CE-mese'!CV3</f>
        <v>2033</v>
      </c>
      <c r="CZ1" s="143">
        <f>+'CE-mese'!CW3</f>
        <v>2033</v>
      </c>
      <c r="DA1" s="143">
        <f>+'CE-mese'!CX3</f>
        <v>2034</v>
      </c>
      <c r="DB1" s="143">
        <f>+'CE-mese'!CY3</f>
        <v>2034</v>
      </c>
      <c r="DC1" s="143">
        <f>+'CE-mese'!CZ3</f>
        <v>2034</v>
      </c>
      <c r="DD1" s="143">
        <f>+'CE-mese'!DA3</f>
        <v>2034</v>
      </c>
      <c r="DE1" s="143">
        <f>+'CE-mese'!DB3</f>
        <v>2034</v>
      </c>
      <c r="DF1" s="143">
        <f>+'CE-mese'!DC3</f>
        <v>2034</v>
      </c>
      <c r="DG1" s="143">
        <f>+'CE-mese'!DD3</f>
        <v>2034</v>
      </c>
      <c r="DH1" s="143">
        <f>+'CE-mese'!DE3</f>
        <v>2034</v>
      </c>
      <c r="DI1" s="143">
        <f>+'CE-mese'!DF3</f>
        <v>2034</v>
      </c>
      <c r="DJ1" s="143">
        <f>+'CE-mese'!DG3</f>
        <v>2034</v>
      </c>
      <c r="DK1" s="143">
        <f>+'CE-mese'!DH3</f>
        <v>2034</v>
      </c>
      <c r="DL1" s="143">
        <f>+'CE-mese'!DI3</f>
        <v>2034</v>
      </c>
      <c r="DM1" s="143">
        <f>+'CE-mese'!DJ3</f>
        <v>2035</v>
      </c>
      <c r="DN1" s="143">
        <f>+'CE-mese'!DK3</f>
        <v>2035</v>
      </c>
      <c r="DO1" s="143">
        <f>+'CE-mese'!DL3</f>
        <v>2035</v>
      </c>
      <c r="DP1" s="143">
        <f>+'CE-mese'!DM3</f>
        <v>2035</v>
      </c>
      <c r="DQ1" s="143">
        <f>+'CE-mese'!DN3</f>
        <v>2035</v>
      </c>
      <c r="DR1" s="143">
        <f>+'CE-mese'!DO3</f>
        <v>2035</v>
      </c>
      <c r="DS1" s="143">
        <f>+'CE-mese'!DP3</f>
        <v>2035</v>
      </c>
      <c r="DT1" s="143">
        <f>+'CE-mese'!DQ3</f>
        <v>2035</v>
      </c>
      <c r="DU1" s="143">
        <f>+'CE-mese'!DR3</f>
        <v>2035</v>
      </c>
    </row>
    <row r="2" ht="15.5">
      <c r="B2" s="281" t="s">
        <v>1194</v>
      </c>
      <c r="C2" s="281"/>
      <c r="D2" s="281"/>
      <c r="E2" s="282" t="str">
        <f>+'CE-mese'!B4</f>
        <v>mese</v>
      </c>
      <c r="F2" s="282">
        <f>+'CE-mese'!C4</f>
        <v>10</v>
      </c>
      <c r="G2" s="282">
        <f>+'CE-mese'!D4</f>
        <v>11</v>
      </c>
      <c r="H2" s="282">
        <f>+'CE-mese'!E4</f>
        <v>12</v>
      </c>
      <c r="I2" s="282">
        <f>+'CE-mese'!F4</f>
        <v>1</v>
      </c>
      <c r="J2" s="282">
        <f>+'CE-mese'!G4</f>
        <v>2</v>
      </c>
      <c r="K2" s="282">
        <f>+'CE-mese'!H4</f>
        <v>3</v>
      </c>
      <c r="L2" s="282">
        <f>+'CE-mese'!I4</f>
        <v>4</v>
      </c>
      <c r="M2" s="282">
        <f>+'CE-mese'!J4</f>
        <v>5</v>
      </c>
      <c r="N2" s="282">
        <f>+'CE-mese'!K4</f>
        <v>6</v>
      </c>
      <c r="O2" s="282">
        <f>+'CE-mese'!L4</f>
        <v>7</v>
      </c>
      <c r="P2" s="282">
        <f>+'CE-mese'!M4</f>
        <v>8</v>
      </c>
      <c r="Q2" s="282">
        <f>+'CE-mese'!N4</f>
        <v>9</v>
      </c>
      <c r="R2" s="282">
        <f>+'CE-mese'!O4</f>
        <v>10</v>
      </c>
      <c r="S2" s="282">
        <f>+'CE-mese'!P4</f>
        <v>11</v>
      </c>
      <c r="T2" s="282">
        <f>+'CE-mese'!Q4</f>
        <v>12</v>
      </c>
      <c r="U2" s="282">
        <f>+'CE-mese'!R4</f>
        <v>1</v>
      </c>
      <c r="V2" s="282">
        <f>+'CE-mese'!S4</f>
        <v>2</v>
      </c>
      <c r="W2" s="282">
        <f>+'CE-mese'!T4</f>
        <v>3</v>
      </c>
      <c r="X2" s="282">
        <f>+'CE-mese'!U4</f>
        <v>4</v>
      </c>
      <c r="Y2" s="282">
        <f>+'CE-mese'!V4</f>
        <v>5</v>
      </c>
      <c r="Z2" s="282">
        <f>+'CE-mese'!W4</f>
        <v>6</v>
      </c>
      <c r="AA2" s="282">
        <f>+'CE-mese'!X4</f>
        <v>7</v>
      </c>
      <c r="AB2" s="282">
        <f>+'CE-mese'!Y4</f>
        <v>8</v>
      </c>
      <c r="AC2" s="282">
        <f>+'CE-mese'!Z4</f>
        <v>9</v>
      </c>
      <c r="AD2" s="282">
        <f>+'CE-mese'!AA4</f>
        <v>10</v>
      </c>
      <c r="AE2" s="282">
        <f>+'CE-mese'!AB4</f>
        <v>11</v>
      </c>
      <c r="AF2" s="282">
        <f>+'CE-mese'!AC4</f>
        <v>12</v>
      </c>
      <c r="AG2" s="282">
        <f>+'CE-mese'!AD4</f>
        <v>1</v>
      </c>
      <c r="AH2" s="282">
        <f>+'CE-mese'!AE4</f>
        <v>2</v>
      </c>
      <c r="AI2" s="282">
        <f>+'CE-mese'!AF4</f>
        <v>3</v>
      </c>
      <c r="AJ2" s="282">
        <f>+'CE-mese'!AG4</f>
        <v>4</v>
      </c>
      <c r="AK2" s="282">
        <f>+'CE-mese'!AH4</f>
        <v>5</v>
      </c>
      <c r="AL2" s="282">
        <f>+'CE-mese'!AI4</f>
        <v>6</v>
      </c>
      <c r="AM2" s="282">
        <f>+'CE-mese'!AJ4</f>
        <v>7</v>
      </c>
      <c r="AN2" s="282">
        <f>+'CE-mese'!AK4</f>
        <v>8</v>
      </c>
      <c r="AO2" s="282">
        <f>+'CE-mese'!AL4</f>
        <v>9</v>
      </c>
      <c r="AP2" s="282">
        <f>+'CE-mese'!AM4</f>
        <v>10</v>
      </c>
      <c r="AQ2" s="282">
        <f>+'CE-mese'!AN4</f>
        <v>11</v>
      </c>
      <c r="AR2" s="282">
        <f>+'CE-mese'!AO4</f>
        <v>12</v>
      </c>
      <c r="AS2" s="282">
        <f>+'CE-mese'!AP4</f>
        <v>1</v>
      </c>
      <c r="AT2" s="282">
        <f>+'CE-mese'!AQ4</f>
        <v>2</v>
      </c>
      <c r="AU2" s="282">
        <f>+'CE-mese'!AR4</f>
        <v>3</v>
      </c>
      <c r="AV2" s="282">
        <f>+'CE-mese'!AS4</f>
        <v>4</v>
      </c>
      <c r="AW2" s="282">
        <f>+'CE-mese'!AT4</f>
        <v>5</v>
      </c>
      <c r="AX2" s="282">
        <f>+'CE-mese'!AU4</f>
        <v>6</v>
      </c>
      <c r="AY2" s="282">
        <f>+'CE-mese'!AV4</f>
        <v>7</v>
      </c>
      <c r="AZ2" s="282">
        <f>+'CE-mese'!AW4</f>
        <v>8</v>
      </c>
      <c r="BA2" s="282">
        <f>+'CE-mese'!AX4</f>
        <v>9</v>
      </c>
      <c r="BB2" s="282">
        <f>+'CE-mese'!AY4</f>
        <v>10</v>
      </c>
      <c r="BC2" s="282">
        <f>+'CE-mese'!AZ4</f>
        <v>11</v>
      </c>
      <c r="BD2" s="282">
        <f>+'CE-mese'!BA4</f>
        <v>12</v>
      </c>
      <c r="BE2" s="282">
        <f>+'CE-mese'!BB4</f>
        <v>1</v>
      </c>
      <c r="BF2" s="282">
        <f>+'CE-mese'!BC4</f>
        <v>2</v>
      </c>
      <c r="BG2" s="282">
        <f>+'CE-mese'!BD4</f>
        <v>3</v>
      </c>
      <c r="BH2" s="282">
        <f>+'CE-mese'!BE4</f>
        <v>4</v>
      </c>
      <c r="BI2" s="282">
        <f>+'CE-mese'!BF4</f>
        <v>5</v>
      </c>
      <c r="BJ2" s="282">
        <f>+'CE-mese'!BG4</f>
        <v>6</v>
      </c>
      <c r="BK2" s="282">
        <f>+'CE-mese'!BH4</f>
        <v>7</v>
      </c>
      <c r="BL2" s="282">
        <f>+'CE-mese'!BI4</f>
        <v>8</v>
      </c>
      <c r="BM2" s="282">
        <f>+'CE-mese'!BJ4</f>
        <v>9</v>
      </c>
      <c r="BN2" s="282">
        <f>+'CE-mese'!BK4</f>
        <v>10</v>
      </c>
      <c r="BO2" s="282">
        <f>+'CE-mese'!BL4</f>
        <v>11</v>
      </c>
      <c r="BP2" s="282">
        <f>+'CE-mese'!BM4</f>
        <v>12</v>
      </c>
      <c r="BQ2" s="282">
        <f>+'CE-mese'!BN4</f>
        <v>1</v>
      </c>
      <c r="BR2" s="282">
        <f>+'CE-mese'!BO4</f>
        <v>2</v>
      </c>
      <c r="BS2" s="282">
        <f>+'CE-mese'!BP4</f>
        <v>3</v>
      </c>
      <c r="BT2" s="282">
        <f>+'CE-mese'!BQ4</f>
        <v>4</v>
      </c>
      <c r="BU2" s="282">
        <f>+'CE-mese'!BR4</f>
        <v>5</v>
      </c>
      <c r="BV2" s="282">
        <f>+'CE-mese'!BS4</f>
        <v>6</v>
      </c>
      <c r="BW2" s="282">
        <f>+'CE-mese'!BT4</f>
        <v>7</v>
      </c>
      <c r="BX2" s="282">
        <f>+'CE-mese'!BU4</f>
        <v>8</v>
      </c>
      <c r="BY2" s="282">
        <f>+'CE-mese'!BV4</f>
        <v>9</v>
      </c>
      <c r="BZ2" s="282">
        <f>+'CE-mese'!BW4</f>
        <v>10</v>
      </c>
      <c r="CA2" s="282">
        <f>+'CE-mese'!BX4</f>
        <v>11</v>
      </c>
      <c r="CB2" s="282">
        <f>+'CE-mese'!BY4</f>
        <v>12</v>
      </c>
      <c r="CC2" s="282">
        <f>+'CE-mese'!BZ4</f>
        <v>1</v>
      </c>
      <c r="CD2" s="282">
        <f>+'CE-mese'!CA4</f>
        <v>2</v>
      </c>
      <c r="CE2" s="282">
        <f>+'CE-mese'!CB4</f>
        <v>3</v>
      </c>
      <c r="CF2" s="282">
        <f>+'CE-mese'!CC4</f>
        <v>4</v>
      </c>
      <c r="CG2" s="282">
        <f>+'CE-mese'!CD4</f>
        <v>5</v>
      </c>
      <c r="CH2" s="282">
        <f>+'CE-mese'!CE4</f>
        <v>6</v>
      </c>
      <c r="CI2" s="282">
        <f>+'CE-mese'!CF4</f>
        <v>7</v>
      </c>
      <c r="CJ2" s="282">
        <f>+'CE-mese'!CG4</f>
        <v>8</v>
      </c>
      <c r="CK2" s="282">
        <f>+'CE-mese'!CH4</f>
        <v>9</v>
      </c>
      <c r="CL2" s="282">
        <f>+'CE-mese'!CI4</f>
        <v>10</v>
      </c>
      <c r="CM2" s="282">
        <f>+'CE-mese'!CJ4</f>
        <v>11</v>
      </c>
      <c r="CN2" s="282">
        <f>+'CE-mese'!CK4</f>
        <v>12</v>
      </c>
      <c r="CO2" s="282">
        <f>+'CE-mese'!CL4</f>
        <v>1</v>
      </c>
      <c r="CP2" s="282">
        <f>+'CE-mese'!CM4</f>
        <v>2</v>
      </c>
      <c r="CQ2" s="282">
        <f>+'CE-mese'!CN4</f>
        <v>3</v>
      </c>
      <c r="CR2" s="282">
        <f>+'CE-mese'!CO4</f>
        <v>4</v>
      </c>
      <c r="CS2" s="282">
        <f>+'CE-mese'!CP4</f>
        <v>5</v>
      </c>
      <c r="CT2" s="282">
        <f>+'CE-mese'!CQ4</f>
        <v>6</v>
      </c>
      <c r="CU2" s="282">
        <f>+'CE-mese'!CR4</f>
        <v>7</v>
      </c>
      <c r="CV2" s="282">
        <f>+'CE-mese'!CS4</f>
        <v>8</v>
      </c>
      <c r="CW2" s="282">
        <f>+'CE-mese'!CT4</f>
        <v>9</v>
      </c>
      <c r="CX2" s="282">
        <f>+'CE-mese'!CU4</f>
        <v>10</v>
      </c>
      <c r="CY2" s="282">
        <f>+'CE-mese'!CV4</f>
        <v>11</v>
      </c>
      <c r="CZ2" s="282">
        <f>+'CE-mese'!CW4</f>
        <v>12</v>
      </c>
      <c r="DA2" s="282">
        <f>+'CE-mese'!CX4</f>
        <v>1</v>
      </c>
      <c r="DB2" s="282">
        <f>+'CE-mese'!CY4</f>
        <v>2</v>
      </c>
      <c r="DC2" s="282">
        <f>+'CE-mese'!CZ4</f>
        <v>3</v>
      </c>
      <c r="DD2" s="282">
        <f>+'CE-mese'!DA4</f>
        <v>4</v>
      </c>
      <c r="DE2" s="282">
        <f>+'CE-mese'!DB4</f>
        <v>5</v>
      </c>
      <c r="DF2" s="282">
        <f>+'CE-mese'!DC4</f>
        <v>6</v>
      </c>
      <c r="DG2" s="282">
        <f>+'CE-mese'!DD4</f>
        <v>7</v>
      </c>
      <c r="DH2" s="282">
        <f>+'CE-mese'!DE4</f>
        <v>8</v>
      </c>
      <c r="DI2" s="282">
        <f>+'CE-mese'!DF4</f>
        <v>9</v>
      </c>
      <c r="DJ2" s="282">
        <f>+'CE-mese'!DG4</f>
        <v>10</v>
      </c>
      <c r="DK2" s="282">
        <f>+'CE-mese'!DH4</f>
        <v>11</v>
      </c>
      <c r="DL2" s="282">
        <f>+'CE-mese'!DI4</f>
        <v>12</v>
      </c>
      <c r="DM2" s="282">
        <f>+'CE-mese'!DJ4</f>
        <v>1</v>
      </c>
      <c r="DN2" s="282">
        <f>+'CE-mese'!DK4</f>
        <v>2</v>
      </c>
      <c r="DO2" s="282">
        <f>+'CE-mese'!DL4</f>
        <v>3</v>
      </c>
      <c r="DP2" s="282">
        <f>+'CE-mese'!DM4</f>
        <v>4</v>
      </c>
      <c r="DQ2" s="282">
        <f>+'CE-mese'!DN4</f>
        <v>5</v>
      </c>
      <c r="DR2" s="282">
        <f>+'CE-mese'!DO4</f>
        <v>6</v>
      </c>
      <c r="DS2" s="282">
        <f>+'CE-mese'!DP4</f>
        <v>7</v>
      </c>
      <c r="DT2" s="282">
        <f>+'CE-mese'!DQ4</f>
        <v>8</v>
      </c>
      <c r="DU2" s="282">
        <f>+'CE-mese'!DR4</f>
        <v>9</v>
      </c>
    </row>
    <row r="3" ht="14.5">
      <c r="B3" s="12" t="s">
        <v>1195</v>
      </c>
      <c r="F3" s="283"/>
      <c r="G3" s="20"/>
    </row>
    <row r="5" ht="14.5">
      <c r="C5" s="103" t="s">
        <v>912</v>
      </c>
      <c r="D5" s="284"/>
    </row>
    <row r="6" ht="14.5">
      <c r="C6" s="103" t="s">
        <v>913</v>
      </c>
      <c r="D6" s="67"/>
    </row>
    <row r="7" ht="15.5">
      <c r="C7" s="285" t="s">
        <v>914</v>
      </c>
      <c r="D7" s="284"/>
    </row>
    <row r="8" ht="15.5">
      <c r="C8" s="285" t="s">
        <v>828</v>
      </c>
      <c r="D8" s="284"/>
    </row>
    <row r="9" ht="15.5">
      <c r="C9" s="285" t="s">
        <v>813</v>
      </c>
      <c r="D9" s="284"/>
    </row>
    <row r="10" ht="15.5">
      <c r="C10" s="285" t="s">
        <v>813</v>
      </c>
      <c r="D10" s="284"/>
    </row>
    <row r="11" ht="15.5">
      <c r="C11" s="285" t="s">
        <v>813</v>
      </c>
      <c r="D11" s="284"/>
    </row>
    <row r="12" ht="15.5">
      <c r="C12" s="285" t="s">
        <v>813</v>
      </c>
      <c r="D12" s="284"/>
    </row>
    <row r="13" ht="15.5">
      <c r="C13" s="285" t="s">
        <v>813</v>
      </c>
      <c r="D13" s="284"/>
    </row>
    <row r="14" ht="15.5">
      <c r="C14" s="285" t="s">
        <v>813</v>
      </c>
      <c r="D14" s="284"/>
    </row>
    <row r="15" ht="15.5">
      <c r="B15" s="286" t="s">
        <v>915</v>
      </c>
      <c r="C15" s="286"/>
      <c r="D15" s="287">
        <f>SUM(D5:D14)</f>
        <v>0</v>
      </c>
    </row>
    <row r="16" ht="14.5">
      <c r="E16" s="288" t="s">
        <v>1196</v>
      </c>
      <c r="F16" s="289">
        <f>+IF(F2&lt;&gt;$D$18,0,IF(F1=$D$19,$D$15,0))</f>
        <v>0</v>
      </c>
      <c r="G16" s="289">
        <f t="shared" ref="G16:BR16" si="0">+IF(G2&lt;&gt;$D$18,0,IF(G1=$D$19,$D$15,0))</f>
        <v>0</v>
      </c>
      <c r="H16" s="289">
        <f t="shared" si="0"/>
        <v>0</v>
      </c>
      <c r="I16" s="289">
        <f t="shared" si="0"/>
        <v>0</v>
      </c>
      <c r="J16" s="289">
        <f t="shared" si="0"/>
        <v>0</v>
      </c>
      <c r="K16" s="289">
        <f t="shared" si="0"/>
        <v>0</v>
      </c>
      <c r="L16" s="289">
        <f t="shared" si="0"/>
        <v>0</v>
      </c>
      <c r="M16" s="289">
        <f t="shared" si="0"/>
        <v>0</v>
      </c>
      <c r="N16" s="289">
        <f t="shared" si="0"/>
        <v>0</v>
      </c>
      <c r="O16" s="289">
        <f t="shared" si="0"/>
        <v>0</v>
      </c>
      <c r="P16" s="289">
        <f t="shared" si="0"/>
        <v>0</v>
      </c>
      <c r="Q16" s="289">
        <f t="shared" si="0"/>
        <v>0</v>
      </c>
      <c r="R16" s="289">
        <f>+IF(R2&lt;&gt;$D$18,0,IF(R1=$D$19,$D$15,0))</f>
        <v>0</v>
      </c>
      <c r="S16" s="289">
        <f t="shared" si="0"/>
        <v>0</v>
      </c>
      <c r="T16" s="289">
        <f t="shared" si="0"/>
        <v>0</v>
      </c>
      <c r="U16" s="289">
        <f t="shared" si="0"/>
        <v>0</v>
      </c>
      <c r="V16" s="289">
        <f t="shared" si="0"/>
        <v>0</v>
      </c>
      <c r="W16" s="289">
        <f t="shared" si="0"/>
        <v>0</v>
      </c>
      <c r="X16" s="289">
        <f t="shared" si="0"/>
        <v>0</v>
      </c>
      <c r="Y16" s="289">
        <f t="shared" si="0"/>
        <v>0</v>
      </c>
      <c r="Z16" s="289">
        <f t="shared" si="0"/>
        <v>0</v>
      </c>
      <c r="AA16" s="289">
        <f t="shared" si="0"/>
        <v>0</v>
      </c>
      <c r="AB16" s="289">
        <f t="shared" si="0"/>
        <v>0</v>
      </c>
      <c r="AC16" s="289">
        <f t="shared" si="0"/>
        <v>0</v>
      </c>
      <c r="AD16" s="289">
        <f t="shared" si="0"/>
        <v>0</v>
      </c>
      <c r="AE16" s="289">
        <f t="shared" si="0"/>
        <v>0</v>
      </c>
      <c r="AF16" s="289">
        <f t="shared" si="0"/>
        <v>0</v>
      </c>
      <c r="AG16" s="289">
        <f t="shared" si="0"/>
        <v>0</v>
      </c>
      <c r="AH16" s="289">
        <f t="shared" si="0"/>
        <v>0</v>
      </c>
      <c r="AI16" s="289">
        <f t="shared" si="0"/>
        <v>0</v>
      </c>
      <c r="AJ16" s="289">
        <f t="shared" si="0"/>
        <v>0</v>
      </c>
      <c r="AK16" s="289">
        <f t="shared" si="0"/>
        <v>0</v>
      </c>
      <c r="AL16" s="289">
        <f t="shared" si="0"/>
        <v>0</v>
      </c>
      <c r="AM16" s="289">
        <f t="shared" si="0"/>
        <v>0</v>
      </c>
      <c r="AN16" s="289">
        <f t="shared" si="0"/>
        <v>0</v>
      </c>
      <c r="AO16" s="289">
        <f t="shared" si="0"/>
        <v>0</v>
      </c>
      <c r="AP16" s="289">
        <f t="shared" si="0"/>
        <v>0</v>
      </c>
      <c r="AQ16" s="289">
        <f t="shared" si="0"/>
        <v>0</v>
      </c>
      <c r="AR16" s="289">
        <f t="shared" si="0"/>
        <v>0</v>
      </c>
      <c r="AS16" s="289">
        <f t="shared" si="0"/>
        <v>0</v>
      </c>
      <c r="AT16" s="289">
        <f t="shared" si="0"/>
        <v>0</v>
      </c>
      <c r="AU16" s="289">
        <f t="shared" si="0"/>
        <v>0</v>
      </c>
      <c r="AV16" s="289">
        <f t="shared" si="0"/>
        <v>0</v>
      </c>
      <c r="AW16" s="289">
        <f t="shared" si="0"/>
        <v>0</v>
      </c>
      <c r="AX16" s="289">
        <f t="shared" si="0"/>
        <v>0</v>
      </c>
      <c r="AY16" s="289">
        <f t="shared" si="0"/>
        <v>0</v>
      </c>
      <c r="AZ16" s="289">
        <f t="shared" si="0"/>
        <v>0</v>
      </c>
      <c r="BA16" s="289">
        <f t="shared" si="0"/>
        <v>0</v>
      </c>
      <c r="BB16" s="289">
        <f t="shared" si="0"/>
        <v>0</v>
      </c>
      <c r="BC16" s="289">
        <f t="shared" si="0"/>
        <v>0</v>
      </c>
      <c r="BD16" s="289">
        <f t="shared" si="0"/>
        <v>0</v>
      </c>
      <c r="BE16" s="289">
        <f t="shared" si="0"/>
        <v>0</v>
      </c>
      <c r="BF16" s="289">
        <f t="shared" si="0"/>
        <v>0</v>
      </c>
      <c r="BG16" s="289">
        <f t="shared" si="0"/>
        <v>0</v>
      </c>
      <c r="BH16" s="289">
        <f t="shared" si="0"/>
        <v>0</v>
      </c>
      <c r="BI16" s="289">
        <f t="shared" si="0"/>
        <v>0</v>
      </c>
      <c r="BJ16" s="289">
        <f t="shared" si="0"/>
        <v>0</v>
      </c>
      <c r="BK16" s="289">
        <f t="shared" si="0"/>
        <v>0</v>
      </c>
      <c r="BL16" s="289">
        <f t="shared" si="0"/>
        <v>0</v>
      </c>
      <c r="BM16" s="289">
        <f t="shared" si="0"/>
        <v>0</v>
      </c>
      <c r="BN16" s="289">
        <f t="shared" si="0"/>
        <v>0</v>
      </c>
      <c r="BO16" s="289">
        <f t="shared" si="0"/>
        <v>0</v>
      </c>
      <c r="BP16" s="289">
        <f t="shared" si="0"/>
        <v>0</v>
      </c>
      <c r="BQ16" s="289">
        <f t="shared" si="0"/>
        <v>0</v>
      </c>
      <c r="BR16" s="289">
        <f t="shared" si="0"/>
        <v>0</v>
      </c>
      <c r="BS16" s="289">
        <f t="shared" ref="BS16:DU16" si="1">+IF(BS2&lt;&gt;$D$18,0,IF(BS1=$D$19,$D$15,0))</f>
        <v>0</v>
      </c>
      <c r="BT16" s="289">
        <f t="shared" si="1"/>
        <v>0</v>
      </c>
      <c r="BU16" s="289">
        <f t="shared" si="1"/>
        <v>0</v>
      </c>
      <c r="BV16" s="289">
        <f t="shared" si="1"/>
        <v>0</v>
      </c>
      <c r="BW16" s="289">
        <f t="shared" si="1"/>
        <v>0</v>
      </c>
      <c r="BX16" s="289">
        <f t="shared" si="1"/>
        <v>0</v>
      </c>
      <c r="BY16" s="289">
        <f t="shared" si="1"/>
        <v>0</v>
      </c>
      <c r="BZ16" s="289">
        <f t="shared" si="1"/>
        <v>0</v>
      </c>
      <c r="CA16" s="289">
        <f t="shared" si="1"/>
        <v>0</v>
      </c>
      <c r="CB16" s="289">
        <f t="shared" si="1"/>
        <v>0</v>
      </c>
      <c r="CC16" s="289">
        <f t="shared" si="1"/>
        <v>0</v>
      </c>
      <c r="CD16" s="289">
        <f t="shared" si="1"/>
        <v>0</v>
      </c>
      <c r="CE16" s="289">
        <f t="shared" si="1"/>
        <v>0</v>
      </c>
      <c r="CF16" s="289">
        <f t="shared" si="1"/>
        <v>0</v>
      </c>
      <c r="CG16" s="289">
        <f t="shared" si="1"/>
        <v>0</v>
      </c>
      <c r="CH16" s="289">
        <f t="shared" si="1"/>
        <v>0</v>
      </c>
      <c r="CI16" s="289">
        <f t="shared" si="1"/>
        <v>0</v>
      </c>
      <c r="CJ16" s="289">
        <f t="shared" si="1"/>
        <v>0</v>
      </c>
      <c r="CK16" s="289">
        <f t="shared" si="1"/>
        <v>0</v>
      </c>
      <c r="CL16" s="289">
        <f t="shared" si="1"/>
        <v>0</v>
      </c>
      <c r="CM16" s="289">
        <f t="shared" si="1"/>
        <v>0</v>
      </c>
      <c r="CN16" s="289">
        <f t="shared" si="1"/>
        <v>0</v>
      </c>
      <c r="CO16" s="289">
        <f t="shared" si="1"/>
        <v>0</v>
      </c>
      <c r="CP16" s="289">
        <f t="shared" si="1"/>
        <v>0</v>
      </c>
      <c r="CQ16" s="289">
        <f t="shared" si="1"/>
        <v>0</v>
      </c>
      <c r="CR16" s="289">
        <f t="shared" si="1"/>
        <v>0</v>
      </c>
      <c r="CS16" s="289">
        <f t="shared" si="1"/>
        <v>0</v>
      </c>
      <c r="CT16" s="289">
        <f t="shared" si="1"/>
        <v>0</v>
      </c>
      <c r="CU16" s="289">
        <f t="shared" si="1"/>
        <v>0</v>
      </c>
      <c r="CV16" s="289">
        <f t="shared" si="1"/>
        <v>0</v>
      </c>
      <c r="CW16" s="289">
        <f t="shared" si="1"/>
        <v>0</v>
      </c>
      <c r="CX16" s="289">
        <f t="shared" si="1"/>
        <v>0</v>
      </c>
      <c r="CY16" s="289">
        <f t="shared" si="1"/>
        <v>0</v>
      </c>
      <c r="CZ16" s="289">
        <f t="shared" si="1"/>
        <v>0</v>
      </c>
      <c r="DA16" s="289">
        <f t="shared" si="1"/>
        <v>0</v>
      </c>
      <c r="DB16" s="289">
        <f t="shared" si="1"/>
        <v>0</v>
      </c>
      <c r="DC16" s="289">
        <f t="shared" si="1"/>
        <v>0</v>
      </c>
      <c r="DD16" s="289">
        <f t="shared" si="1"/>
        <v>0</v>
      </c>
      <c r="DE16" s="289">
        <f t="shared" si="1"/>
        <v>0</v>
      </c>
      <c r="DF16" s="289">
        <f t="shared" si="1"/>
        <v>0</v>
      </c>
      <c r="DG16" s="289">
        <f t="shared" si="1"/>
        <v>0</v>
      </c>
      <c r="DH16" s="289">
        <f t="shared" si="1"/>
        <v>0</v>
      </c>
      <c r="DI16" s="289">
        <f t="shared" si="1"/>
        <v>0</v>
      </c>
      <c r="DJ16" s="289">
        <f t="shared" si="1"/>
        <v>0</v>
      </c>
      <c r="DK16" s="289">
        <f t="shared" si="1"/>
        <v>0</v>
      </c>
      <c r="DL16" s="289">
        <f t="shared" si="1"/>
        <v>0</v>
      </c>
      <c r="DM16" s="289">
        <f t="shared" si="1"/>
        <v>0</v>
      </c>
      <c r="DN16" s="289">
        <f t="shared" si="1"/>
        <v>0</v>
      </c>
      <c r="DO16" s="289">
        <f t="shared" si="1"/>
        <v>0</v>
      </c>
      <c r="DP16" s="289">
        <f t="shared" si="1"/>
        <v>0</v>
      </c>
      <c r="DQ16" s="289">
        <f t="shared" si="1"/>
        <v>0</v>
      </c>
      <c r="DR16" s="289">
        <f t="shared" si="1"/>
        <v>0</v>
      </c>
      <c r="DS16" s="289">
        <f t="shared" si="1"/>
        <v>0</v>
      </c>
      <c r="DT16" s="289">
        <f t="shared" si="1"/>
        <v>0</v>
      </c>
      <c r="DU16" s="289">
        <f t="shared" si="1"/>
        <v>0</v>
      </c>
    </row>
    <row r="18" ht="14.5">
      <c r="C18" s="103" t="s">
        <v>1197</v>
      </c>
      <c r="D18" s="284"/>
    </row>
    <row r="19" ht="14.5">
      <c r="C19" s="103" t="s">
        <v>1198</v>
      </c>
      <c r="D19" s="290"/>
    </row>
    <row r="27" ht="14.5">
      <c r="C27" s="93">
        <f>+F1</f>
        <v>2025</v>
      </c>
    </row>
    <row r="28" ht="14.5">
      <c r="C28" s="93">
        <f>+C27+1</f>
        <v>2026</v>
      </c>
    </row>
    <row r="29" ht="14.5">
      <c r="C29" s="93">
        <f t="shared" ref="C29:C36" si="2">+C28+1</f>
        <v>2027</v>
      </c>
    </row>
    <row r="30" ht="14.5">
      <c r="C30" s="93">
        <f t="shared" si="2"/>
        <v>2028</v>
      </c>
    </row>
    <row r="31" ht="14.5">
      <c r="C31" s="93">
        <f t="shared" si="2"/>
        <v>2029</v>
      </c>
    </row>
    <row r="32" ht="14.5">
      <c r="C32" s="93">
        <f t="shared" si="2"/>
        <v>2030</v>
      </c>
    </row>
    <row r="33" ht="14.5">
      <c r="C33" s="93">
        <f t="shared" si="2"/>
        <v>2031</v>
      </c>
    </row>
    <row r="34" ht="14.5">
      <c r="C34" s="93">
        <f t="shared" si="2"/>
        <v>2032</v>
      </c>
    </row>
    <row r="35" ht="14.5">
      <c r="C35" s="93">
        <f>+C34+1</f>
        <v>2033</v>
      </c>
    </row>
    <row r="36" ht="14.5">
      <c r="C36" s="93">
        <f t="shared" si="2"/>
        <v>2034</v>
      </c>
    </row>
    <row r="37" ht="14.5">
      <c r="C37" s="93">
        <f>+C36+1</f>
        <v>2035</v>
      </c>
    </row>
  </sheetData>
  <dataValidations count="2">
    <dataValidation type="list" allowBlank="1" showInputMessage="1" showErrorMessage="1" sqref="D18">
      <formula1>"1,2,3,4,5,6,7,8,9,10,11,12"</formula1>
    </dataValidation>
    <dataValidation type="list" allowBlank="1" showInputMessage="1" showErrorMessage="1" sqref="D19">
      <formula1>$C$27:$C$37</formula1>
    </dataValidation>
  </dataValidations>
  <hyperlinks>
    <hyperlink ref="A1" location="Input!A1" display="MENU"/>
  </hyperlinks>
  <pageSetup r:id="rId1" paperSize="9" orientation="portrait"/>
</worksheet>
</file>

<file path=xl/worksheets/sheet31.xml><?xml version="1.0" encoding="utf-8"?>
<worksheet xmlns:r="http://schemas.openxmlformats.org/officeDocument/2006/relationships" xmlns="http://schemas.openxmlformats.org/spreadsheetml/2006/main">
  <sheetViews>
    <sheetView showGridLines="0" workbookViewId="0"/>
  </sheetViews>
  <sheetFormatPr defaultRowHeight="15"/>
  <cols>
    <col min="3" max="3" width="11" bestFit="1" customWidth="1"/>
    <col min="4" max="4" width="10.57031" bestFit="1" customWidth="1"/>
    <col min="6" max="6" width="10.57031" bestFit="1" customWidth="1"/>
    <col min="7" max="15" width="9.285156" bestFit="1" customWidth="1"/>
  </cols>
  <sheetData>
    <row r="1" ht="14.5">
      <c r="A1" s="79" t="s">
        <v>38</v>
      </c>
      <c r="B1" s="143"/>
      <c r="C1" s="143"/>
      <c r="D1" s="143"/>
      <c r="E1" s="143" t="str">
        <f>+'CE-mese'!B3</f>
        <v>anno</v>
      </c>
      <c r="F1" s="143">
        <f>+'CE-mese'!C3</f>
        <v>2025</v>
      </c>
      <c r="G1" s="143">
        <f>+'CE-mese'!D3</f>
        <v>2025</v>
      </c>
      <c r="H1" s="143">
        <f>+'CE-mese'!E3</f>
        <v>2025</v>
      </c>
      <c r="I1" s="143">
        <f>+'CE-mese'!F3</f>
        <v>2026</v>
      </c>
      <c r="J1" s="143">
        <f>+'CE-mese'!G3</f>
        <v>2026</v>
      </c>
      <c r="K1" s="143">
        <f>+'CE-mese'!H3</f>
        <v>2026</v>
      </c>
      <c r="L1" s="143">
        <f>+'CE-mese'!I3</f>
        <v>2026</v>
      </c>
      <c r="M1" s="143">
        <f>+'CE-mese'!J3</f>
        <v>2026</v>
      </c>
      <c r="N1" s="143">
        <f>+'CE-mese'!K3</f>
        <v>2026</v>
      </c>
      <c r="O1" s="143">
        <f>+'CE-mese'!L3</f>
        <v>2026</v>
      </c>
      <c r="P1" s="143">
        <f>+'CE-mese'!M3</f>
        <v>2026</v>
      </c>
      <c r="Q1" s="143">
        <f>+'CE-mese'!N3</f>
        <v>2026</v>
      </c>
      <c r="R1" s="143">
        <f>+'CE-mese'!O3</f>
        <v>2026</v>
      </c>
      <c r="S1" s="143">
        <f>+'CE-mese'!P3</f>
        <v>2026</v>
      </c>
      <c r="T1" s="143">
        <f>+'CE-mese'!Q3</f>
        <v>2026</v>
      </c>
      <c r="U1" s="143">
        <f>+'CE-mese'!R3</f>
        <v>2027</v>
      </c>
      <c r="V1" s="143">
        <f>+'CE-mese'!S3</f>
        <v>2027</v>
      </c>
      <c r="W1" s="143">
        <f>+'CE-mese'!T3</f>
        <v>2027</v>
      </c>
      <c r="X1" s="143">
        <f>+'CE-mese'!U3</f>
        <v>2027</v>
      </c>
      <c r="Y1" s="143">
        <f>+'CE-mese'!V3</f>
        <v>2027</v>
      </c>
      <c r="Z1" s="143">
        <f>+'CE-mese'!W3</f>
        <v>2027</v>
      </c>
      <c r="AA1" s="143">
        <f>+'CE-mese'!X3</f>
        <v>2027</v>
      </c>
      <c r="AB1" s="143">
        <f>+'CE-mese'!Y3</f>
        <v>2027</v>
      </c>
      <c r="AC1" s="143">
        <f>+'CE-mese'!Z3</f>
        <v>2027</v>
      </c>
      <c r="AD1" s="143">
        <f>+'CE-mese'!AA3</f>
        <v>2027</v>
      </c>
      <c r="AE1" s="143">
        <f>+'CE-mese'!AB3</f>
        <v>2027</v>
      </c>
      <c r="AF1" s="143">
        <f>+'CE-mese'!AC3</f>
        <v>2027</v>
      </c>
      <c r="AG1" s="143">
        <f>+'CE-mese'!AD3</f>
        <v>2028</v>
      </c>
      <c r="AH1" s="143">
        <f>+'CE-mese'!AE3</f>
        <v>2028</v>
      </c>
      <c r="AI1" s="143">
        <f>+'CE-mese'!AF3</f>
        <v>2028</v>
      </c>
      <c r="AJ1" s="143">
        <f>+'CE-mese'!AG3</f>
        <v>2028</v>
      </c>
      <c r="AK1" s="143">
        <f>+'CE-mese'!AH3</f>
        <v>2028</v>
      </c>
      <c r="AL1" s="143">
        <f>+'CE-mese'!AI3</f>
        <v>2028</v>
      </c>
      <c r="AM1" s="143">
        <f>+'CE-mese'!AJ3</f>
        <v>2028</v>
      </c>
      <c r="AN1" s="143">
        <f>+'CE-mese'!AK3</f>
        <v>2028</v>
      </c>
      <c r="AO1" s="143">
        <f>+'CE-mese'!AL3</f>
        <v>2028</v>
      </c>
      <c r="AP1" s="143">
        <f>+'CE-mese'!AM3</f>
        <v>2028</v>
      </c>
      <c r="AQ1" s="143">
        <f>+'CE-mese'!AN3</f>
        <v>2028</v>
      </c>
      <c r="AR1" s="143">
        <f>+'CE-mese'!AO3</f>
        <v>2028</v>
      </c>
      <c r="AS1" s="143">
        <f>+'CE-mese'!AP3</f>
        <v>2029</v>
      </c>
      <c r="AT1" s="143">
        <f>+'CE-mese'!AQ3</f>
        <v>2029</v>
      </c>
      <c r="AU1" s="143">
        <f>+'CE-mese'!AR3</f>
        <v>2029</v>
      </c>
      <c r="AV1" s="143">
        <f>+'CE-mese'!AS3</f>
        <v>2029</v>
      </c>
      <c r="AW1" s="143">
        <f>+'CE-mese'!AT3</f>
        <v>2029</v>
      </c>
      <c r="AX1" s="143">
        <f>+'CE-mese'!AU3</f>
        <v>2029</v>
      </c>
      <c r="AY1" s="143">
        <f>+'CE-mese'!AV3</f>
        <v>2029</v>
      </c>
      <c r="AZ1" s="143">
        <f>+'CE-mese'!AW3</f>
        <v>2029</v>
      </c>
      <c r="BA1" s="143">
        <f>+'CE-mese'!AX3</f>
        <v>2029</v>
      </c>
      <c r="BB1" s="143">
        <f>+'CE-mese'!AY3</f>
        <v>2029</v>
      </c>
      <c r="BC1" s="143">
        <f>+'CE-mese'!AZ3</f>
        <v>2029</v>
      </c>
      <c r="BD1" s="143">
        <f>+'CE-mese'!BA3</f>
        <v>2029</v>
      </c>
      <c r="BE1" s="143">
        <f>+'CE-mese'!BB3</f>
        <v>2030</v>
      </c>
      <c r="BF1" s="143">
        <f>+'CE-mese'!BC3</f>
        <v>2030</v>
      </c>
      <c r="BG1" s="143">
        <f>+'CE-mese'!BD3</f>
        <v>2030</v>
      </c>
      <c r="BH1" s="143">
        <f>+'CE-mese'!BE3</f>
        <v>2030</v>
      </c>
      <c r="BI1" s="143">
        <f>+'CE-mese'!BF3</f>
        <v>2030</v>
      </c>
      <c r="BJ1" s="143">
        <f>+'CE-mese'!BG3</f>
        <v>2030</v>
      </c>
      <c r="BK1" s="143">
        <f>+'CE-mese'!BH3</f>
        <v>2030</v>
      </c>
      <c r="BL1" s="143">
        <f>+'CE-mese'!BI3</f>
        <v>2030</v>
      </c>
      <c r="BM1" s="143">
        <f>+'CE-mese'!BJ3</f>
        <v>2030</v>
      </c>
      <c r="BN1" s="143">
        <f>+'CE-mese'!BK3</f>
        <v>2030</v>
      </c>
      <c r="BO1" s="143">
        <f>+'CE-mese'!BL3</f>
        <v>2030</v>
      </c>
      <c r="BP1" s="143">
        <f>+'CE-mese'!BM3</f>
        <v>2030</v>
      </c>
      <c r="BQ1" s="143">
        <f>+'CE-mese'!BN3</f>
        <v>2031</v>
      </c>
      <c r="BR1" s="143">
        <f>+'CE-mese'!BO3</f>
        <v>2031</v>
      </c>
      <c r="BS1" s="143">
        <f>+'CE-mese'!BP3</f>
        <v>2031</v>
      </c>
      <c r="BT1" s="143">
        <f>+'CE-mese'!BQ3</f>
        <v>2031</v>
      </c>
      <c r="BU1" s="143">
        <f>+'CE-mese'!BR3</f>
        <v>2031</v>
      </c>
      <c r="BV1" s="143">
        <f>+'CE-mese'!BS3</f>
        <v>2031</v>
      </c>
      <c r="BW1" s="143">
        <f>+'CE-mese'!BT3</f>
        <v>2031</v>
      </c>
      <c r="BX1" s="143">
        <f>+'CE-mese'!BU3</f>
        <v>2031</v>
      </c>
      <c r="BY1" s="143">
        <f>+'CE-mese'!BV3</f>
        <v>2031</v>
      </c>
      <c r="BZ1" s="143">
        <f>+'CE-mese'!BW3</f>
        <v>2031</v>
      </c>
      <c r="CA1" s="143">
        <f>+'CE-mese'!BX3</f>
        <v>2031</v>
      </c>
      <c r="CB1" s="143">
        <f>+'CE-mese'!BY3</f>
        <v>2031</v>
      </c>
      <c r="CC1" s="143">
        <f>+'CE-mese'!BZ3</f>
        <v>2032</v>
      </c>
      <c r="CD1" s="143">
        <f>+'CE-mese'!CA3</f>
        <v>2032</v>
      </c>
      <c r="CE1" s="143">
        <f>+'CE-mese'!CB3</f>
        <v>2032</v>
      </c>
      <c r="CF1" s="143">
        <f>+'CE-mese'!CC3</f>
        <v>2032</v>
      </c>
      <c r="CG1" s="143">
        <f>+'CE-mese'!CD3</f>
        <v>2032</v>
      </c>
      <c r="CH1" s="143">
        <f>+'CE-mese'!CE3</f>
        <v>2032</v>
      </c>
      <c r="CI1" s="143">
        <f>+'CE-mese'!CF3</f>
        <v>2032</v>
      </c>
      <c r="CJ1" s="143">
        <f>+'CE-mese'!CG3</f>
        <v>2032</v>
      </c>
      <c r="CK1" s="143">
        <f>+'CE-mese'!CH3</f>
        <v>2032</v>
      </c>
      <c r="CL1" s="143">
        <f>+'CE-mese'!CI3</f>
        <v>2032</v>
      </c>
      <c r="CM1" s="143">
        <f>+'CE-mese'!CJ3</f>
        <v>2032</v>
      </c>
      <c r="CN1" s="143">
        <f>+'CE-mese'!CK3</f>
        <v>2032</v>
      </c>
      <c r="CO1" s="143">
        <f>+'CE-mese'!CL3</f>
        <v>2033</v>
      </c>
      <c r="CP1" s="143">
        <f>+'CE-mese'!CM3</f>
        <v>2033</v>
      </c>
      <c r="CQ1" s="143">
        <f>+'CE-mese'!CN3</f>
        <v>2033</v>
      </c>
      <c r="CR1" s="143">
        <f>+'CE-mese'!CO3</f>
        <v>2033</v>
      </c>
      <c r="CS1" s="143">
        <f>+'CE-mese'!CP3</f>
        <v>2033</v>
      </c>
      <c r="CT1" s="143">
        <f>+'CE-mese'!CQ3</f>
        <v>2033</v>
      </c>
      <c r="CU1" s="143">
        <f>+'CE-mese'!CR3</f>
        <v>2033</v>
      </c>
      <c r="CV1" s="143">
        <f>+'CE-mese'!CS3</f>
        <v>2033</v>
      </c>
      <c r="CW1" s="143">
        <f>+'CE-mese'!CT3</f>
        <v>2033</v>
      </c>
      <c r="CX1" s="143">
        <f>+'CE-mese'!CU3</f>
        <v>2033</v>
      </c>
      <c r="CY1" s="143">
        <f>+'CE-mese'!CV3</f>
        <v>2033</v>
      </c>
      <c r="CZ1" s="143">
        <f>+'CE-mese'!CW3</f>
        <v>2033</v>
      </c>
      <c r="DA1" s="143">
        <f>+'CE-mese'!CX3</f>
        <v>2034</v>
      </c>
      <c r="DB1" s="143">
        <f>+'CE-mese'!CY3</f>
        <v>2034</v>
      </c>
      <c r="DC1" s="143">
        <f>+'CE-mese'!CZ3</f>
        <v>2034</v>
      </c>
      <c r="DD1" s="143">
        <f>+'CE-mese'!DA3</f>
        <v>2034</v>
      </c>
      <c r="DE1" s="143">
        <f>+'CE-mese'!DB3</f>
        <v>2034</v>
      </c>
      <c r="DF1" s="143">
        <f>+'CE-mese'!DC3</f>
        <v>2034</v>
      </c>
      <c r="DG1" s="143">
        <f>+'CE-mese'!DD3</f>
        <v>2034</v>
      </c>
      <c r="DH1" s="143">
        <f>+'CE-mese'!DE3</f>
        <v>2034</v>
      </c>
      <c r="DI1" s="143">
        <f>+'CE-mese'!DF3</f>
        <v>2034</v>
      </c>
      <c r="DJ1" s="143">
        <f>+'CE-mese'!DG3</f>
        <v>2034</v>
      </c>
      <c r="DK1" s="143">
        <f>+'CE-mese'!DH3</f>
        <v>2034</v>
      </c>
      <c r="DL1" s="143">
        <f>+'CE-mese'!DI3</f>
        <v>2034</v>
      </c>
      <c r="DM1" s="143">
        <f>+'CE-mese'!DJ3</f>
        <v>2035</v>
      </c>
      <c r="DN1" s="143">
        <f>+'CE-mese'!DK3</f>
        <v>2035</v>
      </c>
      <c r="DO1" s="143">
        <f>+'CE-mese'!DL3</f>
        <v>2035</v>
      </c>
      <c r="DP1" s="143">
        <f>+'CE-mese'!DM3</f>
        <v>2035</v>
      </c>
      <c r="DQ1" s="143">
        <f>+'CE-mese'!DN3</f>
        <v>2035</v>
      </c>
      <c r="DR1" s="143">
        <f>+'CE-mese'!DO3</f>
        <v>2035</v>
      </c>
      <c r="DS1" s="143">
        <f>+'CE-mese'!DP3</f>
        <v>2035</v>
      </c>
      <c r="DT1" s="143">
        <f>+'CE-mese'!DQ3</f>
        <v>2035</v>
      </c>
      <c r="DU1" s="143">
        <f>+'CE-mese'!DR3</f>
        <v>2035</v>
      </c>
    </row>
    <row r="2" ht="14.5">
      <c r="B2" s="282" t="s">
        <v>1199</v>
      </c>
      <c r="C2" s="282"/>
      <c r="D2" s="282"/>
      <c r="E2" s="282" t="str">
        <f>+'CE-mese'!B4</f>
        <v>mese</v>
      </c>
      <c r="F2" s="282">
        <f>+'CE-mese'!C4</f>
        <v>10</v>
      </c>
      <c r="G2" s="282">
        <f>+'CE-mese'!D4</f>
        <v>11</v>
      </c>
      <c r="H2" s="282">
        <f>+'CE-mese'!E4</f>
        <v>12</v>
      </c>
      <c r="I2" s="282">
        <f>+'CE-mese'!F4</f>
        <v>1</v>
      </c>
      <c r="J2" s="282">
        <f>+'CE-mese'!G4</f>
        <v>2</v>
      </c>
      <c r="K2" s="282">
        <f>+'CE-mese'!H4</f>
        <v>3</v>
      </c>
      <c r="L2" s="282">
        <f>+'CE-mese'!I4</f>
        <v>4</v>
      </c>
      <c r="M2" s="282">
        <f>+'CE-mese'!J4</f>
        <v>5</v>
      </c>
      <c r="N2" s="282">
        <f>+'CE-mese'!K4</f>
        <v>6</v>
      </c>
      <c r="O2" s="282">
        <f>+'CE-mese'!L4</f>
        <v>7</v>
      </c>
      <c r="P2" s="282">
        <f>+'CE-mese'!M4</f>
        <v>8</v>
      </c>
      <c r="Q2" s="282">
        <f>+'CE-mese'!N4</f>
        <v>9</v>
      </c>
      <c r="R2" s="282">
        <f>+'CE-mese'!O4</f>
        <v>10</v>
      </c>
      <c r="S2" s="282">
        <f>+'CE-mese'!P4</f>
        <v>11</v>
      </c>
      <c r="T2" s="282">
        <f>+'CE-mese'!Q4</f>
        <v>12</v>
      </c>
      <c r="U2" s="282">
        <f>+'CE-mese'!R4</f>
        <v>1</v>
      </c>
      <c r="V2" s="282">
        <f>+'CE-mese'!S4</f>
        <v>2</v>
      </c>
      <c r="W2" s="282">
        <f>+'CE-mese'!T4</f>
        <v>3</v>
      </c>
      <c r="X2" s="282">
        <f>+'CE-mese'!U4</f>
        <v>4</v>
      </c>
      <c r="Y2" s="282">
        <f>+'CE-mese'!V4</f>
        <v>5</v>
      </c>
      <c r="Z2" s="282">
        <f>+'CE-mese'!W4</f>
        <v>6</v>
      </c>
      <c r="AA2" s="282">
        <f>+'CE-mese'!X4</f>
        <v>7</v>
      </c>
      <c r="AB2" s="282">
        <f>+'CE-mese'!Y4</f>
        <v>8</v>
      </c>
      <c r="AC2" s="282">
        <f>+'CE-mese'!Z4</f>
        <v>9</v>
      </c>
      <c r="AD2" s="282">
        <f>+'CE-mese'!AA4</f>
        <v>10</v>
      </c>
      <c r="AE2" s="282">
        <f>+'CE-mese'!AB4</f>
        <v>11</v>
      </c>
      <c r="AF2" s="282">
        <f>+'CE-mese'!AC4</f>
        <v>12</v>
      </c>
      <c r="AG2" s="282">
        <f>+'CE-mese'!AD4</f>
        <v>1</v>
      </c>
      <c r="AH2" s="282">
        <f>+'CE-mese'!AE4</f>
        <v>2</v>
      </c>
      <c r="AI2" s="282">
        <f>+'CE-mese'!AF4</f>
        <v>3</v>
      </c>
      <c r="AJ2" s="282">
        <f>+'CE-mese'!AG4</f>
        <v>4</v>
      </c>
      <c r="AK2" s="282">
        <f>+'CE-mese'!AH4</f>
        <v>5</v>
      </c>
      <c r="AL2" s="282">
        <f>+'CE-mese'!AI4</f>
        <v>6</v>
      </c>
      <c r="AM2" s="282">
        <f>+'CE-mese'!AJ4</f>
        <v>7</v>
      </c>
      <c r="AN2" s="282">
        <f>+'CE-mese'!AK4</f>
        <v>8</v>
      </c>
      <c r="AO2" s="282">
        <f>+'CE-mese'!AL4</f>
        <v>9</v>
      </c>
      <c r="AP2" s="282">
        <f>+'CE-mese'!AM4</f>
        <v>10</v>
      </c>
      <c r="AQ2" s="282">
        <f>+'CE-mese'!AN4</f>
        <v>11</v>
      </c>
      <c r="AR2" s="282">
        <f>+'CE-mese'!AO4</f>
        <v>12</v>
      </c>
      <c r="AS2" s="282">
        <f>+'CE-mese'!AP4</f>
        <v>1</v>
      </c>
      <c r="AT2" s="282">
        <f>+'CE-mese'!AQ4</f>
        <v>2</v>
      </c>
      <c r="AU2" s="282">
        <f>+'CE-mese'!AR4</f>
        <v>3</v>
      </c>
      <c r="AV2" s="282">
        <f>+'CE-mese'!AS4</f>
        <v>4</v>
      </c>
      <c r="AW2" s="282">
        <f>+'CE-mese'!AT4</f>
        <v>5</v>
      </c>
      <c r="AX2" s="282">
        <f>+'CE-mese'!AU4</f>
        <v>6</v>
      </c>
      <c r="AY2" s="282">
        <f>+'CE-mese'!AV4</f>
        <v>7</v>
      </c>
      <c r="AZ2" s="282">
        <f>+'CE-mese'!AW4</f>
        <v>8</v>
      </c>
      <c r="BA2" s="282">
        <f>+'CE-mese'!AX4</f>
        <v>9</v>
      </c>
      <c r="BB2" s="282">
        <f>+'CE-mese'!AY4</f>
        <v>10</v>
      </c>
      <c r="BC2" s="282">
        <f>+'CE-mese'!AZ4</f>
        <v>11</v>
      </c>
      <c r="BD2" s="282">
        <f>+'CE-mese'!BA4</f>
        <v>12</v>
      </c>
      <c r="BE2" s="282">
        <f>+'CE-mese'!BB4</f>
        <v>1</v>
      </c>
      <c r="BF2" s="282">
        <f>+'CE-mese'!BC4</f>
        <v>2</v>
      </c>
      <c r="BG2" s="282">
        <f>+'CE-mese'!BD4</f>
        <v>3</v>
      </c>
      <c r="BH2" s="282">
        <f>+'CE-mese'!BE4</f>
        <v>4</v>
      </c>
      <c r="BI2" s="282">
        <f>+'CE-mese'!BF4</f>
        <v>5</v>
      </c>
      <c r="BJ2" s="282">
        <f>+'CE-mese'!BG4</f>
        <v>6</v>
      </c>
      <c r="BK2" s="282">
        <f>+'CE-mese'!BH4</f>
        <v>7</v>
      </c>
      <c r="BL2" s="282">
        <f>+'CE-mese'!BI4</f>
        <v>8</v>
      </c>
      <c r="BM2" s="282">
        <f>+'CE-mese'!BJ4</f>
        <v>9</v>
      </c>
      <c r="BN2" s="282">
        <f>+'CE-mese'!BK4</f>
        <v>10</v>
      </c>
      <c r="BO2" s="282">
        <f>+'CE-mese'!BL4</f>
        <v>11</v>
      </c>
      <c r="BP2" s="282">
        <f>+'CE-mese'!BM4</f>
        <v>12</v>
      </c>
      <c r="BQ2" s="282">
        <f>+'CE-mese'!BN4</f>
        <v>1</v>
      </c>
      <c r="BR2" s="282">
        <f>+'CE-mese'!BO4</f>
        <v>2</v>
      </c>
      <c r="BS2" s="282">
        <f>+'CE-mese'!BP4</f>
        <v>3</v>
      </c>
      <c r="BT2" s="282">
        <f>+'CE-mese'!BQ4</f>
        <v>4</v>
      </c>
      <c r="BU2" s="282">
        <f>+'CE-mese'!BR4</f>
        <v>5</v>
      </c>
      <c r="BV2" s="282">
        <f>+'CE-mese'!BS4</f>
        <v>6</v>
      </c>
      <c r="BW2" s="282">
        <f>+'CE-mese'!BT4</f>
        <v>7</v>
      </c>
      <c r="BX2" s="282">
        <f>+'CE-mese'!BU4</f>
        <v>8</v>
      </c>
      <c r="BY2" s="282">
        <f>+'CE-mese'!BV4</f>
        <v>9</v>
      </c>
      <c r="BZ2" s="282">
        <f>+'CE-mese'!BW4</f>
        <v>10</v>
      </c>
      <c r="CA2" s="282">
        <f>+'CE-mese'!BX4</f>
        <v>11</v>
      </c>
      <c r="CB2" s="282">
        <f>+'CE-mese'!BY4</f>
        <v>12</v>
      </c>
      <c r="CC2" s="282">
        <f>+'CE-mese'!BZ4</f>
        <v>1</v>
      </c>
      <c r="CD2" s="282">
        <f>+'CE-mese'!CA4</f>
        <v>2</v>
      </c>
      <c r="CE2" s="282">
        <f>+'CE-mese'!CB4</f>
        <v>3</v>
      </c>
      <c r="CF2" s="282">
        <f>+'CE-mese'!CC4</f>
        <v>4</v>
      </c>
      <c r="CG2" s="282">
        <f>+'CE-mese'!CD4</f>
        <v>5</v>
      </c>
      <c r="CH2" s="282">
        <f>+'CE-mese'!CE4</f>
        <v>6</v>
      </c>
      <c r="CI2" s="282">
        <f>+'CE-mese'!CF4</f>
        <v>7</v>
      </c>
      <c r="CJ2" s="282">
        <f>+'CE-mese'!CG4</f>
        <v>8</v>
      </c>
      <c r="CK2" s="282">
        <f>+'CE-mese'!CH4</f>
        <v>9</v>
      </c>
      <c r="CL2" s="282">
        <f>+'CE-mese'!CI4</f>
        <v>10</v>
      </c>
      <c r="CM2" s="282">
        <f>+'CE-mese'!CJ4</f>
        <v>11</v>
      </c>
      <c r="CN2" s="282">
        <f>+'CE-mese'!CK4</f>
        <v>12</v>
      </c>
      <c r="CO2" s="282">
        <f>+'CE-mese'!CL4</f>
        <v>1</v>
      </c>
      <c r="CP2" s="282">
        <f>+'CE-mese'!CM4</f>
        <v>2</v>
      </c>
      <c r="CQ2" s="282">
        <f>+'CE-mese'!CN4</f>
        <v>3</v>
      </c>
      <c r="CR2" s="282">
        <f>+'CE-mese'!CO4</f>
        <v>4</v>
      </c>
      <c r="CS2" s="282">
        <f>+'CE-mese'!CP4</f>
        <v>5</v>
      </c>
      <c r="CT2" s="282">
        <f>+'CE-mese'!CQ4</f>
        <v>6</v>
      </c>
      <c r="CU2" s="282">
        <f>+'CE-mese'!CR4</f>
        <v>7</v>
      </c>
      <c r="CV2" s="282">
        <f>+'CE-mese'!CS4</f>
        <v>8</v>
      </c>
      <c r="CW2" s="282">
        <f>+'CE-mese'!CT4</f>
        <v>9</v>
      </c>
      <c r="CX2" s="282">
        <f>+'CE-mese'!CU4</f>
        <v>10</v>
      </c>
      <c r="CY2" s="282">
        <f>+'CE-mese'!CV4</f>
        <v>11</v>
      </c>
      <c r="CZ2" s="282">
        <f>+'CE-mese'!CW4</f>
        <v>12</v>
      </c>
      <c r="DA2" s="282">
        <f>+'CE-mese'!CX4</f>
        <v>1</v>
      </c>
      <c r="DB2" s="282">
        <f>+'CE-mese'!CY4</f>
        <v>2</v>
      </c>
      <c r="DC2" s="282">
        <f>+'CE-mese'!CZ4</f>
        <v>3</v>
      </c>
      <c r="DD2" s="282">
        <f>+'CE-mese'!DA4</f>
        <v>4</v>
      </c>
      <c r="DE2" s="282">
        <f>+'CE-mese'!DB4</f>
        <v>5</v>
      </c>
      <c r="DF2" s="282">
        <f>+'CE-mese'!DC4</f>
        <v>6</v>
      </c>
      <c r="DG2" s="282">
        <f>+'CE-mese'!DD4</f>
        <v>7</v>
      </c>
      <c r="DH2" s="282">
        <f>+'CE-mese'!DE4</f>
        <v>8</v>
      </c>
      <c r="DI2" s="282">
        <f>+'CE-mese'!DF4</f>
        <v>9</v>
      </c>
      <c r="DJ2" s="282">
        <f>+'CE-mese'!DG4</f>
        <v>10</v>
      </c>
      <c r="DK2" s="282">
        <f>+'CE-mese'!DH4</f>
        <v>11</v>
      </c>
      <c r="DL2" s="282">
        <f>+'CE-mese'!DI4</f>
        <v>12</v>
      </c>
      <c r="DM2" s="282">
        <f>+'CE-mese'!DJ4</f>
        <v>1</v>
      </c>
      <c r="DN2" s="282">
        <f>+'CE-mese'!DK4</f>
        <v>2</v>
      </c>
      <c r="DO2" s="282">
        <f>+'CE-mese'!DL4</f>
        <v>3</v>
      </c>
      <c r="DP2" s="282">
        <f>+'CE-mese'!DM4</f>
        <v>4</v>
      </c>
      <c r="DQ2" s="282">
        <f>+'CE-mese'!DN4</f>
        <v>5</v>
      </c>
      <c r="DR2" s="282">
        <f>+'CE-mese'!DO4</f>
        <v>6</v>
      </c>
      <c r="DS2" s="282">
        <f>+'CE-mese'!DP4</f>
        <v>7</v>
      </c>
      <c r="DT2" s="282">
        <f>+'CE-mese'!DQ4</f>
        <v>8</v>
      </c>
      <c r="DU2" s="282">
        <f>+'CE-mese'!DR4</f>
        <v>9</v>
      </c>
    </row>
    <row r="3" ht="14.5">
      <c r="B3" s="12" t="s">
        <v>1195</v>
      </c>
    </row>
    <row r="4" ht="15.5">
      <c r="C4" s="291"/>
      <c r="D4" s="291"/>
    </row>
    <row r="5" ht="14.5">
      <c r="C5" s="283"/>
      <c r="D5" s="283"/>
    </row>
    <row r="7" ht="14.5">
      <c r="B7" t="s">
        <v>1200</v>
      </c>
      <c r="C7" s="226" t="s">
        <v>1201</v>
      </c>
      <c r="D7" s="226"/>
      <c r="F7" s="226"/>
      <c r="G7" s="226"/>
      <c r="H7" s="226"/>
      <c r="I7" s="226"/>
      <c r="J7" s="226"/>
      <c r="K7" s="226"/>
      <c r="L7" s="226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226"/>
      <c r="Z7" s="226"/>
      <c r="AA7" s="226"/>
      <c r="AB7" s="226"/>
      <c r="AC7" s="226"/>
      <c r="AD7" s="226"/>
      <c r="AE7" s="226"/>
      <c r="AF7" s="226"/>
      <c r="AG7" s="226"/>
      <c r="AH7" s="226"/>
      <c r="AI7" s="226"/>
      <c r="AJ7" s="226"/>
      <c r="AK7" s="226"/>
      <c r="AL7" s="226"/>
      <c r="AM7" s="226"/>
      <c r="AN7" s="226"/>
      <c r="AO7" s="226"/>
      <c r="AP7" s="226"/>
      <c r="AQ7" s="226"/>
      <c r="AR7" s="226"/>
      <c r="AS7" s="226"/>
      <c r="AT7" s="226"/>
      <c r="AU7" s="226"/>
      <c r="AV7" s="226"/>
      <c r="AW7" s="226"/>
      <c r="AX7" s="226"/>
      <c r="AY7" s="226"/>
      <c r="AZ7" s="226"/>
      <c r="BA7" s="226"/>
      <c r="BB7" s="226"/>
      <c r="BC7" s="226"/>
      <c r="BD7" s="226"/>
      <c r="BE7" s="226">
        <v>0</v>
      </c>
      <c r="BF7" s="226">
        <v>0</v>
      </c>
      <c r="BG7" s="226">
        <v>0</v>
      </c>
      <c r="BH7" s="226">
        <v>0</v>
      </c>
      <c r="BI7" s="226">
        <v>0</v>
      </c>
      <c r="BJ7" s="226">
        <v>0</v>
      </c>
      <c r="BK7" s="226">
        <v>0</v>
      </c>
      <c r="BL7" s="226">
        <v>0</v>
      </c>
      <c r="BM7" s="226">
        <v>0</v>
      </c>
      <c r="BN7" s="226">
        <v>0</v>
      </c>
      <c r="BO7" s="226">
        <v>0</v>
      </c>
      <c r="BP7" s="226">
        <v>0</v>
      </c>
      <c r="BQ7" s="226">
        <v>0</v>
      </c>
      <c r="BR7" s="226">
        <v>0</v>
      </c>
      <c r="BS7" s="226">
        <v>0</v>
      </c>
      <c r="BT7" s="226">
        <v>0</v>
      </c>
      <c r="BU7" s="226">
        <v>0</v>
      </c>
      <c r="BV7" s="226">
        <v>0</v>
      </c>
      <c r="BW7" s="226">
        <v>0</v>
      </c>
      <c r="BX7" s="226">
        <v>0</v>
      </c>
      <c r="BY7" s="226">
        <v>0</v>
      </c>
      <c r="BZ7" s="226">
        <v>0</v>
      </c>
      <c r="CA7" s="226">
        <v>0</v>
      </c>
      <c r="CB7" s="226">
        <v>0</v>
      </c>
      <c r="CC7" s="226">
        <v>0</v>
      </c>
      <c r="CD7" s="226">
        <v>0</v>
      </c>
      <c r="CE7" s="226">
        <v>0</v>
      </c>
      <c r="CF7" s="226">
        <v>0</v>
      </c>
      <c r="CG7" s="226">
        <v>0</v>
      </c>
      <c r="CH7" s="226">
        <v>0</v>
      </c>
      <c r="CI7" s="226">
        <v>0</v>
      </c>
      <c r="CJ7" s="226">
        <v>0</v>
      </c>
      <c r="CK7" s="226">
        <v>0</v>
      </c>
      <c r="CL7" s="226">
        <v>0</v>
      </c>
      <c r="CM7" s="226">
        <v>0</v>
      </c>
      <c r="CN7" s="226">
        <v>0</v>
      </c>
      <c r="CO7" s="226">
        <v>0</v>
      </c>
      <c r="CP7" s="226">
        <v>0</v>
      </c>
      <c r="CQ7" s="226">
        <v>0</v>
      </c>
      <c r="CR7" s="226">
        <v>0</v>
      </c>
      <c r="CS7" s="226">
        <v>0</v>
      </c>
      <c r="CT7" s="226">
        <v>0</v>
      </c>
      <c r="CU7" s="226">
        <v>0</v>
      </c>
      <c r="CV7" s="226">
        <v>0</v>
      </c>
      <c r="CW7" s="226">
        <v>0</v>
      </c>
      <c r="CX7" s="226">
        <v>0</v>
      </c>
      <c r="CY7" s="226">
        <v>0</v>
      </c>
      <c r="CZ7" s="226">
        <v>0</v>
      </c>
      <c r="DA7" s="226">
        <v>0</v>
      </c>
      <c r="DB7" s="226">
        <v>0</v>
      </c>
      <c r="DC7" s="226">
        <v>0</v>
      </c>
      <c r="DD7" s="226">
        <v>0</v>
      </c>
      <c r="DE7" s="226">
        <v>0</v>
      </c>
      <c r="DF7" s="226">
        <v>0</v>
      </c>
      <c r="DG7" s="226">
        <v>0</v>
      </c>
      <c r="DH7" s="226">
        <v>0</v>
      </c>
      <c r="DI7" s="226">
        <v>0</v>
      </c>
      <c r="DJ7" s="226">
        <v>0</v>
      </c>
      <c r="DK7" s="226">
        <v>0</v>
      </c>
      <c r="DL7" s="226">
        <v>0</v>
      </c>
      <c r="DM7" s="226">
        <v>0</v>
      </c>
      <c r="DN7" s="226">
        <v>0</v>
      </c>
      <c r="DO7" s="226">
        <v>0</v>
      </c>
      <c r="DP7" s="226">
        <v>0</v>
      </c>
      <c r="DQ7" s="226">
        <v>0</v>
      </c>
      <c r="DR7" s="226">
        <v>0</v>
      </c>
      <c r="DS7" s="226">
        <v>0</v>
      </c>
      <c r="DT7" s="226">
        <v>0</v>
      </c>
      <c r="DU7" s="226">
        <v>0</v>
      </c>
    </row>
    <row r="8" ht="14.5">
      <c r="C8" s="289" t="s">
        <v>889</v>
      </c>
      <c r="D8" s="289"/>
      <c r="F8" s="289">
        <f>F7*$D$8</f>
        <v>0</v>
      </c>
      <c r="G8" s="289">
        <f t="shared" ref="G8:K8" si="0">G7*$D$8</f>
        <v>0</v>
      </c>
      <c r="H8" s="289">
        <f t="shared" si="0"/>
        <v>0</v>
      </c>
      <c r="I8" s="289">
        <f t="shared" si="0"/>
        <v>0</v>
      </c>
      <c r="J8" s="289">
        <f t="shared" si="0"/>
        <v>0</v>
      </c>
      <c r="K8" s="289">
        <f t="shared" si="0"/>
        <v>0</v>
      </c>
      <c r="L8" s="289">
        <f t="shared" ref="L8" si="1">L7*$D$8</f>
        <v>0</v>
      </c>
      <c r="M8" s="289">
        <f t="shared" ref="M8" si="2">M7*$D$8</f>
        <v>0</v>
      </c>
      <c r="N8" s="289">
        <f t="shared" ref="N8" si="3">N7*$D$8</f>
        <v>0</v>
      </c>
      <c r="O8" s="289">
        <f t="shared" ref="O8:P8" si="4">O7*$D$8</f>
        <v>0</v>
      </c>
      <c r="P8" s="289">
        <f t="shared" si="4"/>
        <v>0</v>
      </c>
      <c r="Q8" s="289">
        <f t="shared" ref="Q8" si="5">Q7*$D$8</f>
        <v>0</v>
      </c>
      <c r="R8" s="289">
        <f t="shared" ref="R8" si="6">R7*$D$8</f>
        <v>0</v>
      </c>
      <c r="S8" s="289">
        <f t="shared" ref="S8" si="7">S7*$D$8</f>
        <v>0</v>
      </c>
      <c r="T8" s="289">
        <f t="shared" ref="T8:U8" si="8">T7*$D$8</f>
        <v>0</v>
      </c>
      <c r="U8" s="289">
        <f t="shared" si="8"/>
        <v>0</v>
      </c>
      <c r="V8" s="289">
        <f t="shared" ref="V8" si="9">V7*$D$8</f>
        <v>0</v>
      </c>
      <c r="W8" s="289">
        <f t="shared" ref="W8" si="10">W7*$D$8</f>
        <v>0</v>
      </c>
      <c r="X8" s="289">
        <f t="shared" ref="X8" si="11">X7*$D$8</f>
        <v>0</v>
      </c>
      <c r="Y8" s="289">
        <f t="shared" ref="Y8:Z8" si="12">Y7*$D$8</f>
        <v>0</v>
      </c>
      <c r="Z8" s="289">
        <f t="shared" si="12"/>
        <v>0</v>
      </c>
      <c r="AA8" s="289">
        <f t="shared" ref="AA8" si="13">AA7*$D$8</f>
        <v>0</v>
      </c>
      <c r="AB8" s="289">
        <f t="shared" ref="AB8" si="14">AB7*$D$8</f>
        <v>0</v>
      </c>
      <c r="AC8" s="289">
        <f t="shared" ref="AC8" si="15">AC7*$D$8</f>
        <v>0</v>
      </c>
      <c r="AD8" s="289">
        <f t="shared" ref="AD8:AE8" si="16">AD7*$D$8</f>
        <v>0</v>
      </c>
      <c r="AE8" s="289">
        <f t="shared" si="16"/>
        <v>0</v>
      </c>
      <c r="AF8" s="289">
        <f t="shared" ref="AF8" si="17">AF7*$D$8</f>
        <v>0</v>
      </c>
      <c r="AG8" s="289">
        <f t="shared" ref="AG8" si="18">AG7*$D$8</f>
        <v>0</v>
      </c>
      <c r="AH8" s="289">
        <f t="shared" ref="AH8" si="19">AH7*$D$8</f>
        <v>0</v>
      </c>
      <c r="AI8" s="289">
        <f t="shared" ref="AI8:AJ8" si="20">AI7*$D$8</f>
        <v>0</v>
      </c>
      <c r="AJ8" s="289">
        <f t="shared" si="20"/>
        <v>0</v>
      </c>
      <c r="AK8" s="289">
        <f t="shared" ref="AK8" si="21">AK7*$D$8</f>
        <v>0</v>
      </c>
      <c r="AL8" s="289">
        <f t="shared" ref="AL8" si="22">AL7*$D$8</f>
        <v>0</v>
      </c>
      <c r="AM8" s="289">
        <f t="shared" ref="AM8" si="23">AM7*$D$8</f>
        <v>0</v>
      </c>
      <c r="AN8" s="289">
        <f t="shared" ref="AN8" si="24">AN7*$D$8</f>
        <v>0</v>
      </c>
      <c r="AO8" s="289">
        <f t="shared" ref="AO8" si="25">AO7*$D$8</f>
        <v>0</v>
      </c>
      <c r="AP8" s="289">
        <f t="shared" ref="AP8" si="26">AP7*$D$8</f>
        <v>0</v>
      </c>
      <c r="AQ8" s="289">
        <f t="shared" ref="AQ8" si="27">AQ7*$D$8</f>
        <v>0</v>
      </c>
      <c r="AR8" s="289">
        <f t="shared" ref="AR8" si="28">AR7*$D$8</f>
        <v>0</v>
      </c>
      <c r="AS8" s="289">
        <f t="shared" ref="AS8" si="29">AS7*$D$8</f>
        <v>0</v>
      </c>
      <c r="AT8" s="289">
        <f t="shared" ref="AT8" si="30">AT7*$D$8</f>
        <v>0</v>
      </c>
      <c r="AU8" s="289">
        <f t="shared" ref="AU8" si="31">AU7*$D$8</f>
        <v>0</v>
      </c>
      <c r="AV8" s="289">
        <f t="shared" ref="AV8" si="32">AV7*$D$8</f>
        <v>0</v>
      </c>
      <c r="AW8" s="289">
        <f t="shared" ref="AW8" si="33">AW7*$D$8</f>
        <v>0</v>
      </c>
      <c r="AX8" s="289">
        <f t="shared" ref="AX8" si="34">AX7*$D$8</f>
        <v>0</v>
      </c>
      <c r="AY8" s="289">
        <f t="shared" ref="AY8" si="35">AY7*$D$8</f>
        <v>0</v>
      </c>
      <c r="AZ8" s="289">
        <f t="shared" ref="AZ8" si="36">AZ7*$D$8</f>
        <v>0</v>
      </c>
      <c r="BA8" s="289">
        <f t="shared" ref="BA8" si="37">BA7*$D$8</f>
        <v>0</v>
      </c>
      <c r="BB8" s="289">
        <f t="shared" ref="BB8" si="38">BB7*$D$8</f>
        <v>0</v>
      </c>
      <c r="BC8" s="289">
        <f t="shared" ref="BC8" si="39">BC7*$D$8</f>
        <v>0</v>
      </c>
      <c r="BD8" s="289">
        <f t="shared" ref="BD8" si="40">BD7*$D$8</f>
        <v>0</v>
      </c>
      <c r="BE8" s="289">
        <f t="shared" ref="BE8" si="41">BE7*$D$8</f>
        <v>0</v>
      </c>
      <c r="BF8" s="289">
        <f t="shared" ref="BF8" si="42">BF7*$D$8</f>
        <v>0</v>
      </c>
      <c r="BG8" s="289">
        <f t="shared" ref="BG8" si="43">BG7*$D$8</f>
        <v>0</v>
      </c>
      <c r="BH8" s="289">
        <f t="shared" ref="BH8" si="44">BH7*$D$8</f>
        <v>0</v>
      </c>
      <c r="BI8" s="289">
        <f t="shared" ref="BI8" si="45">BI7*$D$8</f>
        <v>0</v>
      </c>
      <c r="BJ8" s="289">
        <f t="shared" ref="BJ8" si="46">BJ7*$D$8</f>
        <v>0</v>
      </c>
      <c r="BK8" s="289">
        <f t="shared" ref="BK8" si="47">BK7*$D$8</f>
        <v>0</v>
      </c>
      <c r="BL8" s="289">
        <f t="shared" ref="BL8" si="48">BL7*$D$8</f>
        <v>0</v>
      </c>
      <c r="BM8" s="289">
        <f t="shared" ref="BM8" si="49">BM7*$D$8</f>
        <v>0</v>
      </c>
      <c r="BN8" s="289">
        <f t="shared" ref="BN8" si="50">BN7*$D$8</f>
        <v>0</v>
      </c>
      <c r="BO8" s="289">
        <f t="shared" ref="BO8" si="51">BO7*$D$8</f>
        <v>0</v>
      </c>
      <c r="BP8" s="289">
        <f t="shared" ref="BP8" si="52">BP7*$D$8</f>
        <v>0</v>
      </c>
      <c r="BQ8" s="289">
        <f t="shared" ref="BQ8" si="53">BQ7*$D$8</f>
        <v>0</v>
      </c>
      <c r="BR8" s="289">
        <f t="shared" ref="BR8" si="54">BR7*$D$8</f>
        <v>0</v>
      </c>
      <c r="BS8" s="289">
        <f t="shared" ref="BS8" si="55">BS7*$D$8</f>
        <v>0</v>
      </c>
      <c r="BT8" s="289">
        <f t="shared" ref="BT8" si="56">BT7*$D$8</f>
        <v>0</v>
      </c>
      <c r="BU8" s="289">
        <f t="shared" ref="BU8" si="57">BU7*$D$8</f>
        <v>0</v>
      </c>
      <c r="BV8" s="289">
        <f t="shared" ref="BV8" si="58">BV7*$D$8</f>
        <v>0</v>
      </c>
      <c r="BW8" s="289">
        <f t="shared" ref="BW8" si="59">BW7*$D$8</f>
        <v>0</v>
      </c>
      <c r="BX8" s="289">
        <f t="shared" ref="BX8" si="60">BX7*$D$8</f>
        <v>0</v>
      </c>
      <c r="BY8" s="289">
        <f t="shared" ref="BY8" si="61">BY7*$D$8</f>
        <v>0</v>
      </c>
      <c r="BZ8" s="289">
        <f t="shared" ref="BZ8" si="62">BZ7*$D$8</f>
        <v>0</v>
      </c>
      <c r="CA8" s="289">
        <f t="shared" ref="CA8" si="63">CA7*$D$8</f>
        <v>0</v>
      </c>
      <c r="CB8" s="289">
        <f t="shared" ref="CB8" si="64">CB7*$D$8</f>
        <v>0</v>
      </c>
      <c r="CC8" s="289">
        <f t="shared" ref="CC8" si="65">CC7*$D$8</f>
        <v>0</v>
      </c>
      <c r="CD8" s="289">
        <f t="shared" ref="CD8" si="66">CD7*$D$8</f>
        <v>0</v>
      </c>
      <c r="CE8" s="289">
        <f t="shared" ref="CE8" si="67">CE7*$D$8</f>
        <v>0</v>
      </c>
      <c r="CF8" s="289">
        <f t="shared" ref="CF8" si="68">CF7*$D$8</f>
        <v>0</v>
      </c>
      <c r="CG8" s="289">
        <f t="shared" ref="CG8" si="69">CG7*$D$8</f>
        <v>0</v>
      </c>
      <c r="CH8" s="289">
        <f t="shared" ref="CH8" si="70">CH7*$D$8</f>
        <v>0</v>
      </c>
      <c r="CI8" s="289">
        <f t="shared" ref="CI8" si="71">CI7*$D$8</f>
        <v>0</v>
      </c>
      <c r="CJ8" s="289">
        <f t="shared" ref="CJ8" si="72">CJ7*$D$8</f>
        <v>0</v>
      </c>
      <c r="CK8" s="289">
        <f t="shared" ref="CK8" si="73">CK7*$D$8</f>
        <v>0</v>
      </c>
      <c r="CL8" s="289">
        <f t="shared" ref="CL8" si="74">CL7*$D$8</f>
        <v>0</v>
      </c>
      <c r="CM8" s="289">
        <f t="shared" ref="CM8" si="75">CM7*$D$8</f>
        <v>0</v>
      </c>
      <c r="CN8" s="289">
        <f t="shared" ref="CN8" si="76">CN7*$D$8</f>
        <v>0</v>
      </c>
      <c r="CO8" s="289">
        <f t="shared" ref="CO8" si="77">CO7*$D$8</f>
        <v>0</v>
      </c>
      <c r="CP8" s="289">
        <f t="shared" ref="CP8" si="78">CP7*$D$8</f>
        <v>0</v>
      </c>
      <c r="CQ8" s="289">
        <f t="shared" ref="CQ8" si="79">CQ7*$D$8</f>
        <v>0</v>
      </c>
      <c r="CR8" s="289">
        <f t="shared" ref="CR8" si="80">CR7*$D$8</f>
        <v>0</v>
      </c>
      <c r="CS8" s="289">
        <f t="shared" ref="CS8" si="81">CS7*$D$8</f>
        <v>0</v>
      </c>
      <c r="CT8" s="289">
        <f t="shared" ref="CT8" si="82">CT7*$D$8</f>
        <v>0</v>
      </c>
      <c r="CU8" s="289">
        <f t="shared" ref="CU8" si="83">CU7*$D$8</f>
        <v>0</v>
      </c>
      <c r="CV8" s="289">
        <f t="shared" ref="CV8" si="84">CV7*$D$8</f>
        <v>0</v>
      </c>
      <c r="CW8" s="289">
        <f t="shared" ref="CW8" si="85">CW7*$D$8</f>
        <v>0</v>
      </c>
      <c r="CX8" s="289">
        <f t="shared" ref="CX8" si="86">CX7*$D$8</f>
        <v>0</v>
      </c>
      <c r="CY8" s="289">
        <f t="shared" ref="CY8" si="87">CY7*$D$8</f>
        <v>0</v>
      </c>
      <c r="CZ8" s="289">
        <f t="shared" ref="CZ8" si="88">CZ7*$D$8</f>
        <v>0</v>
      </c>
      <c r="DA8" s="289">
        <f t="shared" ref="DA8" si="89">DA7*$D$8</f>
        <v>0</v>
      </c>
      <c r="DB8" s="289">
        <f t="shared" ref="DB8" si="90">DB7*$D$8</f>
        <v>0</v>
      </c>
      <c r="DC8" s="289">
        <f t="shared" ref="DC8" si="91">DC7*$D$8</f>
        <v>0</v>
      </c>
      <c r="DD8" s="289">
        <f t="shared" ref="DD8" si="92">DD7*$D$8</f>
        <v>0</v>
      </c>
      <c r="DE8" s="289">
        <f t="shared" ref="DE8" si="93">DE7*$D$8</f>
        <v>0</v>
      </c>
      <c r="DF8" s="289">
        <f t="shared" ref="DF8" si="94">DF7*$D$8</f>
        <v>0</v>
      </c>
      <c r="DG8" s="289">
        <f t="shared" ref="DG8" si="95">DG7*$D$8</f>
        <v>0</v>
      </c>
      <c r="DH8" s="289">
        <f t="shared" ref="DH8" si="96">DH7*$D$8</f>
        <v>0</v>
      </c>
      <c r="DI8" s="289">
        <f t="shared" ref="DI8" si="97">DI7*$D$8</f>
        <v>0</v>
      </c>
      <c r="DJ8" s="289">
        <f t="shared" ref="DJ8" si="98">DJ7*$D$8</f>
        <v>0</v>
      </c>
      <c r="DK8" s="289">
        <f t="shared" ref="DK8" si="99">DK7*$D$8</f>
        <v>0</v>
      </c>
      <c r="DL8" s="289">
        <f t="shared" ref="DL8" si="100">DL7*$D$8</f>
        <v>0</v>
      </c>
      <c r="DM8" s="289">
        <f t="shared" ref="DM8" si="101">DM7*$D$8</f>
        <v>0</v>
      </c>
      <c r="DN8" s="289">
        <f t="shared" ref="DN8" si="102">DN7*$D$8</f>
        <v>0</v>
      </c>
      <c r="DO8" s="289">
        <f t="shared" ref="DO8" si="103">DO7*$D$8</f>
        <v>0</v>
      </c>
      <c r="DP8" s="289">
        <f t="shared" ref="DP8" si="104">DP7*$D$8</f>
        <v>0</v>
      </c>
      <c r="DQ8" s="289">
        <f t="shared" ref="DQ8" si="105">DQ7*$D$8</f>
        <v>0</v>
      </c>
      <c r="DR8" s="289">
        <f t="shared" ref="DR8" si="106">DR7*$D$8</f>
        <v>0</v>
      </c>
      <c r="DS8" s="289">
        <f t="shared" ref="DS8" si="107">DS7*$D$8</f>
        <v>0</v>
      </c>
      <c r="DT8" s="289">
        <f t="shared" ref="DT8" si="108">DT7*$D$8</f>
        <v>0</v>
      </c>
      <c r="DU8" s="289">
        <f t="shared" ref="DU8" si="109">DU7*$D$8</f>
        <v>0</v>
      </c>
    </row>
    <row r="9" ht="14.5">
      <c r="C9" s="67" t="s">
        <v>890</v>
      </c>
      <c r="D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  <c r="AQ9" s="67"/>
      <c r="AR9" s="67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  <c r="BM9" s="67"/>
      <c r="BN9" s="67"/>
      <c r="BO9" s="67"/>
      <c r="BP9" s="67"/>
      <c r="BQ9" s="67"/>
      <c r="BR9" s="67"/>
      <c r="BS9" s="67"/>
      <c r="BT9" s="67"/>
      <c r="BU9" s="67"/>
      <c r="BV9" s="67"/>
      <c r="BW9" s="67"/>
      <c r="BX9" s="67"/>
      <c r="BY9" s="67"/>
      <c r="BZ9" s="67"/>
      <c r="CA9" s="67"/>
      <c r="CB9" s="67"/>
      <c r="CC9" s="67"/>
      <c r="CD9" s="67"/>
      <c r="CE9" s="67"/>
      <c r="CF9" s="67"/>
      <c r="CG9" s="67"/>
      <c r="CH9" s="67"/>
      <c r="CI9" s="67"/>
      <c r="CJ9" s="67"/>
      <c r="CK9" s="67"/>
      <c r="CL9" s="67"/>
      <c r="CM9" s="67"/>
      <c r="CN9" s="67"/>
      <c r="CO9" s="67"/>
      <c r="CP9" s="67"/>
      <c r="CQ9" s="67"/>
      <c r="CR9" s="67"/>
      <c r="CS9" s="67"/>
      <c r="CT9" s="67"/>
      <c r="CU9" s="67"/>
      <c r="CV9" s="67"/>
      <c r="CW9" s="67"/>
      <c r="CX9" s="67"/>
      <c r="CY9" s="67"/>
      <c r="CZ9" s="67"/>
      <c r="DA9" s="67"/>
      <c r="DB9" s="67"/>
      <c r="DC9" s="67"/>
      <c r="DD9" s="67"/>
      <c r="DE9" s="67"/>
      <c r="DF9" s="67"/>
      <c r="DG9" s="67"/>
      <c r="DH9" s="67"/>
      <c r="DI9" s="67"/>
      <c r="DJ9" s="67"/>
      <c r="DK9" s="67"/>
      <c r="DL9" s="67"/>
      <c r="DM9" s="67"/>
      <c r="DN9" s="67"/>
      <c r="DO9" s="67"/>
      <c r="DP9" s="67"/>
      <c r="DQ9" s="67"/>
      <c r="DR9" s="67"/>
      <c r="DS9" s="67"/>
      <c r="DT9" s="67"/>
      <c r="DU9" s="67"/>
    </row>
    <row r="10" ht="14.5">
      <c r="C10" s="289"/>
      <c r="D10" s="289" t="s">
        <v>891</v>
      </c>
      <c r="F10" s="289">
        <f>IF($D9=0,SUM(F7:F8),0)</f>
        <v>0</v>
      </c>
      <c r="G10" s="289">
        <f>IF($D9=0,SUM(G7:G8),IF($D9=30,SUM(F7:F8),0))</f>
        <v>0</v>
      </c>
      <c r="H10" s="289">
        <f>IF($D9=0,SUM(H7:H8),IF($D9=30,SUM(G7:G8),IF($D9=60,SUM(F7:F8),0)))</f>
        <v>0</v>
      </c>
      <c r="I10" s="289">
        <f>IF($D9=0,SUM(I7:I8),IF($D9=30,SUM(H7:H8),IF($D9=60,SUM(G7:G8),IF($D9=90,SUM(F7:F8),0))))</f>
        <v>0</v>
      </c>
      <c r="J10" s="289">
        <f>IF($D9=0,SUM(J7:J8),IF($D9=30,SUM(I7:I8),IF($D9=60,SUM(H7:H8),IF($D9=90,SUM(G7:G8),+F7+F8))))</f>
        <v>0</v>
      </c>
      <c r="K10" s="289">
        <f t="shared" ref="K10:BV10" si="110">IF($D9=0,SUM(K7:K8),IF($D9=30,SUM(J7:J8),IF($D9=60,SUM(I7:I8),IF($D9=90,SUM(H7:H8),+G7+G8))))</f>
        <v>0</v>
      </c>
      <c r="L10" s="289">
        <f t="shared" si="110"/>
        <v>0</v>
      </c>
      <c r="M10" s="289">
        <f t="shared" si="110"/>
        <v>0</v>
      </c>
      <c r="N10" s="289">
        <f t="shared" si="110"/>
        <v>0</v>
      </c>
      <c r="O10" s="289">
        <f t="shared" si="110"/>
        <v>0</v>
      </c>
      <c r="P10" s="289">
        <f t="shared" si="110"/>
        <v>0</v>
      </c>
      <c r="Q10" s="289">
        <f t="shared" si="110"/>
        <v>0</v>
      </c>
      <c r="R10" s="289">
        <f t="shared" si="110"/>
        <v>0</v>
      </c>
      <c r="S10" s="289">
        <f t="shared" si="110"/>
        <v>0</v>
      </c>
      <c r="T10" s="289">
        <f t="shared" si="110"/>
        <v>0</v>
      </c>
      <c r="U10" s="289">
        <f t="shared" si="110"/>
        <v>0</v>
      </c>
      <c r="V10" s="289">
        <f t="shared" si="110"/>
        <v>0</v>
      </c>
      <c r="W10" s="289">
        <f t="shared" si="110"/>
        <v>0</v>
      </c>
      <c r="X10" s="289">
        <f t="shared" si="110"/>
        <v>0</v>
      </c>
      <c r="Y10" s="289">
        <f t="shared" si="110"/>
        <v>0</v>
      </c>
      <c r="Z10" s="289">
        <f t="shared" si="110"/>
        <v>0</v>
      </c>
      <c r="AA10" s="289">
        <f t="shared" si="110"/>
        <v>0</v>
      </c>
      <c r="AB10" s="289">
        <f t="shared" si="110"/>
        <v>0</v>
      </c>
      <c r="AC10" s="289">
        <f t="shared" si="110"/>
        <v>0</v>
      </c>
      <c r="AD10" s="289">
        <f t="shared" si="110"/>
        <v>0</v>
      </c>
      <c r="AE10" s="289">
        <f t="shared" si="110"/>
        <v>0</v>
      </c>
      <c r="AF10" s="289">
        <f t="shared" si="110"/>
        <v>0</v>
      </c>
      <c r="AG10" s="289">
        <f t="shared" si="110"/>
        <v>0</v>
      </c>
      <c r="AH10" s="289">
        <f t="shared" si="110"/>
        <v>0</v>
      </c>
      <c r="AI10" s="289">
        <f t="shared" si="110"/>
        <v>0</v>
      </c>
      <c r="AJ10" s="289">
        <f t="shared" si="110"/>
        <v>0</v>
      </c>
      <c r="AK10" s="289">
        <f t="shared" si="110"/>
        <v>0</v>
      </c>
      <c r="AL10" s="289">
        <f t="shared" si="110"/>
        <v>0</v>
      </c>
      <c r="AM10" s="289">
        <f t="shared" si="110"/>
        <v>0</v>
      </c>
      <c r="AN10" s="289">
        <f t="shared" si="110"/>
        <v>0</v>
      </c>
      <c r="AO10" s="289">
        <f t="shared" si="110"/>
        <v>0</v>
      </c>
      <c r="AP10" s="289">
        <f t="shared" si="110"/>
        <v>0</v>
      </c>
      <c r="AQ10" s="289">
        <f t="shared" si="110"/>
        <v>0</v>
      </c>
      <c r="AR10" s="289">
        <f t="shared" si="110"/>
        <v>0</v>
      </c>
      <c r="AS10" s="289">
        <f t="shared" si="110"/>
        <v>0</v>
      </c>
      <c r="AT10" s="289">
        <f t="shared" si="110"/>
        <v>0</v>
      </c>
      <c r="AU10" s="289">
        <f t="shared" si="110"/>
        <v>0</v>
      </c>
      <c r="AV10" s="289">
        <f t="shared" si="110"/>
        <v>0</v>
      </c>
      <c r="AW10" s="289">
        <f t="shared" si="110"/>
        <v>0</v>
      </c>
      <c r="AX10" s="289">
        <f t="shared" si="110"/>
        <v>0</v>
      </c>
      <c r="AY10" s="289">
        <f t="shared" si="110"/>
        <v>0</v>
      </c>
      <c r="AZ10" s="289">
        <f t="shared" si="110"/>
        <v>0</v>
      </c>
      <c r="BA10" s="289">
        <f t="shared" si="110"/>
        <v>0</v>
      </c>
      <c r="BB10" s="289">
        <f t="shared" si="110"/>
        <v>0</v>
      </c>
      <c r="BC10" s="289">
        <f t="shared" si="110"/>
        <v>0</v>
      </c>
      <c r="BD10" s="289">
        <f t="shared" si="110"/>
        <v>0</v>
      </c>
      <c r="BE10" s="289">
        <f t="shared" si="110"/>
        <v>0</v>
      </c>
      <c r="BF10" s="289">
        <f t="shared" si="110"/>
        <v>0</v>
      </c>
      <c r="BG10" s="289">
        <f t="shared" si="110"/>
        <v>0</v>
      </c>
      <c r="BH10" s="289">
        <f t="shared" si="110"/>
        <v>0</v>
      </c>
      <c r="BI10" s="289">
        <f t="shared" si="110"/>
        <v>0</v>
      </c>
      <c r="BJ10" s="289">
        <f t="shared" si="110"/>
        <v>0</v>
      </c>
      <c r="BK10" s="289">
        <f t="shared" si="110"/>
        <v>0</v>
      </c>
      <c r="BL10" s="289">
        <f t="shared" si="110"/>
        <v>0</v>
      </c>
      <c r="BM10" s="289">
        <f t="shared" si="110"/>
        <v>0</v>
      </c>
      <c r="BN10" s="289">
        <f t="shared" si="110"/>
        <v>0</v>
      </c>
      <c r="BO10" s="289">
        <f t="shared" si="110"/>
        <v>0</v>
      </c>
      <c r="BP10" s="289">
        <f t="shared" si="110"/>
        <v>0</v>
      </c>
      <c r="BQ10" s="289">
        <f t="shared" si="110"/>
        <v>0</v>
      </c>
      <c r="BR10" s="289">
        <f t="shared" si="110"/>
        <v>0</v>
      </c>
      <c r="BS10" s="289">
        <f t="shared" si="110"/>
        <v>0</v>
      </c>
      <c r="BT10" s="289">
        <f t="shared" si="110"/>
        <v>0</v>
      </c>
      <c r="BU10" s="289">
        <f t="shared" si="110"/>
        <v>0</v>
      </c>
      <c r="BV10" s="289">
        <f t="shared" si="110"/>
        <v>0</v>
      </c>
      <c r="BW10" s="289">
        <f t="shared" ref="BW10:DU10" si="111">IF($D9=0,SUM(BW7:BW8),IF($D9=30,SUM(BV7:BV8),IF($D9=60,SUM(BU7:BU8),IF($D9=90,SUM(BT7:BT8),+BS7+BS8))))</f>
        <v>0</v>
      </c>
      <c r="BX10" s="289">
        <f t="shared" si="111"/>
        <v>0</v>
      </c>
      <c r="BY10" s="289">
        <f t="shared" si="111"/>
        <v>0</v>
      </c>
      <c r="BZ10" s="289">
        <f t="shared" si="111"/>
        <v>0</v>
      </c>
      <c r="CA10" s="289">
        <f t="shared" si="111"/>
        <v>0</v>
      </c>
      <c r="CB10" s="289">
        <f t="shared" si="111"/>
        <v>0</v>
      </c>
      <c r="CC10" s="289">
        <f t="shared" si="111"/>
        <v>0</v>
      </c>
      <c r="CD10" s="289">
        <f t="shared" si="111"/>
        <v>0</v>
      </c>
      <c r="CE10" s="289">
        <f t="shared" si="111"/>
        <v>0</v>
      </c>
      <c r="CF10" s="289">
        <f t="shared" si="111"/>
        <v>0</v>
      </c>
      <c r="CG10" s="289">
        <f t="shared" si="111"/>
        <v>0</v>
      </c>
      <c r="CH10" s="289">
        <f t="shared" si="111"/>
        <v>0</v>
      </c>
      <c r="CI10" s="289">
        <f t="shared" si="111"/>
        <v>0</v>
      </c>
      <c r="CJ10" s="289">
        <f t="shared" si="111"/>
        <v>0</v>
      </c>
      <c r="CK10" s="289">
        <f t="shared" si="111"/>
        <v>0</v>
      </c>
      <c r="CL10" s="289">
        <f t="shared" si="111"/>
        <v>0</v>
      </c>
      <c r="CM10" s="289">
        <f t="shared" si="111"/>
        <v>0</v>
      </c>
      <c r="CN10" s="289">
        <f t="shared" si="111"/>
        <v>0</v>
      </c>
      <c r="CO10" s="289">
        <f t="shared" si="111"/>
        <v>0</v>
      </c>
      <c r="CP10" s="289">
        <f t="shared" si="111"/>
        <v>0</v>
      </c>
      <c r="CQ10" s="289">
        <f t="shared" si="111"/>
        <v>0</v>
      </c>
      <c r="CR10" s="289">
        <f t="shared" si="111"/>
        <v>0</v>
      </c>
      <c r="CS10" s="289">
        <f t="shared" si="111"/>
        <v>0</v>
      </c>
      <c r="CT10" s="289">
        <f t="shared" si="111"/>
        <v>0</v>
      </c>
      <c r="CU10" s="289">
        <f t="shared" si="111"/>
        <v>0</v>
      </c>
      <c r="CV10" s="289">
        <f t="shared" si="111"/>
        <v>0</v>
      </c>
      <c r="CW10" s="289">
        <f t="shared" si="111"/>
        <v>0</v>
      </c>
      <c r="CX10" s="289">
        <f t="shared" si="111"/>
        <v>0</v>
      </c>
      <c r="CY10" s="289">
        <f t="shared" si="111"/>
        <v>0</v>
      </c>
      <c r="CZ10" s="289">
        <f t="shared" si="111"/>
        <v>0</v>
      </c>
      <c r="DA10" s="289">
        <f t="shared" si="111"/>
        <v>0</v>
      </c>
      <c r="DB10" s="289">
        <f t="shared" si="111"/>
        <v>0</v>
      </c>
      <c r="DC10" s="289">
        <f t="shared" si="111"/>
        <v>0</v>
      </c>
      <c r="DD10" s="289">
        <f t="shared" si="111"/>
        <v>0</v>
      </c>
      <c r="DE10" s="289">
        <f t="shared" si="111"/>
        <v>0</v>
      </c>
      <c r="DF10" s="289">
        <f t="shared" si="111"/>
        <v>0</v>
      </c>
      <c r="DG10" s="289">
        <f t="shared" si="111"/>
        <v>0</v>
      </c>
      <c r="DH10" s="289">
        <f t="shared" si="111"/>
        <v>0</v>
      </c>
      <c r="DI10" s="289">
        <f t="shared" si="111"/>
        <v>0</v>
      </c>
      <c r="DJ10" s="289">
        <f t="shared" si="111"/>
        <v>0</v>
      </c>
      <c r="DK10" s="289">
        <f t="shared" si="111"/>
        <v>0</v>
      </c>
      <c r="DL10" s="289">
        <f t="shared" si="111"/>
        <v>0</v>
      </c>
      <c r="DM10" s="289">
        <f t="shared" si="111"/>
        <v>0</v>
      </c>
      <c r="DN10" s="289">
        <f t="shared" si="111"/>
        <v>0</v>
      </c>
      <c r="DO10" s="289">
        <f t="shared" si="111"/>
        <v>0</v>
      </c>
      <c r="DP10" s="289">
        <f t="shared" si="111"/>
        <v>0</v>
      </c>
      <c r="DQ10" s="289">
        <f t="shared" si="111"/>
        <v>0</v>
      </c>
      <c r="DR10" s="289">
        <f t="shared" si="111"/>
        <v>0</v>
      </c>
      <c r="DS10" s="289">
        <f t="shared" si="111"/>
        <v>0</v>
      </c>
      <c r="DT10" s="289">
        <f t="shared" si="111"/>
        <v>0</v>
      </c>
      <c r="DU10" s="289">
        <f t="shared" si="111"/>
        <v>0</v>
      </c>
    </row>
  </sheetData>
  <dataValidations count="1">
    <dataValidation type="list" allowBlank="1" showInputMessage="1" showErrorMessage="1" sqref="D9">
      <formula1>"0,30,60,90,120"</formula1>
    </dataValidation>
  </dataValidations>
  <hyperlinks>
    <hyperlink ref="A1" location="Input!A1" display="MENU"/>
  </hyperlinks>
</worksheet>
</file>

<file path=xl/worksheets/sheet32.xml><?xml version="1.0" encoding="utf-8"?>
<worksheet xmlns:r="http://schemas.openxmlformats.org/officeDocument/2006/relationships" xmlns="http://schemas.openxmlformats.org/spreadsheetml/2006/main">
  <sheetPr>
    <tabColor rgb="FF92D050"/>
  </sheetPr>
  <sheetViews>
    <sheetView showGridLines="0" zoomScaleNormal="100" zoomScalePageLayoutView="85" workbookViewId="0">
      <pane activePane="bottomRight" state="frozen" topLeftCell="B14" xSplit="1" ySplit="4"/>
      <selection pane="topRight" activeCell="B1" sqref="B1"/>
      <selection pane="bottomLeft" activeCell="A5" sqref="A5"/>
      <selection pane="bottomRight" activeCell="B14" sqref="B14"/>
    </sheetView>
  </sheetViews>
  <sheetFormatPr defaultColWidth="8.855469" defaultRowHeight="15" outlineLevelCol="1"/>
  <cols>
    <col min="1" max="1" width="40.42578" bestFit="1" customWidth="1"/>
    <col min="2" max="2" width="6.425781" bestFit="1" customWidth="1"/>
    <col min="3" max="3" width="12" customWidth="1" outlineLevel="1"/>
    <col min="4" max="122" width="10.42578" customWidth="1" outlineLevel="1"/>
    <col min="124" max="133" width="12.42578" bestFit="1" customWidth="1"/>
    <col min="136" max="136" width="12" bestFit="1" customWidth="1"/>
  </cols>
  <sheetData>
    <row r="1" ht="14.5">
      <c r="A1" s="79" t="s">
        <v>38</v>
      </c>
    </row>
    <row r="2" ht="28.5">
      <c r="A2" s="151" t="s">
        <v>1202</v>
      </c>
      <c r="B2" s="292"/>
    </row>
    <row r="3" ht="14.5">
      <c r="A3" s="143"/>
      <c r="B3" s="143" t="s">
        <v>887</v>
      </c>
      <c r="C3" s="143">
        <f>+'SP-mese'!D3</f>
        <v>2025</v>
      </c>
      <c r="D3" s="143">
        <f>+'SP-mese'!E3</f>
        <v>2025</v>
      </c>
      <c r="E3" s="143">
        <f>+'SP-mese'!F3</f>
        <v>2025</v>
      </c>
      <c r="F3" s="143">
        <f>+'SP-mese'!G3</f>
        <v>2026</v>
      </c>
      <c r="G3" s="143">
        <f>+'SP-mese'!H3</f>
        <v>2026</v>
      </c>
      <c r="H3" s="143">
        <f>+'SP-mese'!I3</f>
        <v>2026</v>
      </c>
      <c r="I3" s="143">
        <f>+'SP-mese'!J3</f>
        <v>2026</v>
      </c>
      <c r="J3" s="143">
        <f>+'SP-mese'!K3</f>
        <v>2026</v>
      </c>
      <c r="K3" s="143">
        <f>+'SP-mese'!L3</f>
        <v>2026</v>
      </c>
      <c r="L3" s="143">
        <f>+'SP-mese'!M3</f>
        <v>2026</v>
      </c>
      <c r="M3" s="143">
        <f>+'SP-mese'!N3</f>
        <v>2026</v>
      </c>
      <c r="N3" s="143">
        <f>+'SP-mese'!O3</f>
        <v>2026</v>
      </c>
      <c r="O3" s="143">
        <f>+'SP-mese'!P3</f>
        <v>2026</v>
      </c>
      <c r="P3" s="143">
        <f>+'SP-mese'!Q3</f>
        <v>2026</v>
      </c>
      <c r="Q3" s="143">
        <f>+'SP-mese'!R3</f>
        <v>2026</v>
      </c>
      <c r="R3" s="143">
        <f>+'SP-mese'!S3</f>
        <v>2027</v>
      </c>
      <c r="S3" s="143">
        <f>+'SP-mese'!T3</f>
        <v>2027</v>
      </c>
      <c r="T3" s="143">
        <f>+'SP-mese'!U3</f>
        <v>2027</v>
      </c>
      <c r="U3" s="143">
        <f>+'SP-mese'!V3</f>
        <v>2027</v>
      </c>
      <c r="V3" s="143">
        <f>+'SP-mese'!W3</f>
        <v>2027</v>
      </c>
      <c r="W3" s="143">
        <f>+'SP-mese'!X3</f>
        <v>2027</v>
      </c>
      <c r="X3" s="143">
        <f>+'SP-mese'!Y3</f>
        <v>2027</v>
      </c>
      <c r="Y3" s="143">
        <f>+'SP-mese'!Z3</f>
        <v>2027</v>
      </c>
      <c r="Z3" s="143">
        <f>+'SP-mese'!AA3</f>
        <v>2027</v>
      </c>
      <c r="AA3" s="143">
        <f>+'SP-mese'!AB3</f>
        <v>2027</v>
      </c>
      <c r="AB3" s="143">
        <f>+'SP-mese'!AC3</f>
        <v>2027</v>
      </c>
      <c r="AC3" s="143">
        <f>+'SP-mese'!AD3</f>
        <v>2027</v>
      </c>
      <c r="AD3" s="143">
        <f>+'SP-mese'!AE3</f>
        <v>2028</v>
      </c>
      <c r="AE3" s="143">
        <f>+'SP-mese'!AF3</f>
        <v>2028</v>
      </c>
      <c r="AF3" s="143">
        <f>+'SP-mese'!AG3</f>
        <v>2028</v>
      </c>
      <c r="AG3" s="143">
        <f>+'SP-mese'!AH3</f>
        <v>2028</v>
      </c>
      <c r="AH3" s="143">
        <f>+'SP-mese'!AI3</f>
        <v>2028</v>
      </c>
      <c r="AI3" s="143">
        <f>+'SP-mese'!AJ3</f>
        <v>2028</v>
      </c>
      <c r="AJ3" s="143">
        <f>+'SP-mese'!AK3</f>
        <v>2028</v>
      </c>
      <c r="AK3" s="143">
        <f>+'SP-mese'!AL3</f>
        <v>2028</v>
      </c>
      <c r="AL3" s="143">
        <f>+'SP-mese'!AM3</f>
        <v>2028</v>
      </c>
      <c r="AM3" s="143">
        <f>+'SP-mese'!AN3</f>
        <v>2028</v>
      </c>
      <c r="AN3" s="143">
        <f>+'SP-mese'!AO3</f>
        <v>2028</v>
      </c>
      <c r="AO3" s="143">
        <f>+'SP-mese'!AP3</f>
        <v>2028</v>
      </c>
      <c r="AP3" s="143">
        <f>+'SP-mese'!AQ3</f>
        <v>2029</v>
      </c>
      <c r="AQ3" s="143">
        <f>+'SP-mese'!AR3</f>
        <v>2029</v>
      </c>
      <c r="AR3" s="143">
        <f>+'SP-mese'!AS3</f>
        <v>2029</v>
      </c>
      <c r="AS3" s="143">
        <f>+'SP-mese'!AT3</f>
        <v>2029</v>
      </c>
      <c r="AT3" s="143">
        <f>+'SP-mese'!AU3</f>
        <v>2029</v>
      </c>
      <c r="AU3" s="143">
        <f>+'SP-mese'!AV3</f>
        <v>2029</v>
      </c>
      <c r="AV3" s="143">
        <f>+'SP-mese'!AW3</f>
        <v>2029</v>
      </c>
      <c r="AW3" s="143">
        <f>+'SP-mese'!AX3</f>
        <v>2029</v>
      </c>
      <c r="AX3" s="143">
        <f>+'SP-mese'!AY3</f>
        <v>2029</v>
      </c>
      <c r="AY3" s="143">
        <f>+'SP-mese'!AZ3</f>
        <v>2029</v>
      </c>
      <c r="AZ3" s="143">
        <f>+'SP-mese'!BA3</f>
        <v>2029</v>
      </c>
      <c r="BA3" s="143">
        <f>+'SP-mese'!BB3</f>
        <v>2029</v>
      </c>
      <c r="BB3" s="143">
        <f>+'SP-mese'!BC3</f>
        <v>2030</v>
      </c>
      <c r="BC3" s="143">
        <f>+'SP-mese'!BD3</f>
        <v>2030</v>
      </c>
      <c r="BD3" s="143">
        <f>+'SP-mese'!BE3</f>
        <v>2030</v>
      </c>
      <c r="BE3" s="143">
        <f>+'SP-mese'!BF3</f>
        <v>2030</v>
      </c>
      <c r="BF3" s="143">
        <f>+'SP-mese'!BG3</f>
        <v>2030</v>
      </c>
      <c r="BG3" s="143">
        <f>+'SP-mese'!BH3</f>
        <v>2030</v>
      </c>
      <c r="BH3" s="143">
        <f>+'SP-mese'!BI3</f>
        <v>2030</v>
      </c>
      <c r="BI3" s="143">
        <f>+'SP-mese'!BJ3</f>
        <v>2030</v>
      </c>
      <c r="BJ3" s="143">
        <f>+'SP-mese'!BK3</f>
        <v>2030</v>
      </c>
      <c r="BK3" s="143">
        <f>+'SP-mese'!BL3</f>
        <v>2030</v>
      </c>
      <c r="BL3" s="143">
        <f>+'SP-mese'!BM3</f>
        <v>2030</v>
      </c>
      <c r="BM3" s="143">
        <f>+'SP-mese'!BN3</f>
        <v>2030</v>
      </c>
      <c r="BN3" s="143">
        <f>+'SP-mese'!BO3</f>
        <v>2031</v>
      </c>
      <c r="BO3" s="143">
        <f>+'SP-mese'!BP3</f>
        <v>2031</v>
      </c>
      <c r="BP3" s="143">
        <f>+'SP-mese'!BQ3</f>
        <v>2031</v>
      </c>
      <c r="BQ3" s="143">
        <f>+'SP-mese'!BR3</f>
        <v>2031</v>
      </c>
      <c r="BR3" s="143">
        <f>+'SP-mese'!BS3</f>
        <v>2031</v>
      </c>
      <c r="BS3" s="143">
        <f>+'SP-mese'!BT3</f>
        <v>2031</v>
      </c>
      <c r="BT3" s="143">
        <f>+'SP-mese'!BU3</f>
        <v>2031</v>
      </c>
      <c r="BU3" s="143">
        <f>+'SP-mese'!BV3</f>
        <v>2031</v>
      </c>
      <c r="BV3" s="143">
        <f>+'SP-mese'!BW3</f>
        <v>2031</v>
      </c>
      <c r="BW3" s="143">
        <f>+'SP-mese'!BX3</f>
        <v>2031</v>
      </c>
      <c r="BX3" s="143">
        <f>+'SP-mese'!BY3</f>
        <v>2031</v>
      </c>
      <c r="BY3" s="143">
        <f>+'SP-mese'!BZ3</f>
        <v>2031</v>
      </c>
      <c r="BZ3" s="143">
        <f>+'SP-mese'!CA3</f>
        <v>2032</v>
      </c>
      <c r="CA3" s="143">
        <f>+'SP-mese'!CB3</f>
        <v>2032</v>
      </c>
      <c r="CB3" s="143">
        <f>+'SP-mese'!CC3</f>
        <v>2032</v>
      </c>
      <c r="CC3" s="143">
        <f>+'SP-mese'!CD3</f>
        <v>2032</v>
      </c>
      <c r="CD3" s="143">
        <f>+'SP-mese'!CE3</f>
        <v>2032</v>
      </c>
      <c r="CE3" s="143">
        <f>+'SP-mese'!CF3</f>
        <v>2032</v>
      </c>
      <c r="CF3" s="143">
        <f>+'SP-mese'!CG3</f>
        <v>2032</v>
      </c>
      <c r="CG3" s="143">
        <f>+'SP-mese'!CH3</f>
        <v>2032</v>
      </c>
      <c r="CH3" s="143">
        <f>+'SP-mese'!CI3</f>
        <v>2032</v>
      </c>
      <c r="CI3" s="143">
        <f>+'SP-mese'!CJ3</f>
        <v>2032</v>
      </c>
      <c r="CJ3" s="143">
        <f>+'SP-mese'!CK3</f>
        <v>2032</v>
      </c>
      <c r="CK3" s="143">
        <f>+'SP-mese'!CL3</f>
        <v>2032</v>
      </c>
      <c r="CL3" s="143">
        <f>+'SP-mese'!CM3</f>
        <v>2033</v>
      </c>
      <c r="CM3" s="143">
        <f>+'SP-mese'!CN3</f>
        <v>2033</v>
      </c>
      <c r="CN3" s="143">
        <f>+'SP-mese'!CO3</f>
        <v>2033</v>
      </c>
      <c r="CO3" s="143">
        <f>+'SP-mese'!CP3</f>
        <v>2033</v>
      </c>
      <c r="CP3" s="143">
        <f>+'SP-mese'!CQ3</f>
        <v>2033</v>
      </c>
      <c r="CQ3" s="143">
        <f>+'SP-mese'!CR3</f>
        <v>2033</v>
      </c>
      <c r="CR3" s="143">
        <f>+'SP-mese'!CS3</f>
        <v>2033</v>
      </c>
      <c r="CS3" s="143">
        <f>+'SP-mese'!CT3</f>
        <v>2033</v>
      </c>
      <c r="CT3" s="143">
        <f>+'SP-mese'!CU3</f>
        <v>2033</v>
      </c>
      <c r="CU3" s="143">
        <f>+'SP-mese'!CV3</f>
        <v>2033</v>
      </c>
      <c r="CV3" s="143">
        <f>+'SP-mese'!CW3</f>
        <v>2033</v>
      </c>
      <c r="CW3" s="143">
        <f>+'SP-mese'!CX3</f>
        <v>2033</v>
      </c>
      <c r="CX3" s="143">
        <f>+'SP-mese'!CY3</f>
        <v>2034</v>
      </c>
      <c r="CY3" s="143">
        <f>+'SP-mese'!CZ3</f>
        <v>2034</v>
      </c>
      <c r="CZ3" s="143">
        <f>+'SP-mese'!DA3</f>
        <v>2034</v>
      </c>
      <c r="DA3" s="143">
        <f>+'SP-mese'!DB3</f>
        <v>2034</v>
      </c>
      <c r="DB3" s="143">
        <f>+'SP-mese'!DC3</f>
        <v>2034</v>
      </c>
      <c r="DC3" s="143">
        <f>+'SP-mese'!DD3</f>
        <v>2034</v>
      </c>
      <c r="DD3" s="143">
        <f>+'SP-mese'!DE3</f>
        <v>2034</v>
      </c>
      <c r="DE3" s="143">
        <f>+'SP-mese'!DF3</f>
        <v>2034</v>
      </c>
      <c r="DF3" s="143">
        <f>+'SP-mese'!DG3</f>
        <v>2034</v>
      </c>
      <c r="DG3" s="143">
        <f>+'SP-mese'!DH3</f>
        <v>2034</v>
      </c>
      <c r="DH3" s="143">
        <f>+'SP-mese'!DI3</f>
        <v>2034</v>
      </c>
      <c r="DI3" s="143">
        <f>+'SP-mese'!DJ3</f>
        <v>2034</v>
      </c>
      <c r="DJ3" s="143">
        <f>+'SP-mese'!DK3</f>
        <v>2035</v>
      </c>
      <c r="DK3" s="143">
        <f>+'SP-mese'!DL3</f>
        <v>2035</v>
      </c>
      <c r="DL3" s="143">
        <f>+'SP-mese'!DM3</f>
        <v>2035</v>
      </c>
      <c r="DM3" s="143">
        <f>+'SP-mese'!DN3</f>
        <v>2035</v>
      </c>
      <c r="DN3" s="143">
        <f>+'SP-mese'!DO3</f>
        <v>2035</v>
      </c>
      <c r="DO3" s="143">
        <f>+'SP-mese'!DP3</f>
        <v>2035</v>
      </c>
      <c r="DP3" s="143">
        <f>+'SP-mese'!DQ3</f>
        <v>2035</v>
      </c>
      <c r="DQ3" s="143">
        <f>+'SP-mese'!DR3</f>
        <v>2035</v>
      </c>
      <c r="DR3" s="143">
        <f>+'SP-mese'!DS3</f>
        <v>2035</v>
      </c>
      <c r="DT3" s="143">
        <f>+C3</f>
        <v>2025</v>
      </c>
      <c r="DU3" s="143">
        <f>+DT3+1</f>
        <v>2026</v>
      </c>
      <c r="DV3" s="143">
        <f t="shared" ref="DV3:EC3" si="0">+DU3+1</f>
        <v>2027</v>
      </c>
      <c r="DW3" s="143">
        <f t="shared" si="0"/>
        <v>2028</v>
      </c>
      <c r="DX3" s="143">
        <f t="shared" si="0"/>
        <v>2029</v>
      </c>
      <c r="DY3" s="143">
        <f t="shared" si="0"/>
        <v>2030</v>
      </c>
      <c r="DZ3" s="143">
        <f t="shared" si="0"/>
        <v>2031</v>
      </c>
      <c r="EA3" s="143">
        <f t="shared" si="0"/>
        <v>2032</v>
      </c>
      <c r="EB3" s="143">
        <f t="shared" si="0"/>
        <v>2033</v>
      </c>
      <c r="EC3" s="143">
        <f t="shared" si="0"/>
        <v>2034</v>
      </c>
    </row>
    <row r="4" thickBot="1">
      <c r="A4" s="292"/>
      <c r="B4" s="282" t="s">
        <v>888</v>
      </c>
      <c r="C4" s="282">
        <f>+'SP-mese'!D4</f>
        <v>10</v>
      </c>
      <c r="D4" s="282">
        <f>+'SP-mese'!E4</f>
        <v>11</v>
      </c>
      <c r="E4" s="282">
        <f>+'SP-mese'!F4</f>
        <v>12</v>
      </c>
      <c r="F4" s="282">
        <f>+'SP-mese'!G4</f>
        <v>1</v>
      </c>
      <c r="G4" s="282">
        <f>+'SP-mese'!H4</f>
        <v>2</v>
      </c>
      <c r="H4" s="282">
        <f>+'SP-mese'!I4</f>
        <v>3</v>
      </c>
      <c r="I4" s="282">
        <f>+'SP-mese'!J4</f>
        <v>4</v>
      </c>
      <c r="J4" s="282">
        <f>+'SP-mese'!K4</f>
        <v>5</v>
      </c>
      <c r="K4" s="282">
        <f>+'SP-mese'!L4</f>
        <v>6</v>
      </c>
      <c r="L4" s="282">
        <f>+'SP-mese'!M4</f>
        <v>7</v>
      </c>
      <c r="M4" s="282">
        <f>+'SP-mese'!N4</f>
        <v>8</v>
      </c>
      <c r="N4" s="282">
        <f>+'SP-mese'!O4</f>
        <v>9</v>
      </c>
      <c r="O4" s="282">
        <f>+'SP-mese'!P4</f>
        <v>10</v>
      </c>
      <c r="P4" s="282">
        <f>+'SP-mese'!Q4</f>
        <v>11</v>
      </c>
      <c r="Q4" s="282">
        <f>+'SP-mese'!R4</f>
        <v>12</v>
      </c>
      <c r="R4" s="282">
        <f>+'SP-mese'!S4</f>
        <v>1</v>
      </c>
      <c r="S4" s="282">
        <f>+'SP-mese'!T4</f>
        <v>2</v>
      </c>
      <c r="T4" s="282">
        <f>+'SP-mese'!U4</f>
        <v>3</v>
      </c>
      <c r="U4" s="282">
        <f>+'SP-mese'!V4</f>
        <v>4</v>
      </c>
      <c r="V4" s="282">
        <f>+'SP-mese'!W4</f>
        <v>5</v>
      </c>
      <c r="W4" s="282">
        <f>+'SP-mese'!X4</f>
        <v>6</v>
      </c>
      <c r="X4" s="282">
        <f>+'SP-mese'!Y4</f>
        <v>7</v>
      </c>
      <c r="Y4" s="282">
        <f>+'SP-mese'!Z4</f>
        <v>8</v>
      </c>
      <c r="Z4" s="282">
        <f>+'SP-mese'!AA4</f>
        <v>9</v>
      </c>
      <c r="AA4" s="282">
        <f>+'SP-mese'!AB4</f>
        <v>10</v>
      </c>
      <c r="AB4" s="282">
        <f>+'SP-mese'!AC4</f>
        <v>11</v>
      </c>
      <c r="AC4" s="282">
        <f>+'SP-mese'!AD4</f>
        <v>12</v>
      </c>
      <c r="AD4" s="282">
        <f>+'SP-mese'!AE4</f>
        <v>1</v>
      </c>
      <c r="AE4" s="282">
        <f>+'SP-mese'!AF4</f>
        <v>2</v>
      </c>
      <c r="AF4" s="282">
        <f>+'SP-mese'!AG4</f>
        <v>3</v>
      </c>
      <c r="AG4" s="282">
        <f>+'SP-mese'!AH4</f>
        <v>4</v>
      </c>
      <c r="AH4" s="282">
        <f>+'SP-mese'!AI4</f>
        <v>5</v>
      </c>
      <c r="AI4" s="282">
        <f>+'SP-mese'!AJ4</f>
        <v>6</v>
      </c>
      <c r="AJ4" s="282">
        <f>+'SP-mese'!AK4</f>
        <v>7</v>
      </c>
      <c r="AK4" s="282">
        <f>+'SP-mese'!AL4</f>
        <v>8</v>
      </c>
      <c r="AL4" s="282">
        <f>+'SP-mese'!AM4</f>
        <v>9</v>
      </c>
      <c r="AM4" s="282">
        <f>+'SP-mese'!AN4</f>
        <v>10</v>
      </c>
      <c r="AN4" s="282">
        <f>+'SP-mese'!AO4</f>
        <v>11</v>
      </c>
      <c r="AO4" s="282">
        <f>+'SP-mese'!AP4</f>
        <v>12</v>
      </c>
      <c r="AP4" s="282">
        <f>+'SP-mese'!AQ4</f>
        <v>1</v>
      </c>
      <c r="AQ4" s="282">
        <f>+'SP-mese'!AR4</f>
        <v>2</v>
      </c>
      <c r="AR4" s="282">
        <f>+'SP-mese'!AS4</f>
        <v>3</v>
      </c>
      <c r="AS4" s="282">
        <f>+'SP-mese'!AT4</f>
        <v>4</v>
      </c>
      <c r="AT4" s="282">
        <f>+'SP-mese'!AU4</f>
        <v>5</v>
      </c>
      <c r="AU4" s="282">
        <f>+'SP-mese'!AV4</f>
        <v>6</v>
      </c>
      <c r="AV4" s="282">
        <f>+'SP-mese'!AW4</f>
        <v>7</v>
      </c>
      <c r="AW4" s="282">
        <f>+'SP-mese'!AX4</f>
        <v>8</v>
      </c>
      <c r="AX4" s="282">
        <f>+'SP-mese'!AY4</f>
        <v>9</v>
      </c>
      <c r="AY4" s="282">
        <f>+'SP-mese'!AZ4</f>
        <v>10</v>
      </c>
      <c r="AZ4" s="282">
        <f>+'SP-mese'!BA4</f>
        <v>11</v>
      </c>
      <c r="BA4" s="282">
        <f>+'SP-mese'!BB4</f>
        <v>12</v>
      </c>
      <c r="BB4" s="282">
        <f>+'SP-mese'!BC4</f>
        <v>1</v>
      </c>
      <c r="BC4" s="282">
        <f>+'SP-mese'!BD4</f>
        <v>2</v>
      </c>
      <c r="BD4" s="282">
        <f>+'SP-mese'!BE4</f>
        <v>3</v>
      </c>
      <c r="BE4" s="282">
        <f>+'SP-mese'!BF4</f>
        <v>4</v>
      </c>
      <c r="BF4" s="282">
        <f>+'SP-mese'!BG4</f>
        <v>5</v>
      </c>
      <c r="BG4" s="282">
        <f>+'SP-mese'!BH4</f>
        <v>6</v>
      </c>
      <c r="BH4" s="282">
        <f>+'SP-mese'!BI4</f>
        <v>7</v>
      </c>
      <c r="BI4" s="282">
        <f>+'SP-mese'!BJ4</f>
        <v>8</v>
      </c>
      <c r="BJ4" s="282">
        <f>+'SP-mese'!BK4</f>
        <v>9</v>
      </c>
      <c r="BK4" s="282">
        <f>+'SP-mese'!BL4</f>
        <v>10</v>
      </c>
      <c r="BL4" s="282">
        <f>+'SP-mese'!BM4</f>
        <v>11</v>
      </c>
      <c r="BM4" s="282">
        <f>+'SP-mese'!BN4</f>
        <v>12</v>
      </c>
      <c r="BN4" s="282">
        <f>+'SP-mese'!BO4</f>
        <v>1</v>
      </c>
      <c r="BO4" s="282">
        <f>+'SP-mese'!BP4</f>
        <v>2</v>
      </c>
      <c r="BP4" s="282">
        <f>+'SP-mese'!BQ4</f>
        <v>3</v>
      </c>
      <c r="BQ4" s="282">
        <f>+'SP-mese'!BR4</f>
        <v>4</v>
      </c>
      <c r="BR4" s="282">
        <f>+'SP-mese'!BS4</f>
        <v>5</v>
      </c>
      <c r="BS4" s="282">
        <f>+'SP-mese'!BT4</f>
        <v>6</v>
      </c>
      <c r="BT4" s="282">
        <f>+'SP-mese'!BU4</f>
        <v>7</v>
      </c>
      <c r="BU4" s="282">
        <f>+'SP-mese'!BV4</f>
        <v>8</v>
      </c>
      <c r="BV4" s="282">
        <f>+'SP-mese'!BW4</f>
        <v>9</v>
      </c>
      <c r="BW4" s="282">
        <f>+'SP-mese'!BX4</f>
        <v>10</v>
      </c>
      <c r="BX4" s="282">
        <f>+'SP-mese'!BY4</f>
        <v>11</v>
      </c>
      <c r="BY4" s="282">
        <f>+'SP-mese'!BZ4</f>
        <v>12</v>
      </c>
      <c r="BZ4" s="282">
        <f>+'SP-mese'!CA4</f>
        <v>1</v>
      </c>
      <c r="CA4" s="282">
        <f>+'SP-mese'!CB4</f>
        <v>2</v>
      </c>
      <c r="CB4" s="282">
        <f>+'SP-mese'!CC4</f>
        <v>3</v>
      </c>
      <c r="CC4" s="282">
        <f>+'SP-mese'!CD4</f>
        <v>4</v>
      </c>
      <c r="CD4" s="282">
        <f>+'SP-mese'!CE4</f>
        <v>5</v>
      </c>
      <c r="CE4" s="282">
        <f>+'SP-mese'!CF4</f>
        <v>6</v>
      </c>
      <c r="CF4" s="282">
        <f>+'SP-mese'!CG4</f>
        <v>7</v>
      </c>
      <c r="CG4" s="282">
        <f>+'SP-mese'!CH4</f>
        <v>8</v>
      </c>
      <c r="CH4" s="282">
        <f>+'SP-mese'!CI4</f>
        <v>9</v>
      </c>
      <c r="CI4" s="282">
        <f>+'SP-mese'!CJ4</f>
        <v>10</v>
      </c>
      <c r="CJ4" s="282">
        <f>+'SP-mese'!CK4</f>
        <v>11</v>
      </c>
      <c r="CK4" s="282">
        <f>+'SP-mese'!CL4</f>
        <v>12</v>
      </c>
      <c r="CL4" s="282">
        <f>+'SP-mese'!CM4</f>
        <v>1</v>
      </c>
      <c r="CM4" s="282">
        <f>+'SP-mese'!CN4</f>
        <v>2</v>
      </c>
      <c r="CN4" s="282">
        <f>+'SP-mese'!CO4</f>
        <v>3</v>
      </c>
      <c r="CO4" s="282">
        <f>+'SP-mese'!CP4</f>
        <v>4</v>
      </c>
      <c r="CP4" s="282">
        <f>+'SP-mese'!CQ4</f>
        <v>5</v>
      </c>
      <c r="CQ4" s="282">
        <f>+'SP-mese'!CR4</f>
        <v>6</v>
      </c>
      <c r="CR4" s="282">
        <f>+'SP-mese'!CS4</f>
        <v>7</v>
      </c>
      <c r="CS4" s="282">
        <f>+'SP-mese'!CT4</f>
        <v>8</v>
      </c>
      <c r="CT4" s="282">
        <f>+'SP-mese'!CU4</f>
        <v>9</v>
      </c>
      <c r="CU4" s="282">
        <f>+'SP-mese'!CV4</f>
        <v>10</v>
      </c>
      <c r="CV4" s="282">
        <f>+'SP-mese'!CW4</f>
        <v>11</v>
      </c>
      <c r="CW4" s="282">
        <f>+'SP-mese'!CX4</f>
        <v>12</v>
      </c>
      <c r="CX4" s="282">
        <f>+'SP-mese'!CY4</f>
        <v>1</v>
      </c>
      <c r="CY4" s="282">
        <f>+'SP-mese'!CZ4</f>
        <v>2</v>
      </c>
      <c r="CZ4" s="282">
        <f>+'SP-mese'!DA4</f>
        <v>3</v>
      </c>
      <c r="DA4" s="282">
        <f>+'SP-mese'!DB4</f>
        <v>4</v>
      </c>
      <c r="DB4" s="282">
        <f>+'SP-mese'!DC4</f>
        <v>5</v>
      </c>
      <c r="DC4" s="282">
        <f>+'SP-mese'!DD4</f>
        <v>6</v>
      </c>
      <c r="DD4" s="282">
        <f>+'SP-mese'!DE4</f>
        <v>7</v>
      </c>
      <c r="DE4" s="282">
        <f>+'SP-mese'!DF4</f>
        <v>8</v>
      </c>
      <c r="DF4" s="282">
        <f>+'SP-mese'!DG4</f>
        <v>9</v>
      </c>
      <c r="DG4" s="282">
        <f>+'SP-mese'!DH4</f>
        <v>10</v>
      </c>
      <c r="DH4" s="282">
        <f>+'SP-mese'!DI4</f>
        <v>11</v>
      </c>
      <c r="DI4" s="282">
        <f>+'SP-mese'!DJ4</f>
        <v>12</v>
      </c>
      <c r="DJ4" s="282">
        <f>+'SP-mese'!DK4</f>
        <v>1</v>
      </c>
      <c r="DK4" s="282">
        <f>+'SP-mese'!DL4</f>
        <v>2</v>
      </c>
      <c r="DL4" s="282">
        <f>+'SP-mese'!DM4</f>
        <v>3</v>
      </c>
      <c r="DM4" s="282">
        <f>+'SP-mese'!DN4</f>
        <v>4</v>
      </c>
      <c r="DN4" s="282">
        <f>+'SP-mese'!DO4</f>
        <v>5</v>
      </c>
      <c r="DO4" s="282">
        <f>+'SP-mese'!DP4</f>
        <v>6</v>
      </c>
      <c r="DP4" s="282">
        <f>+'SP-mese'!DQ4</f>
        <v>7</v>
      </c>
      <c r="DQ4" s="282">
        <f>+'SP-mese'!DR4</f>
        <v>8</v>
      </c>
      <c r="DR4" s="282">
        <f>+'SP-mese'!DS4</f>
        <v>9</v>
      </c>
    </row>
    <row r="5" thickTop="1" thickBot="1" ht="18.75" customHeight="1">
      <c r="A5" s="293" t="s">
        <v>962</v>
      </c>
      <c r="B5" s="294"/>
      <c r="C5" s="295"/>
      <c r="D5" s="295"/>
      <c r="E5" s="295"/>
      <c r="F5" s="295"/>
      <c r="G5" s="295"/>
      <c r="H5" s="295"/>
      <c r="I5" s="295"/>
      <c r="J5" s="295"/>
      <c r="K5" s="295"/>
      <c r="L5" s="295"/>
      <c r="M5" s="295"/>
      <c r="N5" s="295"/>
      <c r="O5" s="295"/>
      <c r="P5" s="295"/>
      <c r="Q5" s="295"/>
      <c r="R5" s="295"/>
      <c r="S5" s="295"/>
      <c r="T5" s="295"/>
      <c r="U5" s="295"/>
      <c r="V5" s="295"/>
      <c r="W5" s="295"/>
      <c r="X5" s="295"/>
      <c r="Y5" s="295"/>
      <c r="Z5" s="295"/>
      <c r="AA5" s="295"/>
      <c r="AB5" s="295"/>
      <c r="AC5" s="295"/>
      <c r="AD5" s="295"/>
      <c r="AE5" s="295"/>
      <c r="AF5" s="295"/>
      <c r="AG5" s="295"/>
      <c r="AH5" s="295"/>
      <c r="AI5" s="295"/>
      <c r="AJ5" s="295"/>
      <c r="AK5" s="295"/>
      <c r="AL5" s="295"/>
      <c r="AM5" s="295"/>
      <c r="AN5" s="295"/>
      <c r="AO5" s="295"/>
      <c r="AP5" s="295"/>
      <c r="AQ5" s="295"/>
      <c r="AR5" s="295"/>
      <c r="AS5" s="295"/>
      <c r="AT5" s="295"/>
      <c r="AU5" s="295"/>
      <c r="AV5" s="295"/>
      <c r="AW5" s="295"/>
      <c r="AX5" s="295"/>
      <c r="AY5" s="295"/>
      <c r="AZ5" s="295"/>
      <c r="BA5" s="295"/>
      <c r="BB5" s="295"/>
      <c r="BC5" s="295"/>
      <c r="BD5" s="295"/>
      <c r="BE5" s="295"/>
      <c r="BF5" s="295"/>
      <c r="BG5" s="295"/>
      <c r="BH5" s="295"/>
      <c r="BI5" s="295"/>
      <c r="BJ5" s="295"/>
      <c r="BK5" s="295"/>
      <c r="BL5" s="295"/>
      <c r="BM5" s="295"/>
      <c r="BN5" s="295"/>
      <c r="BO5" s="295"/>
      <c r="BP5" s="295"/>
      <c r="BQ5" s="295"/>
      <c r="BR5" s="295"/>
      <c r="BS5" s="295"/>
      <c r="BT5" s="295"/>
      <c r="BU5" s="295"/>
      <c r="BV5" s="295"/>
      <c r="BW5" s="295"/>
      <c r="BX5" s="295"/>
      <c r="BY5" s="295"/>
      <c r="BZ5" s="295"/>
      <c r="CA5" s="295"/>
      <c r="CB5" s="295"/>
      <c r="CC5" s="295"/>
      <c r="CD5" s="295"/>
      <c r="CE5" s="295"/>
      <c r="CF5" s="295"/>
      <c r="CG5" s="295"/>
      <c r="CH5" s="295"/>
      <c r="CI5" s="295"/>
      <c r="CJ5" s="295"/>
      <c r="CK5" s="295"/>
      <c r="CL5" s="295"/>
      <c r="CM5" s="295"/>
      <c r="CN5" s="295"/>
      <c r="CO5" s="295"/>
      <c r="CP5" s="295"/>
      <c r="CQ5" s="295"/>
      <c r="CR5" s="295"/>
      <c r="CS5" s="295"/>
      <c r="CT5" s="295"/>
      <c r="CU5" s="295"/>
      <c r="CV5" s="295"/>
      <c r="CW5" s="295"/>
      <c r="CX5" s="295"/>
      <c r="CY5" s="295"/>
      <c r="CZ5" s="295"/>
      <c r="DA5" s="295"/>
      <c r="DB5" s="295"/>
      <c r="DC5" s="295"/>
      <c r="DD5" s="295"/>
      <c r="DE5" s="295"/>
      <c r="DF5" s="295"/>
      <c r="DG5" s="295"/>
      <c r="DH5" s="295"/>
      <c r="DI5" s="295"/>
      <c r="DJ5" s="295"/>
      <c r="DK5" s="295"/>
      <c r="DL5" s="295"/>
      <c r="DM5" s="295"/>
      <c r="DN5" s="295"/>
      <c r="DO5" s="295"/>
      <c r="DP5" s="295"/>
      <c r="DQ5" s="295"/>
      <c r="DR5" s="295"/>
      <c r="DT5" s="295">
        <f>+SUMIF($C$3:$DR$3,DT$3,$C5:$DR5)</f>
        <v>0</v>
      </c>
      <c r="DU5" s="295">
        <f t="shared" ref="DU5:EC8" si="1">+SUMIF($C$3:$DR$3,DU$3,$C5:$DR5)</f>
        <v>0</v>
      </c>
      <c r="DV5" s="295">
        <f t="shared" si="1"/>
        <v>0</v>
      </c>
      <c r="DW5" s="295">
        <f t="shared" si="1"/>
        <v>0</v>
      </c>
      <c r="DX5" s="295">
        <f t="shared" si="1"/>
        <v>0</v>
      </c>
      <c r="DY5" s="295">
        <f t="shared" si="1"/>
        <v>0</v>
      </c>
      <c r="DZ5" s="295">
        <f t="shared" si="1"/>
        <v>0</v>
      </c>
      <c r="EA5" s="295">
        <f t="shared" si="1"/>
        <v>0</v>
      </c>
      <c r="EB5" s="295">
        <f t="shared" si="1"/>
        <v>0</v>
      </c>
      <c r="EC5" s="295">
        <f t="shared" si="1"/>
        <v>0</v>
      </c>
      <c r="EF5" s="144"/>
      <c r="EG5" s="296"/>
    </row>
    <row r="6" thickTop="1" ht="21.5">
      <c r="A6" s="297"/>
      <c r="B6" s="298"/>
      <c r="C6" s="144"/>
      <c r="D6" s="144"/>
      <c r="E6" s="144"/>
      <c r="F6" s="144"/>
      <c r="G6" s="144"/>
      <c r="H6" s="144"/>
      <c r="I6" s="144"/>
      <c r="J6" s="144"/>
      <c r="K6" s="144"/>
      <c r="L6" s="144"/>
      <c r="M6" s="144"/>
      <c r="N6" s="144"/>
      <c r="O6" s="144"/>
      <c r="P6" s="144"/>
      <c r="Q6" s="144"/>
      <c r="R6" s="144"/>
      <c r="S6" s="144"/>
      <c r="T6" s="144"/>
      <c r="U6" s="144"/>
      <c r="V6" s="144"/>
      <c r="W6" s="144"/>
      <c r="X6" s="144"/>
      <c r="Y6" s="144"/>
      <c r="Z6" s="144"/>
      <c r="AA6" s="144"/>
      <c r="AB6" s="144"/>
      <c r="AC6" s="144"/>
      <c r="AD6" s="144"/>
      <c r="AE6" s="144"/>
      <c r="AF6" s="144"/>
      <c r="AG6" s="144"/>
      <c r="AH6" s="144"/>
      <c r="AI6" s="144"/>
      <c r="AJ6" s="144"/>
      <c r="AK6" s="144"/>
      <c r="AL6" s="144"/>
      <c r="AM6" s="144"/>
      <c r="AN6" s="144"/>
      <c r="AO6" s="144"/>
      <c r="AP6" s="144"/>
      <c r="AQ6" s="144"/>
      <c r="AR6" s="144"/>
      <c r="AS6" s="144"/>
      <c r="AT6" s="144"/>
      <c r="AU6" s="144"/>
      <c r="AV6" s="144"/>
      <c r="AW6" s="144"/>
      <c r="AX6" s="144"/>
      <c r="AY6" s="144"/>
      <c r="AZ6" s="144"/>
      <c r="BA6" s="144"/>
      <c r="BB6" s="144"/>
      <c r="BC6" s="144"/>
      <c r="BD6" s="144"/>
      <c r="BE6" s="144"/>
      <c r="BF6" s="144"/>
      <c r="BG6" s="144"/>
      <c r="BH6" s="144"/>
      <c r="BI6" s="144"/>
      <c r="BJ6" s="144"/>
      <c r="BK6" s="144"/>
      <c r="BL6" s="144"/>
      <c r="BM6" s="144"/>
      <c r="BN6" s="144"/>
      <c r="BO6" s="144"/>
      <c r="BP6" s="144"/>
      <c r="BQ6" s="144"/>
      <c r="BR6" s="144"/>
      <c r="BS6" s="144"/>
      <c r="BT6" s="144"/>
      <c r="BU6" s="144"/>
      <c r="BV6" s="144"/>
      <c r="BW6" s="144"/>
      <c r="BX6" s="144"/>
      <c r="BY6" s="144"/>
      <c r="BZ6" s="144"/>
      <c r="CA6" s="144"/>
      <c r="CB6" s="144"/>
      <c r="CC6" s="144"/>
      <c r="CD6" s="144"/>
      <c r="CE6" s="144"/>
      <c r="CF6" s="144"/>
      <c r="CG6" s="144"/>
      <c r="CH6" s="144"/>
      <c r="CI6" s="144"/>
      <c r="CJ6" s="144"/>
      <c r="CK6" s="144"/>
      <c r="CL6" s="144"/>
      <c r="CM6" s="144"/>
      <c r="CN6" s="144"/>
      <c r="CO6" s="144"/>
      <c r="CP6" s="144"/>
      <c r="CQ6" s="144"/>
      <c r="CR6" s="144"/>
      <c r="CS6" s="144"/>
      <c r="CT6" s="144"/>
      <c r="CU6" s="144"/>
      <c r="CV6" s="144"/>
      <c r="CW6" s="144"/>
      <c r="CX6" s="144"/>
      <c r="CY6" s="144"/>
      <c r="CZ6" s="144"/>
      <c r="DA6" s="144"/>
      <c r="DB6" s="144"/>
      <c r="DC6" s="144"/>
      <c r="DD6" s="144"/>
      <c r="DE6" s="144"/>
      <c r="DF6" s="144"/>
      <c r="DG6" s="144"/>
      <c r="DH6" s="144"/>
      <c r="DI6" s="144"/>
      <c r="DJ6" s="144"/>
      <c r="DK6" s="144"/>
      <c r="DL6" s="144"/>
      <c r="DM6" s="144"/>
      <c r="DN6" s="144"/>
      <c r="DO6" s="144"/>
      <c r="DP6" s="144"/>
      <c r="DQ6" s="144"/>
      <c r="DR6" s="144"/>
      <c r="DT6" s="144">
        <f t="shared" ref="DT6" si="2">+SUMIF($C$3:$DR$3,DT$3,C6:DR6)</f>
        <v>0</v>
      </c>
      <c r="DU6" s="144">
        <f t="shared" ref="DU6" si="3">+SUMIF($C$3:$DR$3,DU$3,D6:DS6)</f>
        <v>0</v>
      </c>
      <c r="DV6" s="144">
        <f t="shared" ref="DV6:EC6" si="4">+SUMIF($C$3:$DR$3,DV$3,E6:DT6)</f>
        <v>0</v>
      </c>
      <c r="DW6" s="144">
        <f t="shared" si="4"/>
        <v>0</v>
      </c>
      <c r="DX6" s="144">
        <f t="shared" si="4"/>
        <v>0</v>
      </c>
      <c r="DY6" s="144">
        <f t="shared" si="4"/>
        <v>0</v>
      </c>
      <c r="DZ6" s="144">
        <f t="shared" si="4"/>
        <v>0</v>
      </c>
      <c r="EA6" s="144">
        <f t="shared" si="4"/>
        <v>0</v>
      </c>
      <c r="EB6" s="144">
        <f t="shared" si="4"/>
        <v>0</v>
      </c>
      <c r="EC6" s="144">
        <f t="shared" si="4"/>
        <v>0</v>
      </c>
      <c r="EF6" s="144"/>
      <c r="EG6" s="296"/>
    </row>
    <row r="7" ht="21">
      <c r="A7" s="297" t="s">
        <v>1203</v>
      </c>
      <c r="B7" s="298"/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  <c r="AA7" s="144"/>
      <c r="AB7" s="144"/>
      <c r="AC7" s="144"/>
      <c r="AD7" s="144"/>
      <c r="AE7" s="144"/>
      <c r="AF7" s="144"/>
      <c r="AG7" s="144"/>
      <c r="AH7" s="144"/>
      <c r="AI7" s="144"/>
      <c r="AJ7" s="144"/>
      <c r="AK7" s="144"/>
      <c r="AL7" s="144"/>
      <c r="AM7" s="144"/>
      <c r="AN7" s="144"/>
      <c r="AO7" s="144"/>
      <c r="AP7" s="144"/>
      <c r="AQ7" s="144"/>
      <c r="AR7" s="144"/>
      <c r="AS7" s="144"/>
      <c r="AT7" s="144"/>
      <c r="AU7" s="144"/>
      <c r="AV7" s="144"/>
      <c r="AW7" s="144"/>
      <c r="AX7" s="144"/>
      <c r="AY7" s="144"/>
      <c r="AZ7" s="144"/>
      <c r="BA7" s="144"/>
      <c r="BB7" s="144"/>
      <c r="BC7" s="144"/>
      <c r="BD7" s="144"/>
      <c r="BE7" s="144"/>
      <c r="BF7" s="144"/>
      <c r="BG7" s="144"/>
      <c r="BH7" s="144"/>
      <c r="BI7" s="144"/>
      <c r="BJ7" s="144"/>
      <c r="BK7" s="144"/>
      <c r="BL7" s="144"/>
      <c r="BM7" s="144"/>
      <c r="BN7" s="144"/>
      <c r="BO7" s="144"/>
      <c r="BP7" s="144"/>
      <c r="BQ7" s="144"/>
      <c r="BR7" s="144"/>
      <c r="BS7" s="144"/>
      <c r="BT7" s="144"/>
      <c r="BU7" s="144"/>
      <c r="BV7" s="144"/>
      <c r="BW7" s="144"/>
      <c r="BX7" s="144"/>
      <c r="BY7" s="144"/>
      <c r="BZ7" s="144"/>
      <c r="CA7" s="144"/>
      <c r="CB7" s="144"/>
      <c r="CC7" s="144"/>
      <c r="CD7" s="144"/>
      <c r="CE7" s="144"/>
      <c r="CF7" s="144"/>
      <c r="CG7" s="144"/>
      <c r="CH7" s="144"/>
      <c r="CI7" s="144"/>
      <c r="CJ7" s="144"/>
      <c r="CK7" s="144"/>
      <c r="CL7" s="144"/>
      <c r="CM7" s="144"/>
      <c r="CN7" s="144"/>
      <c r="CO7" s="144"/>
      <c r="CP7" s="144"/>
      <c r="CQ7" s="144"/>
      <c r="CR7" s="144"/>
      <c r="CS7" s="144"/>
      <c r="CT7" s="144"/>
      <c r="CU7" s="144"/>
      <c r="CV7" s="144"/>
      <c r="CW7" s="144"/>
      <c r="CX7" s="144"/>
      <c r="CY7" s="144"/>
      <c r="CZ7" s="144"/>
      <c r="DA7" s="144"/>
      <c r="DB7" s="144"/>
      <c r="DC7" s="144"/>
      <c r="DD7" s="144"/>
      <c r="DE7" s="144"/>
      <c r="DF7" s="144"/>
      <c r="DG7" s="144"/>
      <c r="DH7" s="144"/>
      <c r="DI7" s="144"/>
      <c r="DJ7" s="144"/>
      <c r="DK7" s="144"/>
      <c r="DL7" s="144"/>
      <c r="DM7" s="144"/>
      <c r="DN7" s="144"/>
      <c r="DO7" s="144"/>
      <c r="DP7" s="144"/>
      <c r="DQ7" s="144"/>
      <c r="DR7" s="144"/>
      <c r="DT7" s="144">
        <f>+SUMIF($C$3:$DR$3,DT$3,$C7:$DR7)</f>
        <v>0</v>
      </c>
      <c r="DU7" s="144">
        <f t="shared" si="1"/>
        <v>0</v>
      </c>
      <c r="DV7" s="144">
        <f t="shared" si="1"/>
        <v>0</v>
      </c>
      <c r="DW7" s="144">
        <f t="shared" si="1"/>
        <v>0</v>
      </c>
      <c r="DX7" s="144">
        <f t="shared" si="1"/>
        <v>0</v>
      </c>
      <c r="DY7" s="144">
        <f t="shared" si="1"/>
        <v>0</v>
      </c>
      <c r="DZ7" s="144">
        <f t="shared" si="1"/>
        <v>0</v>
      </c>
      <c r="EA7" s="144">
        <f t="shared" si="1"/>
        <v>0</v>
      </c>
      <c r="EB7" s="144">
        <f t="shared" si="1"/>
        <v>0</v>
      </c>
      <c r="EC7" s="144">
        <f t="shared" si="1"/>
        <v>0</v>
      </c>
      <c r="EF7" s="144"/>
      <c r="EG7" s="296"/>
    </row>
    <row r="8" thickBot="1">
      <c r="A8" s="297" t="s">
        <v>1204</v>
      </c>
      <c r="B8" s="292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4"/>
      <c r="AF8" s="144"/>
      <c r="AG8" s="144"/>
      <c r="AH8" s="144"/>
      <c r="AI8" s="144"/>
      <c r="AJ8" s="144"/>
      <c r="AK8" s="144"/>
      <c r="AL8" s="144"/>
      <c r="AM8" s="144"/>
      <c r="AN8" s="144"/>
      <c r="AO8" s="144"/>
      <c r="AP8" s="144"/>
      <c r="AQ8" s="144"/>
      <c r="AR8" s="144"/>
      <c r="AS8" s="144"/>
      <c r="AT8" s="144"/>
      <c r="AU8" s="144"/>
      <c r="AV8" s="144"/>
      <c r="AW8" s="144"/>
      <c r="AX8" s="144"/>
      <c r="AY8" s="144"/>
      <c r="AZ8" s="144"/>
      <c r="BA8" s="144"/>
      <c r="BB8" s="144"/>
      <c r="BC8" s="144"/>
      <c r="BD8" s="144"/>
      <c r="BE8" s="144"/>
      <c r="BF8" s="144"/>
      <c r="BG8" s="144"/>
      <c r="BH8" s="144"/>
      <c r="BI8" s="144"/>
      <c r="BJ8" s="144"/>
      <c r="BK8" s="144"/>
      <c r="BL8" s="144"/>
      <c r="BM8" s="144"/>
      <c r="BN8" s="144"/>
      <c r="BO8" s="144"/>
      <c r="BP8" s="144"/>
      <c r="BQ8" s="144"/>
      <c r="BR8" s="144"/>
      <c r="BS8" s="144"/>
      <c r="BT8" s="144"/>
      <c r="BU8" s="144"/>
      <c r="BV8" s="144"/>
      <c r="BW8" s="144"/>
      <c r="BX8" s="144"/>
      <c r="BY8" s="144"/>
      <c r="BZ8" s="144"/>
      <c r="CA8" s="144"/>
      <c r="CB8" s="144"/>
      <c r="CC8" s="144"/>
      <c r="CD8" s="144"/>
      <c r="CE8" s="144"/>
      <c r="CF8" s="144"/>
      <c r="CG8" s="144"/>
      <c r="CH8" s="144"/>
      <c r="CI8" s="144"/>
      <c r="CJ8" s="144"/>
      <c r="CK8" s="144"/>
      <c r="CL8" s="144"/>
      <c r="CM8" s="144"/>
      <c r="CN8" s="144"/>
      <c r="CO8" s="144"/>
      <c r="CP8" s="144"/>
      <c r="CQ8" s="144"/>
      <c r="CR8" s="144"/>
      <c r="CS8" s="144"/>
      <c r="CT8" s="144"/>
      <c r="CU8" s="144"/>
      <c r="CV8" s="144"/>
      <c r="CW8" s="144"/>
      <c r="CX8" s="144"/>
      <c r="CY8" s="144"/>
      <c r="CZ8" s="144"/>
      <c r="DA8" s="144"/>
      <c r="DB8" s="144"/>
      <c r="DC8" s="144"/>
      <c r="DD8" s="144"/>
      <c r="DE8" s="144"/>
      <c r="DF8" s="144"/>
      <c r="DG8" s="144"/>
      <c r="DH8" s="144"/>
      <c r="DI8" s="144"/>
      <c r="DJ8" s="144"/>
      <c r="DK8" s="144"/>
      <c r="DL8" s="144"/>
      <c r="DM8" s="144"/>
      <c r="DN8" s="144"/>
      <c r="DO8" s="144"/>
      <c r="DP8" s="144"/>
      <c r="DQ8" s="144"/>
      <c r="DR8" s="144"/>
      <c r="DT8" s="144">
        <f>+SUMIF($C$3:$DR$3,DT$3,$C8:$DR8)</f>
        <v>0</v>
      </c>
      <c r="DU8" s="144">
        <f t="shared" si="1"/>
        <v>0</v>
      </c>
      <c r="DV8" s="144">
        <f t="shared" si="1"/>
        <v>0</v>
      </c>
      <c r="DW8" s="144">
        <f t="shared" si="1"/>
        <v>0</v>
      </c>
      <c r="DX8" s="144">
        <f t="shared" si="1"/>
        <v>0</v>
      </c>
      <c r="DY8" s="144">
        <f t="shared" si="1"/>
        <v>0</v>
      </c>
      <c r="DZ8" s="144">
        <f t="shared" si="1"/>
        <v>0</v>
      </c>
      <c r="EA8" s="144">
        <f t="shared" si="1"/>
        <v>0</v>
      </c>
      <c r="EB8" s="144">
        <f t="shared" si="1"/>
        <v>0</v>
      </c>
      <c r="EC8" s="144">
        <f t="shared" si="1"/>
        <v>0</v>
      </c>
      <c r="EF8" s="144"/>
      <c r="EG8" s="296"/>
    </row>
    <row r="9" thickTop="1" thickBot="1" ht="18.75" customHeight="1">
      <c r="A9" s="293" t="s">
        <v>1205</v>
      </c>
      <c r="B9" s="294"/>
      <c r="C9" s="295">
        <f>+C7-C8</f>
        <v>0</v>
      </c>
      <c r="D9" s="295">
        <f t="shared" ref="D9:BO9" si="5">+D7-D8</f>
        <v>0</v>
      </c>
      <c r="E9" s="295">
        <f t="shared" si="5"/>
        <v>0</v>
      </c>
      <c r="F9" s="295">
        <f t="shared" si="5"/>
        <v>0</v>
      </c>
      <c r="G9" s="295">
        <f t="shared" si="5"/>
        <v>0</v>
      </c>
      <c r="H9" s="295">
        <f t="shared" si="5"/>
        <v>0</v>
      </c>
      <c r="I9" s="295">
        <f t="shared" si="5"/>
        <v>0</v>
      </c>
      <c r="J9" s="295">
        <f t="shared" si="5"/>
        <v>0</v>
      </c>
      <c r="K9" s="295">
        <f t="shared" si="5"/>
        <v>0</v>
      </c>
      <c r="L9" s="295">
        <f t="shared" si="5"/>
        <v>0</v>
      </c>
      <c r="M9" s="295">
        <f t="shared" si="5"/>
        <v>0</v>
      </c>
      <c r="N9" s="295">
        <f t="shared" si="5"/>
        <v>0</v>
      </c>
      <c r="O9" s="295">
        <f t="shared" si="5"/>
        <v>0</v>
      </c>
      <c r="P9" s="295">
        <f t="shared" si="5"/>
        <v>0</v>
      </c>
      <c r="Q9" s="295">
        <f t="shared" si="5"/>
        <v>0</v>
      </c>
      <c r="R9" s="295">
        <f t="shared" si="5"/>
        <v>0</v>
      </c>
      <c r="S9" s="295">
        <f t="shared" si="5"/>
        <v>0</v>
      </c>
      <c r="T9" s="295">
        <f t="shared" si="5"/>
        <v>0</v>
      </c>
      <c r="U9" s="295">
        <f t="shared" si="5"/>
        <v>0</v>
      </c>
      <c r="V9" s="295">
        <f t="shared" si="5"/>
        <v>0</v>
      </c>
      <c r="W9" s="295">
        <f t="shared" si="5"/>
        <v>0</v>
      </c>
      <c r="X9" s="295">
        <f t="shared" si="5"/>
        <v>0</v>
      </c>
      <c r="Y9" s="295">
        <f t="shared" si="5"/>
        <v>0</v>
      </c>
      <c r="Z9" s="295">
        <f t="shared" si="5"/>
        <v>0</v>
      </c>
      <c r="AA9" s="295">
        <f t="shared" si="5"/>
        <v>0</v>
      </c>
      <c r="AB9" s="295">
        <f t="shared" si="5"/>
        <v>0</v>
      </c>
      <c r="AC9" s="295">
        <f t="shared" si="5"/>
        <v>0</v>
      </c>
      <c r="AD9" s="295">
        <f t="shared" si="5"/>
        <v>0</v>
      </c>
      <c r="AE9" s="295">
        <f t="shared" si="5"/>
        <v>0</v>
      </c>
      <c r="AF9" s="295">
        <f t="shared" si="5"/>
        <v>0</v>
      </c>
      <c r="AG9" s="295">
        <f t="shared" si="5"/>
        <v>0</v>
      </c>
      <c r="AH9" s="295">
        <f t="shared" si="5"/>
        <v>0</v>
      </c>
      <c r="AI9" s="295">
        <f t="shared" si="5"/>
        <v>0</v>
      </c>
      <c r="AJ9" s="295">
        <f t="shared" si="5"/>
        <v>0</v>
      </c>
      <c r="AK9" s="295">
        <f t="shared" si="5"/>
        <v>0</v>
      </c>
      <c r="AL9" s="295">
        <f t="shared" si="5"/>
        <v>0</v>
      </c>
      <c r="AM9" s="295">
        <f t="shared" si="5"/>
        <v>0</v>
      </c>
      <c r="AN9" s="295">
        <f t="shared" si="5"/>
        <v>0</v>
      </c>
      <c r="AO9" s="295">
        <f t="shared" si="5"/>
        <v>0</v>
      </c>
      <c r="AP9" s="295">
        <f t="shared" si="5"/>
        <v>0</v>
      </c>
      <c r="AQ9" s="295">
        <f t="shared" si="5"/>
        <v>0</v>
      </c>
      <c r="AR9" s="295">
        <f t="shared" si="5"/>
        <v>0</v>
      </c>
      <c r="AS9" s="295">
        <f t="shared" si="5"/>
        <v>0</v>
      </c>
      <c r="AT9" s="295">
        <f t="shared" si="5"/>
        <v>0</v>
      </c>
      <c r="AU9" s="295">
        <f t="shared" si="5"/>
        <v>0</v>
      </c>
      <c r="AV9" s="295">
        <f t="shared" si="5"/>
        <v>0</v>
      </c>
      <c r="AW9" s="295">
        <f t="shared" si="5"/>
        <v>0</v>
      </c>
      <c r="AX9" s="295">
        <f t="shared" si="5"/>
        <v>0</v>
      </c>
      <c r="AY9" s="295">
        <f t="shared" si="5"/>
        <v>0</v>
      </c>
      <c r="AZ9" s="295">
        <f t="shared" si="5"/>
        <v>0</v>
      </c>
      <c r="BA9" s="295">
        <f t="shared" si="5"/>
        <v>0</v>
      </c>
      <c r="BB9" s="295">
        <f t="shared" si="5"/>
        <v>0</v>
      </c>
      <c r="BC9" s="295">
        <f t="shared" si="5"/>
        <v>0</v>
      </c>
      <c r="BD9" s="295">
        <f t="shared" si="5"/>
        <v>0</v>
      </c>
      <c r="BE9" s="295">
        <f t="shared" si="5"/>
        <v>0</v>
      </c>
      <c r="BF9" s="295">
        <f t="shared" si="5"/>
        <v>0</v>
      </c>
      <c r="BG9" s="295">
        <f t="shared" si="5"/>
        <v>0</v>
      </c>
      <c r="BH9" s="295">
        <f t="shared" si="5"/>
        <v>0</v>
      </c>
      <c r="BI9" s="295">
        <f t="shared" si="5"/>
        <v>0</v>
      </c>
      <c r="BJ9" s="295">
        <f t="shared" si="5"/>
        <v>0</v>
      </c>
      <c r="BK9" s="295">
        <f t="shared" si="5"/>
        <v>0</v>
      </c>
      <c r="BL9" s="295">
        <f t="shared" si="5"/>
        <v>0</v>
      </c>
      <c r="BM9" s="295">
        <f t="shared" si="5"/>
        <v>0</v>
      </c>
      <c r="BN9" s="295">
        <f t="shared" si="5"/>
        <v>0</v>
      </c>
      <c r="BO9" s="295">
        <f t="shared" si="5"/>
        <v>0</v>
      </c>
      <c r="BP9" s="295">
        <f t="shared" ref="BP9:DU9" si="6">+BP7-BP8</f>
        <v>0</v>
      </c>
      <c r="BQ9" s="295">
        <f t="shared" si="6"/>
        <v>0</v>
      </c>
      <c r="BR9" s="295">
        <f t="shared" si="6"/>
        <v>0</v>
      </c>
      <c r="BS9" s="295">
        <f t="shared" si="6"/>
        <v>0</v>
      </c>
      <c r="BT9" s="295">
        <f t="shared" si="6"/>
        <v>0</v>
      </c>
      <c r="BU9" s="295">
        <f t="shared" si="6"/>
        <v>0</v>
      </c>
      <c r="BV9" s="295">
        <f t="shared" si="6"/>
        <v>0</v>
      </c>
      <c r="BW9" s="295">
        <f t="shared" si="6"/>
        <v>0</v>
      </c>
      <c r="BX9" s="295">
        <f t="shared" si="6"/>
        <v>0</v>
      </c>
      <c r="BY9" s="295">
        <f t="shared" si="6"/>
        <v>0</v>
      </c>
      <c r="BZ9" s="295">
        <f t="shared" si="6"/>
        <v>0</v>
      </c>
      <c r="CA9" s="295">
        <f t="shared" si="6"/>
        <v>0</v>
      </c>
      <c r="CB9" s="295">
        <f t="shared" si="6"/>
        <v>0</v>
      </c>
      <c r="CC9" s="295">
        <f t="shared" si="6"/>
        <v>0</v>
      </c>
      <c r="CD9" s="295">
        <f t="shared" si="6"/>
        <v>0</v>
      </c>
      <c r="CE9" s="295">
        <f t="shared" si="6"/>
        <v>0</v>
      </c>
      <c r="CF9" s="295">
        <f t="shared" si="6"/>
        <v>0</v>
      </c>
      <c r="CG9" s="295">
        <f t="shared" si="6"/>
        <v>0</v>
      </c>
      <c r="CH9" s="295">
        <f t="shared" si="6"/>
        <v>0</v>
      </c>
      <c r="CI9" s="295">
        <f t="shared" si="6"/>
        <v>0</v>
      </c>
      <c r="CJ9" s="295">
        <f t="shared" si="6"/>
        <v>0</v>
      </c>
      <c r="CK9" s="295">
        <f t="shared" si="6"/>
        <v>0</v>
      </c>
      <c r="CL9" s="295">
        <f t="shared" si="6"/>
        <v>0</v>
      </c>
      <c r="CM9" s="295">
        <f t="shared" si="6"/>
        <v>0</v>
      </c>
      <c r="CN9" s="295">
        <f t="shared" si="6"/>
        <v>0</v>
      </c>
      <c r="CO9" s="295">
        <f t="shared" si="6"/>
        <v>0</v>
      </c>
      <c r="CP9" s="295">
        <f t="shared" si="6"/>
        <v>0</v>
      </c>
      <c r="CQ9" s="295">
        <f t="shared" si="6"/>
        <v>0</v>
      </c>
      <c r="CR9" s="295">
        <f t="shared" si="6"/>
        <v>0</v>
      </c>
      <c r="CS9" s="295">
        <f t="shared" si="6"/>
        <v>0</v>
      </c>
      <c r="CT9" s="295">
        <f t="shared" si="6"/>
        <v>0</v>
      </c>
      <c r="CU9" s="295">
        <f t="shared" si="6"/>
        <v>0</v>
      </c>
      <c r="CV9" s="295">
        <f t="shared" si="6"/>
        <v>0</v>
      </c>
      <c r="CW9" s="295">
        <f t="shared" si="6"/>
        <v>0</v>
      </c>
      <c r="CX9" s="295">
        <f t="shared" si="6"/>
        <v>0</v>
      </c>
      <c r="CY9" s="295">
        <f t="shared" si="6"/>
        <v>0</v>
      </c>
      <c r="CZ9" s="295">
        <f t="shared" si="6"/>
        <v>0</v>
      </c>
      <c r="DA9" s="295">
        <f t="shared" si="6"/>
        <v>0</v>
      </c>
      <c r="DB9" s="295">
        <f t="shared" si="6"/>
        <v>0</v>
      </c>
      <c r="DC9" s="295">
        <f t="shared" si="6"/>
        <v>0</v>
      </c>
      <c r="DD9" s="295">
        <f t="shared" si="6"/>
        <v>0</v>
      </c>
      <c r="DE9" s="295">
        <f t="shared" si="6"/>
        <v>0</v>
      </c>
      <c r="DF9" s="295">
        <f t="shared" si="6"/>
        <v>0</v>
      </c>
      <c r="DG9" s="295">
        <f t="shared" si="6"/>
        <v>0</v>
      </c>
      <c r="DH9" s="295">
        <f t="shared" si="6"/>
        <v>0</v>
      </c>
      <c r="DI9" s="295">
        <f t="shared" si="6"/>
        <v>0</v>
      </c>
      <c r="DJ9" s="295">
        <f t="shared" si="6"/>
        <v>0</v>
      </c>
      <c r="DK9" s="295">
        <f t="shared" si="6"/>
        <v>0</v>
      </c>
      <c r="DL9" s="295">
        <f t="shared" si="6"/>
        <v>0</v>
      </c>
      <c r="DM9" s="295">
        <f t="shared" si="6"/>
        <v>0</v>
      </c>
      <c r="DN9" s="295">
        <f t="shared" si="6"/>
        <v>0</v>
      </c>
      <c r="DO9" s="295">
        <f t="shared" si="6"/>
        <v>0</v>
      </c>
      <c r="DP9" s="295">
        <f t="shared" si="6"/>
        <v>0</v>
      </c>
      <c r="DQ9" s="295">
        <f t="shared" si="6"/>
        <v>0</v>
      </c>
      <c r="DR9" s="295">
        <f t="shared" si="6"/>
        <v>0</v>
      </c>
      <c r="DT9" s="295">
        <f t="shared" si="6"/>
        <v>0</v>
      </c>
      <c r="DU9" s="295">
        <f t="shared" si="6"/>
        <v>0</v>
      </c>
      <c r="DV9" s="295">
        <f t="shared" ref="DV9:EC9" si="7">+DV7-DV8</f>
        <v>0</v>
      </c>
      <c r="DW9" s="295">
        <f t="shared" si="7"/>
        <v>0</v>
      </c>
      <c r="DX9" s="295">
        <f t="shared" si="7"/>
        <v>0</v>
      </c>
      <c r="DY9" s="295">
        <f t="shared" si="7"/>
        <v>0</v>
      </c>
      <c r="DZ9" s="295">
        <f t="shared" si="7"/>
        <v>0</v>
      </c>
      <c r="EA9" s="295">
        <f t="shared" si="7"/>
        <v>0</v>
      </c>
      <c r="EB9" s="295">
        <f t="shared" si="7"/>
        <v>0</v>
      </c>
      <c r="EC9" s="295">
        <f t="shared" si="7"/>
        <v>0</v>
      </c>
      <c r="EF9" s="144"/>
      <c r="EG9" s="296"/>
    </row>
    <row r="10" thickTop="1" thickBot="1" ht="19.5">
      <c r="A10" s="150"/>
      <c r="B10" s="292"/>
      <c r="EF10" s="144"/>
      <c r="EG10" s="296"/>
    </row>
    <row r="11" thickTop="1" thickBot="1" ht="19.5">
      <c r="A11" s="299" t="s">
        <v>963</v>
      </c>
      <c r="B11" s="300"/>
      <c r="C11" s="301">
        <f t="shared" ref="C11:AH11" si="8">+C5-C9</f>
        <v>0</v>
      </c>
      <c r="D11" s="301">
        <f t="shared" si="8"/>
        <v>0</v>
      </c>
      <c r="E11" s="301">
        <f t="shared" si="8"/>
        <v>0</v>
      </c>
      <c r="F11" s="301">
        <f t="shared" si="8"/>
        <v>0</v>
      </c>
      <c r="G11" s="301">
        <f t="shared" si="8"/>
        <v>0</v>
      </c>
      <c r="H11" s="301">
        <f t="shared" si="8"/>
        <v>0</v>
      </c>
      <c r="I11" s="301">
        <f t="shared" si="8"/>
        <v>0</v>
      </c>
      <c r="J11" s="301">
        <f t="shared" si="8"/>
        <v>0</v>
      </c>
      <c r="K11" s="301">
        <f t="shared" si="8"/>
        <v>0</v>
      </c>
      <c r="L11" s="301">
        <f t="shared" si="8"/>
        <v>0</v>
      </c>
      <c r="M11" s="301">
        <f t="shared" si="8"/>
        <v>0</v>
      </c>
      <c r="N11" s="301">
        <f t="shared" si="8"/>
        <v>0</v>
      </c>
      <c r="O11" s="301">
        <f t="shared" si="8"/>
        <v>0</v>
      </c>
      <c r="P11" s="301">
        <f t="shared" si="8"/>
        <v>0</v>
      </c>
      <c r="Q11" s="301">
        <f t="shared" si="8"/>
        <v>0</v>
      </c>
      <c r="R11" s="301">
        <f t="shared" si="8"/>
        <v>0</v>
      </c>
      <c r="S11" s="301">
        <f t="shared" si="8"/>
        <v>0</v>
      </c>
      <c r="T11" s="301">
        <f t="shared" si="8"/>
        <v>0</v>
      </c>
      <c r="U11" s="301">
        <f t="shared" si="8"/>
        <v>0</v>
      </c>
      <c r="V11" s="301">
        <f t="shared" si="8"/>
        <v>0</v>
      </c>
      <c r="W11" s="301">
        <f t="shared" si="8"/>
        <v>0</v>
      </c>
      <c r="X11" s="301">
        <f t="shared" si="8"/>
        <v>0</v>
      </c>
      <c r="Y11" s="301">
        <f t="shared" si="8"/>
        <v>0</v>
      </c>
      <c r="Z11" s="301">
        <f t="shared" si="8"/>
        <v>0</v>
      </c>
      <c r="AA11" s="301">
        <f t="shared" si="8"/>
        <v>0</v>
      </c>
      <c r="AB11" s="301">
        <f t="shared" si="8"/>
        <v>0</v>
      </c>
      <c r="AC11" s="301">
        <f t="shared" si="8"/>
        <v>0</v>
      </c>
      <c r="AD11" s="301">
        <f t="shared" si="8"/>
        <v>0</v>
      </c>
      <c r="AE11" s="301">
        <f t="shared" si="8"/>
        <v>0</v>
      </c>
      <c r="AF11" s="301">
        <f t="shared" si="8"/>
        <v>0</v>
      </c>
      <c r="AG11" s="301">
        <f t="shared" si="8"/>
        <v>0</v>
      </c>
      <c r="AH11" s="301">
        <f t="shared" si="8"/>
        <v>0</v>
      </c>
      <c r="AI11" s="301">
        <f t="shared" ref="AI11:BN11" si="9">+AI5-AI9</f>
        <v>0</v>
      </c>
      <c r="AJ11" s="301">
        <f t="shared" si="9"/>
        <v>0</v>
      </c>
      <c r="AK11" s="301">
        <f t="shared" si="9"/>
        <v>0</v>
      </c>
      <c r="AL11" s="301">
        <f t="shared" si="9"/>
        <v>0</v>
      </c>
      <c r="AM11" s="301">
        <f t="shared" si="9"/>
        <v>0</v>
      </c>
      <c r="AN11" s="301">
        <f t="shared" si="9"/>
        <v>0</v>
      </c>
      <c r="AO11" s="301">
        <f t="shared" si="9"/>
        <v>0</v>
      </c>
      <c r="AP11" s="301">
        <f t="shared" si="9"/>
        <v>0</v>
      </c>
      <c r="AQ11" s="301">
        <f t="shared" si="9"/>
        <v>0</v>
      </c>
      <c r="AR11" s="301">
        <f t="shared" si="9"/>
        <v>0</v>
      </c>
      <c r="AS11" s="301">
        <f t="shared" si="9"/>
        <v>0</v>
      </c>
      <c r="AT11" s="301">
        <f t="shared" si="9"/>
        <v>0</v>
      </c>
      <c r="AU11" s="301">
        <f t="shared" si="9"/>
        <v>0</v>
      </c>
      <c r="AV11" s="301">
        <f t="shared" si="9"/>
        <v>0</v>
      </c>
      <c r="AW11" s="301">
        <f t="shared" si="9"/>
        <v>0</v>
      </c>
      <c r="AX11" s="301">
        <f t="shared" si="9"/>
        <v>0</v>
      </c>
      <c r="AY11" s="301">
        <f t="shared" si="9"/>
        <v>0</v>
      </c>
      <c r="AZ11" s="301">
        <f t="shared" si="9"/>
        <v>0</v>
      </c>
      <c r="BA11" s="301">
        <f t="shared" si="9"/>
        <v>0</v>
      </c>
      <c r="BB11" s="301">
        <f t="shared" si="9"/>
        <v>0</v>
      </c>
      <c r="BC11" s="301">
        <f t="shared" si="9"/>
        <v>0</v>
      </c>
      <c r="BD11" s="301">
        <f t="shared" si="9"/>
        <v>0</v>
      </c>
      <c r="BE11" s="301">
        <f t="shared" si="9"/>
        <v>0</v>
      </c>
      <c r="BF11" s="301">
        <f t="shared" si="9"/>
        <v>0</v>
      </c>
      <c r="BG11" s="301">
        <f t="shared" si="9"/>
        <v>0</v>
      </c>
      <c r="BH11" s="301">
        <f t="shared" si="9"/>
        <v>0</v>
      </c>
      <c r="BI11" s="301">
        <f t="shared" si="9"/>
        <v>0</v>
      </c>
      <c r="BJ11" s="301">
        <f t="shared" si="9"/>
        <v>0</v>
      </c>
      <c r="BK11" s="301">
        <f t="shared" si="9"/>
        <v>0</v>
      </c>
      <c r="BL11" s="301">
        <f t="shared" si="9"/>
        <v>0</v>
      </c>
      <c r="BM11" s="301">
        <f t="shared" si="9"/>
        <v>0</v>
      </c>
      <c r="BN11" s="301">
        <f t="shared" si="9"/>
        <v>0</v>
      </c>
      <c r="BO11" s="301">
        <f t="shared" ref="BO11:CT11" si="10">+BO5-BO9</f>
        <v>0</v>
      </c>
      <c r="BP11" s="301">
        <f t="shared" si="10"/>
        <v>0</v>
      </c>
      <c r="BQ11" s="301">
        <f t="shared" si="10"/>
        <v>0</v>
      </c>
      <c r="BR11" s="301">
        <f t="shared" si="10"/>
        <v>0</v>
      </c>
      <c r="BS11" s="301">
        <f t="shared" si="10"/>
        <v>0</v>
      </c>
      <c r="BT11" s="301">
        <f t="shared" si="10"/>
        <v>0</v>
      </c>
      <c r="BU11" s="301">
        <f t="shared" si="10"/>
        <v>0</v>
      </c>
      <c r="BV11" s="301">
        <f t="shared" si="10"/>
        <v>0</v>
      </c>
      <c r="BW11" s="301">
        <f t="shared" si="10"/>
        <v>0</v>
      </c>
      <c r="BX11" s="301">
        <f t="shared" si="10"/>
        <v>0</v>
      </c>
      <c r="BY11" s="301">
        <f t="shared" si="10"/>
        <v>0</v>
      </c>
      <c r="BZ11" s="301">
        <f t="shared" si="10"/>
        <v>0</v>
      </c>
      <c r="CA11" s="301">
        <f t="shared" si="10"/>
        <v>0</v>
      </c>
      <c r="CB11" s="301">
        <f t="shared" si="10"/>
        <v>0</v>
      </c>
      <c r="CC11" s="301">
        <f t="shared" si="10"/>
        <v>0</v>
      </c>
      <c r="CD11" s="301">
        <f t="shared" si="10"/>
        <v>0</v>
      </c>
      <c r="CE11" s="301">
        <f t="shared" si="10"/>
        <v>0</v>
      </c>
      <c r="CF11" s="301">
        <f t="shared" si="10"/>
        <v>0</v>
      </c>
      <c r="CG11" s="301">
        <f t="shared" si="10"/>
        <v>0</v>
      </c>
      <c r="CH11" s="301">
        <f t="shared" si="10"/>
        <v>0</v>
      </c>
      <c r="CI11" s="301">
        <f t="shared" si="10"/>
        <v>0</v>
      </c>
      <c r="CJ11" s="301">
        <f t="shared" si="10"/>
        <v>0</v>
      </c>
      <c r="CK11" s="301">
        <f t="shared" si="10"/>
        <v>0</v>
      </c>
      <c r="CL11" s="301">
        <f t="shared" si="10"/>
        <v>0</v>
      </c>
      <c r="CM11" s="301">
        <f t="shared" si="10"/>
        <v>0</v>
      </c>
      <c r="CN11" s="301">
        <f t="shared" si="10"/>
        <v>0</v>
      </c>
      <c r="CO11" s="301">
        <f t="shared" si="10"/>
        <v>0</v>
      </c>
      <c r="CP11" s="301">
        <f t="shared" si="10"/>
        <v>0</v>
      </c>
      <c r="CQ11" s="301">
        <f t="shared" si="10"/>
        <v>0</v>
      </c>
      <c r="CR11" s="301">
        <f t="shared" si="10"/>
        <v>0</v>
      </c>
      <c r="CS11" s="301">
        <f t="shared" si="10"/>
        <v>0</v>
      </c>
      <c r="CT11" s="301">
        <f t="shared" si="10"/>
        <v>0</v>
      </c>
      <c r="CU11" s="301">
        <f t="shared" ref="CU11:DU11" si="11">+CU5-CU9</f>
        <v>0</v>
      </c>
      <c r="CV11" s="301">
        <f t="shared" si="11"/>
        <v>0</v>
      </c>
      <c r="CW11" s="301">
        <f t="shared" si="11"/>
        <v>0</v>
      </c>
      <c r="CX11" s="301">
        <f t="shared" si="11"/>
        <v>0</v>
      </c>
      <c r="CY11" s="301">
        <f t="shared" si="11"/>
        <v>0</v>
      </c>
      <c r="CZ11" s="301">
        <f t="shared" si="11"/>
        <v>0</v>
      </c>
      <c r="DA11" s="301">
        <f t="shared" si="11"/>
        <v>0</v>
      </c>
      <c r="DB11" s="301">
        <f t="shared" si="11"/>
        <v>0</v>
      </c>
      <c r="DC11" s="301">
        <f t="shared" si="11"/>
        <v>0</v>
      </c>
      <c r="DD11" s="301">
        <f t="shared" si="11"/>
        <v>0</v>
      </c>
      <c r="DE11" s="301">
        <f t="shared" si="11"/>
        <v>0</v>
      </c>
      <c r="DF11" s="301">
        <f t="shared" si="11"/>
        <v>0</v>
      </c>
      <c r="DG11" s="301">
        <f t="shared" si="11"/>
        <v>0</v>
      </c>
      <c r="DH11" s="301">
        <f t="shared" si="11"/>
        <v>0</v>
      </c>
      <c r="DI11" s="301">
        <f t="shared" si="11"/>
        <v>0</v>
      </c>
      <c r="DJ11" s="301">
        <f t="shared" si="11"/>
        <v>0</v>
      </c>
      <c r="DK11" s="301">
        <f t="shared" si="11"/>
        <v>0</v>
      </c>
      <c r="DL11" s="301">
        <f t="shared" si="11"/>
        <v>0</v>
      </c>
      <c r="DM11" s="301">
        <f t="shared" si="11"/>
        <v>0</v>
      </c>
      <c r="DN11" s="301">
        <f t="shared" si="11"/>
        <v>0</v>
      </c>
      <c r="DO11" s="301">
        <f t="shared" si="11"/>
        <v>0</v>
      </c>
      <c r="DP11" s="301">
        <f t="shared" si="11"/>
        <v>0</v>
      </c>
      <c r="DQ11" s="301">
        <f t="shared" si="11"/>
        <v>0</v>
      </c>
      <c r="DR11" s="301">
        <f t="shared" si="11"/>
        <v>0</v>
      </c>
      <c r="DT11" s="301">
        <f t="shared" si="11"/>
        <v>0</v>
      </c>
      <c r="DU11" s="301">
        <f t="shared" si="11"/>
        <v>0</v>
      </c>
      <c r="DV11" s="301">
        <f t="shared" ref="DV11:EC11" si="12">+DV5-DV9</f>
        <v>0</v>
      </c>
      <c r="DW11" s="301">
        <f t="shared" si="12"/>
        <v>0</v>
      </c>
      <c r="DX11" s="301">
        <f t="shared" si="12"/>
        <v>0</v>
      </c>
      <c r="DY11" s="301">
        <f t="shared" si="12"/>
        <v>0</v>
      </c>
      <c r="DZ11" s="301">
        <f t="shared" si="12"/>
        <v>0</v>
      </c>
      <c r="EA11" s="301">
        <f t="shared" si="12"/>
        <v>0</v>
      </c>
      <c r="EB11" s="301">
        <f t="shared" si="12"/>
        <v>0</v>
      </c>
      <c r="EC11" s="301">
        <f t="shared" si="12"/>
        <v>0</v>
      </c>
      <c r="EF11" s="144"/>
      <c r="EG11" s="296"/>
    </row>
    <row r="12" thickTop="1" ht="19">
      <c r="A12" s="150" t="s">
        <v>1206</v>
      </c>
      <c r="B12" s="292"/>
      <c r="C12" s="302" t="str">
        <f>+IFERROR(C11/C5,"na")</f>
        <v>na</v>
      </c>
      <c r="D12" s="302" t="str">
        <f t="shared" ref="D12:H12" si="13">+IFERROR(D11/D5,"na")</f>
        <v>na</v>
      </c>
      <c r="E12" s="302" t="str">
        <f t="shared" si="13"/>
        <v>na</v>
      </c>
      <c r="F12" s="302" t="str">
        <f t="shared" si="13"/>
        <v>na</v>
      </c>
      <c r="G12" s="302" t="str">
        <f t="shared" si="13"/>
        <v>na</v>
      </c>
      <c r="H12" s="302" t="str">
        <f t="shared" si="13"/>
        <v>na</v>
      </c>
      <c r="I12" s="302" t="str">
        <f t="shared" ref="I12" si="14">+IFERROR(I11/I5,"na")</f>
        <v>na</v>
      </c>
      <c r="J12" s="302" t="str">
        <f t="shared" ref="J12" si="15">+IFERROR(J11/J5,"na")</f>
        <v>na</v>
      </c>
      <c r="K12" s="302" t="str">
        <f t="shared" ref="K12" si="16">+IFERROR(K11/K5,"na")</f>
        <v>na</v>
      </c>
      <c r="L12" s="302" t="str">
        <f t="shared" ref="L12" si="17">+IFERROR(L11/L5,"na")</f>
        <v>na</v>
      </c>
      <c r="M12" s="302" t="str">
        <f t="shared" ref="M12" si="18">+IFERROR(M11/M5,"na")</f>
        <v>na</v>
      </c>
      <c r="N12" s="302" t="str">
        <f t="shared" ref="N12" si="19">+IFERROR(N11/N5,"na")</f>
        <v>na</v>
      </c>
      <c r="O12" s="302" t="str">
        <f t="shared" ref="O12" si="20">+IFERROR(O11/O5,"na")</f>
        <v>na</v>
      </c>
      <c r="P12" s="302" t="str">
        <f t="shared" ref="P12" si="21">+IFERROR(P11/P5,"na")</f>
        <v>na</v>
      </c>
      <c r="Q12" s="302" t="str">
        <f t="shared" ref="Q12" si="22">+IFERROR(Q11/Q5,"na")</f>
        <v>na</v>
      </c>
      <c r="R12" s="302" t="str">
        <f t="shared" ref="R12" si="23">+IFERROR(R11/R5,"na")</f>
        <v>na</v>
      </c>
      <c r="S12" s="302" t="str">
        <f t="shared" ref="S12" si="24">+IFERROR(S11/S5,"na")</f>
        <v>na</v>
      </c>
      <c r="T12" s="302" t="str">
        <f t="shared" ref="T12" si="25">+IFERROR(T11/T5,"na")</f>
        <v>na</v>
      </c>
      <c r="U12" s="302" t="str">
        <f t="shared" ref="U12" si="26">+IFERROR(U11/U5,"na")</f>
        <v>na</v>
      </c>
      <c r="V12" s="302" t="str">
        <f t="shared" ref="V12" si="27">+IFERROR(V11/V5,"na")</f>
        <v>na</v>
      </c>
      <c r="W12" s="302" t="str">
        <f t="shared" ref="W12" si="28">+IFERROR(W11/W5,"na")</f>
        <v>na</v>
      </c>
      <c r="X12" s="302" t="str">
        <f t="shared" ref="X12" si="29">+IFERROR(X11/X5,"na")</f>
        <v>na</v>
      </c>
      <c r="Y12" s="302" t="str">
        <f t="shared" ref="Y12" si="30">+IFERROR(Y11/Y5,"na")</f>
        <v>na</v>
      </c>
      <c r="Z12" s="302" t="str">
        <f t="shared" ref="Z12" si="31">+IFERROR(Z11/Z5,"na")</f>
        <v>na</v>
      </c>
      <c r="AA12" s="302" t="str">
        <f t="shared" ref="AA12" si="32">+IFERROR(AA11/AA5,"na")</f>
        <v>na</v>
      </c>
      <c r="AB12" s="302" t="str">
        <f t="shared" ref="AB12" si="33">+IFERROR(AB11/AB5,"na")</f>
        <v>na</v>
      </c>
      <c r="AC12" s="302" t="str">
        <f t="shared" ref="AC12" si="34">+IFERROR(AC11/AC5,"na")</f>
        <v>na</v>
      </c>
      <c r="AD12" s="302" t="str">
        <f t="shared" ref="AD12" si="35">+IFERROR(AD11/AD5,"na")</f>
        <v>na</v>
      </c>
      <c r="AE12" s="302" t="str">
        <f t="shared" ref="AE12" si="36">+IFERROR(AE11/AE5,"na")</f>
        <v>na</v>
      </c>
      <c r="AF12" s="302" t="str">
        <f t="shared" ref="AF12" si="37">+IFERROR(AF11/AF5,"na")</f>
        <v>na</v>
      </c>
      <c r="AG12" s="302" t="str">
        <f t="shared" ref="AG12" si="38">+IFERROR(AG11/AG5,"na")</f>
        <v>na</v>
      </c>
      <c r="AH12" s="302" t="str">
        <f t="shared" ref="AH12" si="39">+IFERROR(AH11/AH5,"na")</f>
        <v>na</v>
      </c>
      <c r="AI12" s="302" t="str">
        <f t="shared" ref="AI12" si="40">+IFERROR(AI11/AI5,"na")</f>
        <v>na</v>
      </c>
      <c r="AJ12" s="302" t="str">
        <f t="shared" ref="AJ12" si="41">+IFERROR(AJ11/AJ5,"na")</f>
        <v>na</v>
      </c>
      <c r="AK12" s="302" t="str">
        <f t="shared" ref="AK12" si="42">+IFERROR(AK11/AK5,"na")</f>
        <v>na</v>
      </c>
      <c r="AL12" s="302" t="str">
        <f t="shared" ref="AL12" si="43">+IFERROR(AL11/AL5,"na")</f>
        <v>na</v>
      </c>
      <c r="AM12" s="302" t="str">
        <f t="shared" ref="AM12" si="44">+IFERROR(AM11/AM5,"na")</f>
        <v>na</v>
      </c>
      <c r="AN12" s="302" t="str">
        <f t="shared" ref="AN12" si="45">+IFERROR(AN11/AN5,"na")</f>
        <v>na</v>
      </c>
      <c r="AO12" s="302" t="str">
        <f t="shared" ref="AO12" si="46">+IFERROR(AO11/AO5,"na")</f>
        <v>na</v>
      </c>
      <c r="AP12" s="302" t="str">
        <f t="shared" ref="AP12" si="47">+IFERROR(AP11/AP5,"na")</f>
        <v>na</v>
      </c>
      <c r="AQ12" s="302" t="str">
        <f t="shared" ref="AQ12" si="48">+IFERROR(AQ11/AQ5,"na")</f>
        <v>na</v>
      </c>
      <c r="AR12" s="302" t="str">
        <f t="shared" ref="AR12" si="49">+IFERROR(AR11/AR5,"na")</f>
        <v>na</v>
      </c>
      <c r="AS12" s="302" t="str">
        <f t="shared" ref="AS12" si="50">+IFERROR(AS11/AS5,"na")</f>
        <v>na</v>
      </c>
      <c r="AT12" s="302" t="str">
        <f t="shared" ref="AT12" si="51">+IFERROR(AT11/AT5,"na")</f>
        <v>na</v>
      </c>
      <c r="AU12" s="302" t="str">
        <f t="shared" ref="AU12" si="52">+IFERROR(AU11/AU5,"na")</f>
        <v>na</v>
      </c>
      <c r="AV12" s="302" t="str">
        <f t="shared" ref="AV12" si="53">+IFERROR(AV11/AV5,"na")</f>
        <v>na</v>
      </c>
      <c r="AW12" s="302" t="str">
        <f t="shared" ref="AW12" si="54">+IFERROR(AW11/AW5,"na")</f>
        <v>na</v>
      </c>
      <c r="AX12" s="302" t="str">
        <f t="shared" ref="AX12" si="55">+IFERROR(AX11/AX5,"na")</f>
        <v>na</v>
      </c>
      <c r="AY12" s="302" t="str">
        <f t="shared" ref="AY12" si="56">+IFERROR(AY11/AY5,"na")</f>
        <v>na</v>
      </c>
      <c r="AZ12" s="302" t="str">
        <f t="shared" ref="AZ12" si="57">+IFERROR(AZ11/AZ5,"na")</f>
        <v>na</v>
      </c>
      <c r="BA12" s="302" t="str">
        <f t="shared" ref="BA12" si="58">+IFERROR(BA11/BA5,"na")</f>
        <v>na</v>
      </c>
      <c r="BB12" s="302" t="str">
        <f t="shared" ref="BB12" si="59">+IFERROR(BB11/BB5,"na")</f>
        <v>na</v>
      </c>
      <c r="BC12" s="302" t="str">
        <f t="shared" ref="BC12" si="60">+IFERROR(BC11/BC5,"na")</f>
        <v>na</v>
      </c>
      <c r="BD12" s="302" t="str">
        <f t="shared" ref="BD12" si="61">+IFERROR(BD11/BD5,"na")</f>
        <v>na</v>
      </c>
      <c r="BE12" s="302" t="str">
        <f t="shared" ref="BE12" si="62">+IFERROR(BE11/BE5,"na")</f>
        <v>na</v>
      </c>
      <c r="BF12" s="302" t="str">
        <f t="shared" ref="BF12" si="63">+IFERROR(BF11/BF5,"na")</f>
        <v>na</v>
      </c>
      <c r="BG12" s="302" t="str">
        <f t="shared" ref="BG12" si="64">+IFERROR(BG11/BG5,"na")</f>
        <v>na</v>
      </c>
      <c r="BH12" s="302" t="str">
        <f t="shared" ref="BH12" si="65">+IFERROR(BH11/BH5,"na")</f>
        <v>na</v>
      </c>
      <c r="BI12" s="302" t="str">
        <f t="shared" ref="BI12" si="66">+IFERROR(BI11/BI5,"na")</f>
        <v>na</v>
      </c>
      <c r="BJ12" s="302" t="str">
        <f t="shared" ref="BJ12" si="67">+IFERROR(BJ11/BJ5,"na")</f>
        <v>na</v>
      </c>
      <c r="BK12" s="302" t="str">
        <f t="shared" ref="BK12" si="68">+IFERROR(BK11/BK5,"na")</f>
        <v>na</v>
      </c>
      <c r="BL12" s="302" t="str">
        <f t="shared" ref="BL12" si="69">+IFERROR(BL11/BL5,"na")</f>
        <v>na</v>
      </c>
      <c r="BM12" s="302" t="str">
        <f t="shared" ref="BM12" si="70">+IFERROR(BM11/BM5,"na")</f>
        <v>na</v>
      </c>
      <c r="BN12" s="302" t="str">
        <f t="shared" ref="BN12" si="71">+IFERROR(BN11/BN5,"na")</f>
        <v>na</v>
      </c>
      <c r="BO12" s="302" t="str">
        <f t="shared" ref="BO12" si="72">+IFERROR(BO11/BO5,"na")</f>
        <v>na</v>
      </c>
      <c r="BP12" s="302" t="str">
        <f t="shared" ref="BP12" si="73">+IFERROR(BP11/BP5,"na")</f>
        <v>na</v>
      </c>
      <c r="BQ12" s="302" t="str">
        <f t="shared" ref="BQ12" si="74">+IFERROR(BQ11/BQ5,"na")</f>
        <v>na</v>
      </c>
      <c r="BR12" s="302" t="str">
        <f t="shared" ref="BR12" si="75">+IFERROR(BR11/BR5,"na")</f>
        <v>na</v>
      </c>
      <c r="BS12" s="302" t="str">
        <f t="shared" ref="BS12" si="76">+IFERROR(BS11/BS5,"na")</f>
        <v>na</v>
      </c>
      <c r="BT12" s="302" t="str">
        <f t="shared" ref="BT12" si="77">+IFERROR(BT11/BT5,"na")</f>
        <v>na</v>
      </c>
      <c r="BU12" s="302" t="str">
        <f t="shared" ref="BU12" si="78">+IFERROR(BU11/BU5,"na")</f>
        <v>na</v>
      </c>
      <c r="BV12" s="302" t="str">
        <f t="shared" ref="BV12" si="79">+IFERROR(BV11/BV5,"na")</f>
        <v>na</v>
      </c>
      <c r="BW12" s="302" t="str">
        <f t="shared" ref="BW12" si="80">+IFERROR(BW11/BW5,"na")</f>
        <v>na</v>
      </c>
      <c r="BX12" s="302" t="str">
        <f t="shared" ref="BX12" si="81">+IFERROR(BX11/BX5,"na")</f>
        <v>na</v>
      </c>
      <c r="BY12" s="302" t="str">
        <f t="shared" ref="BY12" si="82">+IFERROR(BY11/BY5,"na")</f>
        <v>na</v>
      </c>
      <c r="BZ12" s="302" t="str">
        <f t="shared" ref="BZ12" si="83">+IFERROR(BZ11/BZ5,"na")</f>
        <v>na</v>
      </c>
      <c r="CA12" s="302" t="str">
        <f t="shared" ref="CA12" si="84">+IFERROR(CA11/CA5,"na")</f>
        <v>na</v>
      </c>
      <c r="CB12" s="302" t="str">
        <f t="shared" ref="CB12" si="85">+IFERROR(CB11/CB5,"na")</f>
        <v>na</v>
      </c>
      <c r="CC12" s="302" t="str">
        <f t="shared" ref="CC12" si="86">+IFERROR(CC11/CC5,"na")</f>
        <v>na</v>
      </c>
      <c r="CD12" s="302" t="str">
        <f t="shared" ref="CD12" si="87">+IFERROR(CD11/CD5,"na")</f>
        <v>na</v>
      </c>
      <c r="CE12" s="302" t="str">
        <f t="shared" ref="CE12" si="88">+IFERROR(CE11/CE5,"na")</f>
        <v>na</v>
      </c>
      <c r="CF12" s="302" t="str">
        <f t="shared" ref="CF12" si="89">+IFERROR(CF11/CF5,"na")</f>
        <v>na</v>
      </c>
      <c r="CG12" s="302" t="str">
        <f t="shared" ref="CG12" si="90">+IFERROR(CG11/CG5,"na")</f>
        <v>na</v>
      </c>
      <c r="CH12" s="302" t="str">
        <f t="shared" ref="CH12" si="91">+IFERROR(CH11/CH5,"na")</f>
        <v>na</v>
      </c>
      <c r="CI12" s="302" t="str">
        <f t="shared" ref="CI12" si="92">+IFERROR(CI11/CI5,"na")</f>
        <v>na</v>
      </c>
      <c r="CJ12" s="302" t="str">
        <f t="shared" ref="CJ12" si="93">+IFERROR(CJ11/CJ5,"na")</f>
        <v>na</v>
      </c>
      <c r="CK12" s="302" t="str">
        <f t="shared" ref="CK12" si="94">+IFERROR(CK11/CK5,"na")</f>
        <v>na</v>
      </c>
      <c r="CL12" s="302" t="str">
        <f t="shared" ref="CL12" si="95">+IFERROR(CL11/CL5,"na")</f>
        <v>na</v>
      </c>
      <c r="CM12" s="302" t="str">
        <f t="shared" ref="CM12" si="96">+IFERROR(CM11/CM5,"na")</f>
        <v>na</v>
      </c>
      <c r="CN12" s="302" t="str">
        <f t="shared" ref="CN12" si="97">+IFERROR(CN11/CN5,"na")</f>
        <v>na</v>
      </c>
      <c r="CO12" s="302" t="str">
        <f t="shared" ref="CO12" si="98">+IFERROR(CO11/CO5,"na")</f>
        <v>na</v>
      </c>
      <c r="CP12" s="302" t="str">
        <f t="shared" ref="CP12" si="99">+IFERROR(CP11/CP5,"na")</f>
        <v>na</v>
      </c>
      <c r="CQ12" s="302" t="str">
        <f t="shared" ref="CQ12" si="100">+IFERROR(CQ11/CQ5,"na")</f>
        <v>na</v>
      </c>
      <c r="CR12" s="302" t="str">
        <f t="shared" ref="CR12" si="101">+IFERROR(CR11/CR5,"na")</f>
        <v>na</v>
      </c>
      <c r="CS12" s="302" t="str">
        <f t="shared" ref="CS12" si="102">+IFERROR(CS11/CS5,"na")</f>
        <v>na</v>
      </c>
      <c r="CT12" s="302" t="str">
        <f t="shared" ref="CT12" si="103">+IFERROR(CT11/CT5,"na")</f>
        <v>na</v>
      </c>
      <c r="CU12" s="302" t="str">
        <f t="shared" ref="CU12" si="104">+IFERROR(CU11/CU5,"na")</f>
        <v>na</v>
      </c>
      <c r="CV12" s="302" t="str">
        <f t="shared" ref="CV12" si="105">+IFERROR(CV11/CV5,"na")</f>
        <v>na</v>
      </c>
      <c r="CW12" s="302" t="str">
        <f t="shared" ref="CW12" si="106">+IFERROR(CW11/CW5,"na")</f>
        <v>na</v>
      </c>
      <c r="CX12" s="302" t="str">
        <f t="shared" ref="CX12" si="107">+IFERROR(CX11/CX5,"na")</f>
        <v>na</v>
      </c>
      <c r="CY12" s="302" t="str">
        <f t="shared" ref="CY12" si="108">+IFERROR(CY11/CY5,"na")</f>
        <v>na</v>
      </c>
      <c r="CZ12" s="302" t="str">
        <f t="shared" ref="CZ12" si="109">+IFERROR(CZ11/CZ5,"na")</f>
        <v>na</v>
      </c>
      <c r="DA12" s="302" t="str">
        <f t="shared" ref="DA12" si="110">+IFERROR(DA11/DA5,"na")</f>
        <v>na</v>
      </c>
      <c r="DB12" s="302" t="str">
        <f t="shared" ref="DB12" si="111">+IFERROR(DB11/DB5,"na")</f>
        <v>na</v>
      </c>
      <c r="DC12" s="302" t="str">
        <f t="shared" ref="DC12" si="112">+IFERROR(DC11/DC5,"na")</f>
        <v>na</v>
      </c>
      <c r="DD12" s="302" t="str">
        <f t="shared" ref="DD12" si="113">+IFERROR(DD11/DD5,"na")</f>
        <v>na</v>
      </c>
      <c r="DE12" s="302" t="str">
        <f t="shared" ref="DE12" si="114">+IFERROR(DE11/DE5,"na")</f>
        <v>na</v>
      </c>
      <c r="DF12" s="302" t="str">
        <f t="shared" ref="DF12" si="115">+IFERROR(DF11/DF5,"na")</f>
        <v>na</v>
      </c>
      <c r="DG12" s="302" t="str">
        <f t="shared" ref="DG12" si="116">+IFERROR(DG11/DG5,"na")</f>
        <v>na</v>
      </c>
      <c r="DH12" s="302" t="str">
        <f t="shared" ref="DH12" si="117">+IFERROR(DH11/DH5,"na")</f>
        <v>na</v>
      </c>
      <c r="DI12" s="302" t="str">
        <f t="shared" ref="DI12" si="118">+IFERROR(DI11/DI5,"na")</f>
        <v>na</v>
      </c>
      <c r="DJ12" s="302" t="str">
        <f t="shared" ref="DJ12" si="119">+IFERROR(DJ11/DJ5,"na")</f>
        <v>na</v>
      </c>
      <c r="DK12" s="302" t="str">
        <f t="shared" ref="DK12" si="120">+IFERROR(DK11/DK5,"na")</f>
        <v>na</v>
      </c>
      <c r="DL12" s="302" t="str">
        <f t="shared" ref="DL12" si="121">+IFERROR(DL11/DL5,"na")</f>
        <v>na</v>
      </c>
      <c r="DM12" s="302" t="str">
        <f t="shared" ref="DM12" si="122">+IFERROR(DM11/DM5,"na")</f>
        <v>na</v>
      </c>
      <c r="DN12" s="302" t="str">
        <f t="shared" ref="DN12" si="123">+IFERROR(DN11/DN5,"na")</f>
        <v>na</v>
      </c>
      <c r="DO12" s="302" t="str">
        <f t="shared" ref="DO12" si="124">+IFERROR(DO11/DO5,"na")</f>
        <v>na</v>
      </c>
      <c r="DP12" s="302" t="str">
        <f t="shared" ref="DP12" si="125">+IFERROR(DP11/DP5,"na")</f>
        <v>na</v>
      </c>
      <c r="DQ12" s="302" t="str">
        <f t="shared" ref="DQ12" si="126">+IFERROR(DQ11/DQ5,"na")</f>
        <v>na</v>
      </c>
      <c r="DR12" s="302" t="str">
        <f t="shared" ref="DR12:DU12" si="127">+IFERROR(DR11/DR5,"na")</f>
        <v>na</v>
      </c>
      <c r="DT12" s="302" t="str">
        <f t="shared" si="127"/>
        <v>na</v>
      </c>
      <c r="DU12" s="302" t="str">
        <f t="shared" si="127"/>
        <v>na</v>
      </c>
      <c r="DV12" s="302" t="str">
        <f t="shared" ref="DV12:EC12" si="128">+IFERROR(DV11/DV5,"na")</f>
        <v>na</v>
      </c>
      <c r="DW12" s="302" t="str">
        <f t="shared" si="128"/>
        <v>na</v>
      </c>
      <c r="DX12" s="302" t="str">
        <f t="shared" si="128"/>
        <v>na</v>
      </c>
      <c r="DY12" s="302" t="str">
        <f t="shared" si="128"/>
        <v>na</v>
      </c>
      <c r="DZ12" s="302" t="str">
        <f t="shared" si="128"/>
        <v>na</v>
      </c>
      <c r="EA12" s="302" t="str">
        <f t="shared" si="128"/>
        <v>na</v>
      </c>
      <c r="EB12" s="302" t="str">
        <f t="shared" si="128"/>
        <v>na</v>
      </c>
      <c r="EC12" s="302" t="str">
        <f t="shared" si="128"/>
        <v>na</v>
      </c>
      <c r="EF12" s="144"/>
      <c r="EG12" s="296"/>
    </row>
    <row r="13" ht="18.5">
      <c r="A13" s="150"/>
      <c r="B13" s="292"/>
      <c r="E13" s="296"/>
      <c r="F13" s="296"/>
      <c r="G13" s="296"/>
      <c r="EF13" s="144"/>
      <c r="EG13" s="296"/>
    </row>
    <row r="14" ht="21">
      <c r="A14" s="297" t="s">
        <v>1207</v>
      </c>
      <c r="B14" s="298"/>
      <c r="C14" s="144"/>
      <c r="D14" s="144"/>
      <c r="E14" s="144"/>
      <c r="F14" s="144"/>
      <c r="G14" s="144"/>
      <c r="H14" s="144"/>
      <c r="I14" s="144"/>
      <c r="J14" s="144"/>
      <c r="K14" s="144"/>
      <c r="L14" s="144"/>
      <c r="M14" s="144"/>
      <c r="N14" s="144"/>
      <c r="O14" s="144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4"/>
      <c r="AM14" s="144"/>
      <c r="AN14" s="144"/>
      <c r="AO14" s="144"/>
      <c r="AP14" s="144"/>
      <c r="AQ14" s="144"/>
      <c r="AR14" s="144"/>
      <c r="AS14" s="144"/>
      <c r="AT14" s="144"/>
      <c r="AU14" s="144"/>
      <c r="AV14" s="144"/>
      <c r="AW14" s="144"/>
      <c r="AX14" s="144"/>
      <c r="AY14" s="144"/>
      <c r="AZ14" s="144"/>
      <c r="BA14" s="144"/>
      <c r="BB14" s="144"/>
      <c r="BC14" s="144"/>
      <c r="BD14" s="144"/>
      <c r="BE14" s="144"/>
      <c r="BF14" s="144"/>
      <c r="BG14" s="144"/>
      <c r="BH14" s="144"/>
      <c r="BI14" s="144"/>
      <c r="BJ14" s="144"/>
      <c r="BK14" s="144"/>
      <c r="BL14" s="144"/>
      <c r="BM14" s="144"/>
      <c r="BN14" s="144"/>
      <c r="BO14" s="144"/>
      <c r="BP14" s="144"/>
      <c r="BQ14" s="144"/>
      <c r="BR14" s="144"/>
      <c r="BS14" s="144"/>
      <c r="BT14" s="144"/>
      <c r="BU14" s="144"/>
      <c r="BV14" s="144"/>
      <c r="BW14" s="144"/>
      <c r="BX14" s="144"/>
      <c r="BY14" s="144"/>
      <c r="BZ14" s="144"/>
      <c r="CA14" s="144"/>
      <c r="CB14" s="144"/>
      <c r="CC14" s="144"/>
      <c r="CD14" s="144"/>
      <c r="CE14" s="144"/>
      <c r="CF14" s="144"/>
      <c r="CG14" s="144"/>
      <c r="CH14" s="144"/>
      <c r="CI14" s="144"/>
      <c r="CJ14" s="144"/>
      <c r="CK14" s="144"/>
      <c r="CL14" s="144"/>
      <c r="CM14" s="144"/>
      <c r="CN14" s="144"/>
      <c r="CO14" s="144"/>
      <c r="CP14" s="144"/>
      <c r="CQ14" s="144"/>
      <c r="CR14" s="144"/>
      <c r="CS14" s="144"/>
      <c r="CT14" s="144"/>
      <c r="CU14" s="144"/>
      <c r="CV14" s="144"/>
      <c r="CW14" s="144"/>
      <c r="CX14" s="144"/>
      <c r="CY14" s="144"/>
      <c r="CZ14" s="144"/>
      <c r="DA14" s="144"/>
      <c r="DB14" s="144"/>
      <c r="DC14" s="144"/>
      <c r="DD14" s="144"/>
      <c r="DE14" s="144"/>
      <c r="DF14" s="144"/>
      <c r="DG14" s="144"/>
      <c r="DH14" s="144"/>
      <c r="DI14" s="144"/>
      <c r="DJ14" s="144"/>
      <c r="DK14" s="144"/>
      <c r="DL14" s="144"/>
      <c r="DM14" s="144"/>
      <c r="DN14" s="144"/>
      <c r="DO14" s="144"/>
      <c r="DP14" s="144"/>
      <c r="DQ14" s="144"/>
      <c r="DR14" s="144"/>
      <c r="DT14" s="144">
        <f>+SUMIF($C$3:$DR$3,DT$3,$C14:$DR14)</f>
        <v>0</v>
      </c>
      <c r="DU14" s="144">
        <f t="shared" ref="DU14:EC14" si="129">+SUMIF($C$3:$DR$3,DU$3,$C14:$DR14)</f>
        <v>0</v>
      </c>
      <c r="DV14" s="144">
        <f t="shared" si="129"/>
        <v>0</v>
      </c>
      <c r="DW14" s="144">
        <f t="shared" si="129"/>
        <v>0</v>
      </c>
      <c r="DX14" s="144">
        <f t="shared" si="129"/>
        <v>0</v>
      </c>
      <c r="DY14" s="144">
        <f t="shared" si="129"/>
        <v>0</v>
      </c>
      <c r="DZ14" s="144">
        <f t="shared" si="129"/>
        <v>0</v>
      </c>
      <c r="EA14" s="144">
        <f t="shared" si="129"/>
        <v>0</v>
      </c>
      <c r="EB14" s="144">
        <f t="shared" si="129"/>
        <v>0</v>
      </c>
      <c r="EC14" s="144">
        <f t="shared" si="129"/>
        <v>0</v>
      </c>
      <c r="EF14" s="144"/>
      <c r="EG14" s="296"/>
    </row>
    <row r="15" thickBot="1" ht="19">
      <c r="A15" s="150"/>
      <c r="B15" s="303"/>
      <c r="EF15" s="144"/>
      <c r="EG15" s="296"/>
    </row>
    <row r="16" thickTop="1" thickBot="1" ht="19.5">
      <c r="A16" s="299" t="s">
        <v>964</v>
      </c>
      <c r="B16" s="300"/>
      <c r="C16" s="301">
        <f>+C11-C14</f>
        <v>0</v>
      </c>
      <c r="D16" s="301">
        <f t="shared" ref="D16:I16" si="130">+D11-D14</f>
        <v>0</v>
      </c>
      <c r="E16" s="301">
        <f t="shared" si="130"/>
        <v>0</v>
      </c>
      <c r="F16" s="301">
        <f t="shared" si="130"/>
        <v>0</v>
      </c>
      <c r="G16" s="301">
        <f t="shared" si="130"/>
        <v>0</v>
      </c>
      <c r="H16" s="301">
        <f t="shared" si="130"/>
        <v>0</v>
      </c>
      <c r="I16" s="301">
        <f t="shared" si="130"/>
        <v>0</v>
      </c>
      <c r="J16" s="301">
        <f t="shared" ref="J16:BU16" si="131">+J11-J14</f>
        <v>0</v>
      </c>
      <c r="K16" s="301">
        <f t="shared" si="131"/>
        <v>0</v>
      </c>
      <c r="L16" s="301">
        <f t="shared" si="131"/>
        <v>0</v>
      </c>
      <c r="M16" s="301">
        <f t="shared" si="131"/>
        <v>0</v>
      </c>
      <c r="N16" s="301">
        <f t="shared" si="131"/>
        <v>0</v>
      </c>
      <c r="O16" s="301">
        <f t="shared" si="131"/>
        <v>0</v>
      </c>
      <c r="P16" s="301">
        <f t="shared" si="131"/>
        <v>0</v>
      </c>
      <c r="Q16" s="301">
        <f t="shared" si="131"/>
        <v>0</v>
      </c>
      <c r="R16" s="301">
        <f t="shared" si="131"/>
        <v>0</v>
      </c>
      <c r="S16" s="301">
        <f t="shared" si="131"/>
        <v>0</v>
      </c>
      <c r="T16" s="301">
        <f t="shared" si="131"/>
        <v>0</v>
      </c>
      <c r="U16" s="301">
        <f t="shared" si="131"/>
        <v>0</v>
      </c>
      <c r="V16" s="301">
        <f t="shared" si="131"/>
        <v>0</v>
      </c>
      <c r="W16" s="301">
        <f t="shared" si="131"/>
        <v>0</v>
      </c>
      <c r="X16" s="301">
        <f t="shared" si="131"/>
        <v>0</v>
      </c>
      <c r="Y16" s="301">
        <f t="shared" si="131"/>
        <v>0</v>
      </c>
      <c r="Z16" s="301">
        <f t="shared" si="131"/>
        <v>0</v>
      </c>
      <c r="AA16" s="301">
        <f t="shared" si="131"/>
        <v>0</v>
      </c>
      <c r="AB16" s="301">
        <f t="shared" si="131"/>
        <v>0</v>
      </c>
      <c r="AC16" s="301">
        <f t="shared" si="131"/>
        <v>0</v>
      </c>
      <c r="AD16" s="301">
        <f t="shared" si="131"/>
        <v>0</v>
      </c>
      <c r="AE16" s="301">
        <f t="shared" si="131"/>
        <v>0</v>
      </c>
      <c r="AF16" s="301">
        <f t="shared" si="131"/>
        <v>0</v>
      </c>
      <c r="AG16" s="301">
        <f t="shared" si="131"/>
        <v>0</v>
      </c>
      <c r="AH16" s="301">
        <f t="shared" si="131"/>
        <v>0</v>
      </c>
      <c r="AI16" s="301">
        <f t="shared" si="131"/>
        <v>0</v>
      </c>
      <c r="AJ16" s="301">
        <f t="shared" si="131"/>
        <v>0</v>
      </c>
      <c r="AK16" s="301">
        <f t="shared" si="131"/>
        <v>0</v>
      </c>
      <c r="AL16" s="301">
        <f t="shared" si="131"/>
        <v>0</v>
      </c>
      <c r="AM16" s="301">
        <f t="shared" si="131"/>
        <v>0</v>
      </c>
      <c r="AN16" s="301">
        <f t="shared" si="131"/>
        <v>0</v>
      </c>
      <c r="AO16" s="301">
        <f t="shared" si="131"/>
        <v>0</v>
      </c>
      <c r="AP16" s="301">
        <f t="shared" si="131"/>
        <v>0</v>
      </c>
      <c r="AQ16" s="301">
        <f t="shared" si="131"/>
        <v>0</v>
      </c>
      <c r="AR16" s="301">
        <f t="shared" si="131"/>
        <v>0</v>
      </c>
      <c r="AS16" s="301">
        <f t="shared" si="131"/>
        <v>0</v>
      </c>
      <c r="AT16" s="301">
        <f t="shared" si="131"/>
        <v>0</v>
      </c>
      <c r="AU16" s="301">
        <f t="shared" si="131"/>
        <v>0</v>
      </c>
      <c r="AV16" s="301">
        <f t="shared" si="131"/>
        <v>0</v>
      </c>
      <c r="AW16" s="301">
        <f t="shared" si="131"/>
        <v>0</v>
      </c>
      <c r="AX16" s="301">
        <f t="shared" si="131"/>
        <v>0</v>
      </c>
      <c r="AY16" s="301">
        <f t="shared" si="131"/>
        <v>0</v>
      </c>
      <c r="AZ16" s="301">
        <f t="shared" si="131"/>
        <v>0</v>
      </c>
      <c r="BA16" s="301">
        <f t="shared" si="131"/>
        <v>0</v>
      </c>
      <c r="BB16" s="301">
        <f t="shared" si="131"/>
        <v>0</v>
      </c>
      <c r="BC16" s="301">
        <f t="shared" si="131"/>
        <v>0</v>
      </c>
      <c r="BD16" s="301">
        <f t="shared" si="131"/>
        <v>0</v>
      </c>
      <c r="BE16" s="301">
        <f t="shared" si="131"/>
        <v>0</v>
      </c>
      <c r="BF16" s="301">
        <f t="shared" si="131"/>
        <v>0</v>
      </c>
      <c r="BG16" s="301">
        <f t="shared" si="131"/>
        <v>0</v>
      </c>
      <c r="BH16" s="301">
        <f t="shared" si="131"/>
        <v>0</v>
      </c>
      <c r="BI16" s="301">
        <f t="shared" si="131"/>
        <v>0</v>
      </c>
      <c r="BJ16" s="301">
        <f t="shared" si="131"/>
        <v>0</v>
      </c>
      <c r="BK16" s="301">
        <f t="shared" si="131"/>
        <v>0</v>
      </c>
      <c r="BL16" s="301">
        <f t="shared" si="131"/>
        <v>0</v>
      </c>
      <c r="BM16" s="301">
        <f t="shared" si="131"/>
        <v>0</v>
      </c>
      <c r="BN16" s="301">
        <f t="shared" si="131"/>
        <v>0</v>
      </c>
      <c r="BO16" s="301">
        <f t="shared" si="131"/>
        <v>0</v>
      </c>
      <c r="BP16" s="301">
        <f t="shared" si="131"/>
        <v>0</v>
      </c>
      <c r="BQ16" s="301">
        <f t="shared" si="131"/>
        <v>0</v>
      </c>
      <c r="BR16" s="301">
        <f t="shared" si="131"/>
        <v>0</v>
      </c>
      <c r="BS16" s="301">
        <f t="shared" si="131"/>
        <v>0</v>
      </c>
      <c r="BT16" s="301">
        <f t="shared" si="131"/>
        <v>0</v>
      </c>
      <c r="BU16" s="301">
        <f t="shared" si="131"/>
        <v>0</v>
      </c>
      <c r="BV16" s="301">
        <f t="shared" ref="BV16:DU16" si="132">+BV11-BV14</f>
        <v>0</v>
      </c>
      <c r="BW16" s="301">
        <f t="shared" si="132"/>
        <v>0</v>
      </c>
      <c r="BX16" s="301">
        <f t="shared" si="132"/>
        <v>0</v>
      </c>
      <c r="BY16" s="301">
        <f t="shared" si="132"/>
        <v>0</v>
      </c>
      <c r="BZ16" s="301">
        <f t="shared" si="132"/>
        <v>0</v>
      </c>
      <c r="CA16" s="301">
        <f t="shared" si="132"/>
        <v>0</v>
      </c>
      <c r="CB16" s="301">
        <f t="shared" si="132"/>
        <v>0</v>
      </c>
      <c r="CC16" s="301">
        <f t="shared" si="132"/>
        <v>0</v>
      </c>
      <c r="CD16" s="301">
        <f t="shared" si="132"/>
        <v>0</v>
      </c>
      <c r="CE16" s="301">
        <f t="shared" si="132"/>
        <v>0</v>
      </c>
      <c r="CF16" s="301">
        <f t="shared" si="132"/>
        <v>0</v>
      </c>
      <c r="CG16" s="301">
        <f t="shared" si="132"/>
        <v>0</v>
      </c>
      <c r="CH16" s="301">
        <f t="shared" si="132"/>
        <v>0</v>
      </c>
      <c r="CI16" s="301">
        <f t="shared" si="132"/>
        <v>0</v>
      </c>
      <c r="CJ16" s="301">
        <f t="shared" si="132"/>
        <v>0</v>
      </c>
      <c r="CK16" s="301">
        <f t="shared" si="132"/>
        <v>0</v>
      </c>
      <c r="CL16" s="301">
        <f t="shared" si="132"/>
        <v>0</v>
      </c>
      <c r="CM16" s="301">
        <f t="shared" si="132"/>
        <v>0</v>
      </c>
      <c r="CN16" s="301">
        <f t="shared" si="132"/>
        <v>0</v>
      </c>
      <c r="CO16" s="301">
        <f t="shared" si="132"/>
        <v>0</v>
      </c>
      <c r="CP16" s="301">
        <f t="shared" si="132"/>
        <v>0</v>
      </c>
      <c r="CQ16" s="301">
        <f t="shared" si="132"/>
        <v>0</v>
      </c>
      <c r="CR16" s="301">
        <f t="shared" si="132"/>
        <v>0</v>
      </c>
      <c r="CS16" s="301">
        <f t="shared" si="132"/>
        <v>0</v>
      </c>
      <c r="CT16" s="301">
        <f t="shared" si="132"/>
        <v>0</v>
      </c>
      <c r="CU16" s="301">
        <f t="shared" si="132"/>
        <v>0</v>
      </c>
      <c r="CV16" s="301">
        <f t="shared" si="132"/>
        <v>0</v>
      </c>
      <c r="CW16" s="301">
        <f t="shared" si="132"/>
        <v>0</v>
      </c>
      <c r="CX16" s="301">
        <f t="shared" si="132"/>
        <v>0</v>
      </c>
      <c r="CY16" s="301">
        <f t="shared" si="132"/>
        <v>0</v>
      </c>
      <c r="CZ16" s="301">
        <f t="shared" si="132"/>
        <v>0</v>
      </c>
      <c r="DA16" s="301">
        <f t="shared" si="132"/>
        <v>0</v>
      </c>
      <c r="DB16" s="301">
        <f t="shared" si="132"/>
        <v>0</v>
      </c>
      <c r="DC16" s="301">
        <f t="shared" si="132"/>
        <v>0</v>
      </c>
      <c r="DD16" s="301">
        <f t="shared" si="132"/>
        <v>0</v>
      </c>
      <c r="DE16" s="301">
        <f t="shared" si="132"/>
        <v>0</v>
      </c>
      <c r="DF16" s="301">
        <f t="shared" si="132"/>
        <v>0</v>
      </c>
      <c r="DG16" s="301">
        <f t="shared" si="132"/>
        <v>0</v>
      </c>
      <c r="DH16" s="301">
        <f t="shared" si="132"/>
        <v>0</v>
      </c>
      <c r="DI16" s="301">
        <f t="shared" si="132"/>
        <v>0</v>
      </c>
      <c r="DJ16" s="301">
        <f t="shared" si="132"/>
        <v>0</v>
      </c>
      <c r="DK16" s="301">
        <f t="shared" si="132"/>
        <v>0</v>
      </c>
      <c r="DL16" s="301">
        <f t="shared" si="132"/>
        <v>0</v>
      </c>
      <c r="DM16" s="301">
        <f t="shared" si="132"/>
        <v>0</v>
      </c>
      <c r="DN16" s="301">
        <f t="shared" si="132"/>
        <v>0</v>
      </c>
      <c r="DO16" s="301">
        <f t="shared" si="132"/>
        <v>0</v>
      </c>
      <c r="DP16" s="301">
        <f t="shared" si="132"/>
        <v>0</v>
      </c>
      <c r="DQ16" s="301">
        <f t="shared" si="132"/>
        <v>0</v>
      </c>
      <c r="DR16" s="301">
        <f t="shared" si="132"/>
        <v>0</v>
      </c>
      <c r="DT16" s="301">
        <f t="shared" si="132"/>
        <v>0</v>
      </c>
      <c r="DU16" s="301">
        <f t="shared" si="132"/>
        <v>0</v>
      </c>
      <c r="DV16" s="301">
        <f t="shared" ref="DV16:EC16" si="133">+DV11-DV14</f>
        <v>0</v>
      </c>
      <c r="DW16" s="301">
        <f t="shared" si="133"/>
        <v>0</v>
      </c>
      <c r="DX16" s="301">
        <f t="shared" si="133"/>
        <v>0</v>
      </c>
      <c r="DY16" s="301">
        <f t="shared" si="133"/>
        <v>0</v>
      </c>
      <c r="DZ16" s="301">
        <f t="shared" si="133"/>
        <v>0</v>
      </c>
      <c r="EA16" s="301">
        <f t="shared" si="133"/>
        <v>0</v>
      </c>
      <c r="EB16" s="301">
        <f t="shared" si="133"/>
        <v>0</v>
      </c>
      <c r="EC16" s="301">
        <f t="shared" si="133"/>
        <v>0</v>
      </c>
      <c r="EF16" s="144"/>
      <c r="EG16" s="296"/>
    </row>
    <row r="17" thickTop="1" ht="19">
      <c r="A17" s="150"/>
      <c r="B17" s="303"/>
      <c r="EF17" s="144"/>
      <c r="EG17" s="296"/>
    </row>
    <row r="18" ht="21">
      <c r="A18" s="150" t="s">
        <v>1208</v>
      </c>
      <c r="B18" s="298"/>
      <c r="EF18" s="144"/>
      <c r="EG18" s="296"/>
    </row>
    <row r="19" ht="14.5">
      <c r="A19" s="297" t="e">
        <f>+#REF!</f>
        <v>#REF!</v>
      </c>
      <c r="C19" s="144"/>
      <c r="D19" s="144"/>
      <c r="E19" s="144"/>
      <c r="F19" s="144"/>
      <c r="G19" s="144"/>
      <c r="H19" s="144"/>
      <c r="I19" s="144"/>
      <c r="J19" s="144"/>
      <c r="K19" s="144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4"/>
      <c r="AM19" s="144"/>
      <c r="AN19" s="144"/>
      <c r="AO19" s="144"/>
      <c r="AP19" s="144"/>
      <c r="AQ19" s="144"/>
      <c r="AR19" s="144"/>
      <c r="AS19" s="144"/>
      <c r="AT19" s="144"/>
      <c r="AU19" s="144"/>
      <c r="AV19" s="144"/>
      <c r="AW19" s="144"/>
      <c r="AX19" s="144"/>
      <c r="AY19" s="144"/>
      <c r="AZ19" s="144"/>
      <c r="BA19" s="144"/>
      <c r="BB19" s="144"/>
      <c r="BC19" s="144"/>
      <c r="BD19" s="144"/>
      <c r="BE19" s="144"/>
      <c r="BF19" s="144"/>
      <c r="BG19" s="144"/>
      <c r="BH19" s="144"/>
      <c r="BI19" s="144"/>
      <c r="BJ19" s="144"/>
      <c r="BK19" s="144"/>
      <c r="BL19" s="144"/>
      <c r="BM19" s="144"/>
      <c r="BN19" s="144"/>
      <c r="BO19" s="144"/>
      <c r="BP19" s="144"/>
      <c r="BQ19" s="144"/>
      <c r="BR19" s="144"/>
      <c r="BS19" s="144"/>
      <c r="BT19" s="144"/>
      <c r="BU19" s="144"/>
      <c r="BV19" s="144"/>
      <c r="BW19" s="144"/>
      <c r="BX19" s="144"/>
      <c r="BY19" s="144"/>
      <c r="BZ19" s="144"/>
      <c r="CA19" s="144"/>
      <c r="CB19" s="144"/>
      <c r="CC19" s="144"/>
      <c r="CD19" s="144"/>
      <c r="CE19" s="144"/>
      <c r="CF19" s="144"/>
      <c r="CG19" s="144"/>
      <c r="CH19" s="144"/>
      <c r="CI19" s="144"/>
      <c r="CJ19" s="144"/>
      <c r="CK19" s="144"/>
      <c r="CL19" s="144"/>
      <c r="CM19" s="144"/>
      <c r="CN19" s="144"/>
      <c r="CO19" s="144"/>
      <c r="CP19" s="144"/>
      <c r="CQ19" s="144"/>
      <c r="CR19" s="144"/>
      <c r="CS19" s="144"/>
      <c r="CT19" s="144"/>
      <c r="CU19" s="144"/>
      <c r="CV19" s="144"/>
      <c r="CW19" s="144"/>
      <c r="CX19" s="144"/>
      <c r="CY19" s="144"/>
      <c r="CZ19" s="144"/>
      <c r="DA19" s="144"/>
      <c r="DB19" s="144"/>
      <c r="DC19" s="144"/>
      <c r="DD19" s="144"/>
      <c r="DE19" s="144"/>
      <c r="DF19" s="144"/>
      <c r="DG19" s="144"/>
      <c r="DH19" s="144"/>
      <c r="DI19" s="144"/>
      <c r="DJ19" s="144"/>
      <c r="DK19" s="144"/>
      <c r="DL19" s="144"/>
      <c r="DM19" s="144"/>
      <c r="DN19" s="144"/>
      <c r="DO19" s="144"/>
      <c r="DP19" s="144"/>
      <c r="DQ19" s="144"/>
      <c r="DR19" s="144"/>
      <c r="DT19" s="144">
        <f t="shared" ref="DT19:EC37" si="134">+SUMIF($C$3:$DR$3,DT$3,$C19:$DR19)</f>
        <v>0</v>
      </c>
      <c r="DU19" s="144">
        <f t="shared" si="134"/>
        <v>0</v>
      </c>
      <c r="DV19" s="144">
        <f t="shared" si="134"/>
        <v>0</v>
      </c>
      <c r="DW19" s="144">
        <f t="shared" si="134"/>
        <v>0</v>
      </c>
      <c r="DX19" s="144">
        <f t="shared" si="134"/>
        <v>0</v>
      </c>
      <c r="DY19" s="144">
        <f t="shared" si="134"/>
        <v>0</v>
      </c>
      <c r="DZ19" s="144">
        <f t="shared" si="134"/>
        <v>0</v>
      </c>
      <c r="EA19" s="144">
        <f t="shared" si="134"/>
        <v>0</v>
      </c>
      <c r="EB19" s="144">
        <f t="shared" si="134"/>
        <v>0</v>
      </c>
      <c r="EC19" s="144">
        <f t="shared" si="134"/>
        <v>0</v>
      </c>
      <c r="EF19" s="144"/>
      <c r="EG19" s="296"/>
    </row>
    <row r="20" ht="14.5">
      <c r="A20" s="297" t="e">
        <f>+#REF!</f>
        <v>#REF!</v>
      </c>
      <c r="C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144"/>
      <c r="AD20" s="144"/>
      <c r="AE20" s="144"/>
      <c r="AF20" s="144"/>
      <c r="AG20" s="144"/>
      <c r="AH20" s="144"/>
      <c r="AI20" s="144"/>
      <c r="AJ20" s="144"/>
      <c r="AK20" s="144"/>
      <c r="AL20" s="144"/>
      <c r="AM20" s="144"/>
      <c r="AN20" s="144"/>
      <c r="AO20" s="144"/>
      <c r="AP20" s="144"/>
      <c r="AQ20" s="144"/>
      <c r="AR20" s="144"/>
      <c r="AS20" s="144"/>
      <c r="AT20" s="144"/>
      <c r="AU20" s="144"/>
      <c r="AV20" s="144"/>
      <c r="AW20" s="144"/>
      <c r="AX20" s="144"/>
      <c r="AY20" s="144"/>
      <c r="AZ20" s="144"/>
      <c r="BA20" s="144"/>
      <c r="BB20" s="144"/>
      <c r="BC20" s="144"/>
      <c r="BD20" s="144"/>
      <c r="BE20" s="144"/>
      <c r="BF20" s="144"/>
      <c r="BG20" s="144"/>
      <c r="BH20" s="144"/>
      <c r="BI20" s="144"/>
      <c r="BJ20" s="144"/>
      <c r="BK20" s="144"/>
      <c r="BL20" s="144"/>
      <c r="BM20" s="144"/>
      <c r="BN20" s="144"/>
      <c r="BO20" s="144"/>
      <c r="BP20" s="144"/>
      <c r="BQ20" s="144"/>
      <c r="BR20" s="144"/>
      <c r="BS20" s="144"/>
      <c r="BT20" s="144"/>
      <c r="BU20" s="144"/>
      <c r="BV20" s="144"/>
      <c r="BW20" s="144"/>
      <c r="BX20" s="144"/>
      <c r="BY20" s="144"/>
      <c r="BZ20" s="144"/>
      <c r="CA20" s="144"/>
      <c r="CB20" s="144"/>
      <c r="CC20" s="144"/>
      <c r="CD20" s="144"/>
      <c r="CE20" s="144"/>
      <c r="CF20" s="144"/>
      <c r="CG20" s="144"/>
      <c r="CH20" s="144"/>
      <c r="CI20" s="144"/>
      <c r="CJ20" s="144"/>
      <c r="CK20" s="144"/>
      <c r="CL20" s="144"/>
      <c r="CM20" s="144"/>
      <c r="CN20" s="144"/>
      <c r="CO20" s="144"/>
      <c r="CP20" s="144"/>
      <c r="CQ20" s="144"/>
      <c r="CR20" s="144"/>
      <c r="CS20" s="144"/>
      <c r="CT20" s="144"/>
      <c r="CU20" s="144"/>
      <c r="CV20" s="144"/>
      <c r="CW20" s="144"/>
      <c r="CX20" s="144"/>
      <c r="CY20" s="144"/>
      <c r="CZ20" s="144"/>
      <c r="DA20" s="144"/>
      <c r="DB20" s="144"/>
      <c r="DC20" s="144"/>
      <c r="DD20" s="144"/>
      <c r="DE20" s="144"/>
      <c r="DF20" s="144"/>
      <c r="DG20" s="144"/>
      <c r="DH20" s="144"/>
      <c r="DI20" s="144"/>
      <c r="DJ20" s="144"/>
      <c r="DK20" s="144"/>
      <c r="DL20" s="144"/>
      <c r="DM20" s="144"/>
      <c r="DN20" s="144"/>
      <c r="DO20" s="144"/>
      <c r="DP20" s="144"/>
      <c r="DQ20" s="144"/>
      <c r="DR20" s="144"/>
      <c r="DT20" s="144">
        <f t="shared" si="134"/>
        <v>0</v>
      </c>
      <c r="DU20" s="144">
        <f t="shared" si="134"/>
        <v>0</v>
      </c>
      <c r="DV20" s="144">
        <f t="shared" si="134"/>
        <v>0</v>
      </c>
      <c r="DW20" s="144">
        <f t="shared" si="134"/>
        <v>0</v>
      </c>
      <c r="DX20" s="144">
        <f t="shared" si="134"/>
        <v>0</v>
      </c>
      <c r="DY20" s="144">
        <f t="shared" si="134"/>
        <v>0</v>
      </c>
      <c r="DZ20" s="144">
        <f t="shared" si="134"/>
        <v>0</v>
      </c>
      <c r="EA20" s="144">
        <f t="shared" si="134"/>
        <v>0</v>
      </c>
      <c r="EB20" s="144">
        <f t="shared" si="134"/>
        <v>0</v>
      </c>
      <c r="EC20" s="144">
        <f t="shared" si="134"/>
        <v>0</v>
      </c>
      <c r="EF20" s="144"/>
      <c r="EG20" s="296"/>
    </row>
    <row r="21" ht="14.5">
      <c r="A21" s="297" t="e">
        <f>+#REF!</f>
        <v>#REF!</v>
      </c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4"/>
      <c r="AM21" s="144"/>
      <c r="AN21" s="144"/>
      <c r="AO21" s="144"/>
      <c r="AP21" s="144"/>
      <c r="AQ21" s="144"/>
      <c r="AR21" s="144"/>
      <c r="AS21" s="144"/>
      <c r="AT21" s="144"/>
      <c r="AU21" s="144"/>
      <c r="AV21" s="144"/>
      <c r="AW21" s="144"/>
      <c r="AX21" s="144"/>
      <c r="AY21" s="144"/>
      <c r="AZ21" s="144"/>
      <c r="BA21" s="144"/>
      <c r="BB21" s="144"/>
      <c r="BC21" s="144"/>
      <c r="BD21" s="144"/>
      <c r="BE21" s="144"/>
      <c r="BF21" s="144"/>
      <c r="BG21" s="144"/>
      <c r="BH21" s="144"/>
      <c r="BI21" s="144"/>
      <c r="BJ21" s="144"/>
      <c r="BK21" s="144"/>
      <c r="BL21" s="144"/>
      <c r="BM21" s="144"/>
      <c r="BN21" s="144"/>
      <c r="BO21" s="144"/>
      <c r="BP21" s="144"/>
      <c r="BQ21" s="144"/>
      <c r="BR21" s="144"/>
      <c r="BS21" s="144"/>
      <c r="BT21" s="144"/>
      <c r="BU21" s="144"/>
      <c r="BV21" s="144"/>
      <c r="BW21" s="144"/>
      <c r="BX21" s="144"/>
      <c r="BY21" s="144"/>
      <c r="BZ21" s="144"/>
      <c r="CA21" s="144"/>
      <c r="CB21" s="144"/>
      <c r="CC21" s="144"/>
      <c r="CD21" s="144"/>
      <c r="CE21" s="144"/>
      <c r="CF21" s="144"/>
      <c r="CG21" s="144"/>
      <c r="CH21" s="144"/>
      <c r="CI21" s="144"/>
      <c r="CJ21" s="144"/>
      <c r="CK21" s="144"/>
      <c r="CL21" s="144"/>
      <c r="CM21" s="144"/>
      <c r="CN21" s="144"/>
      <c r="CO21" s="144"/>
      <c r="CP21" s="144"/>
      <c r="CQ21" s="144"/>
      <c r="CR21" s="144"/>
      <c r="CS21" s="144"/>
      <c r="CT21" s="144"/>
      <c r="CU21" s="144"/>
      <c r="CV21" s="144"/>
      <c r="CW21" s="144"/>
      <c r="CX21" s="144"/>
      <c r="CY21" s="144"/>
      <c r="CZ21" s="144"/>
      <c r="DA21" s="144"/>
      <c r="DB21" s="144"/>
      <c r="DC21" s="144"/>
      <c r="DD21" s="144"/>
      <c r="DE21" s="144"/>
      <c r="DF21" s="144"/>
      <c r="DG21" s="144"/>
      <c r="DH21" s="144"/>
      <c r="DI21" s="144"/>
      <c r="DJ21" s="144"/>
      <c r="DK21" s="144"/>
      <c r="DL21" s="144"/>
      <c r="DM21" s="144"/>
      <c r="DN21" s="144"/>
      <c r="DO21" s="144"/>
      <c r="DP21" s="144"/>
      <c r="DQ21" s="144"/>
      <c r="DR21" s="144"/>
      <c r="DT21" s="144">
        <f t="shared" si="134"/>
        <v>0</v>
      </c>
      <c r="DU21" s="144">
        <f t="shared" si="134"/>
        <v>0</v>
      </c>
      <c r="DV21" s="144">
        <f t="shared" si="134"/>
        <v>0</v>
      </c>
      <c r="DW21" s="144">
        <f t="shared" si="134"/>
        <v>0</v>
      </c>
      <c r="DX21" s="144">
        <f t="shared" si="134"/>
        <v>0</v>
      </c>
      <c r="DY21" s="144">
        <f t="shared" si="134"/>
        <v>0</v>
      </c>
      <c r="DZ21" s="144">
        <f t="shared" si="134"/>
        <v>0</v>
      </c>
      <c r="EA21" s="144">
        <f t="shared" si="134"/>
        <v>0</v>
      </c>
      <c r="EB21" s="144">
        <f t="shared" si="134"/>
        <v>0</v>
      </c>
      <c r="EC21" s="144">
        <f t="shared" si="134"/>
        <v>0</v>
      </c>
      <c r="EF21" s="144"/>
      <c r="EG21" s="296"/>
    </row>
    <row r="22" ht="14.5">
      <c r="A22" s="297" t="e">
        <f>+#REF!</f>
        <v>#REF!</v>
      </c>
      <c r="C22" s="144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4"/>
      <c r="AM22" s="144"/>
      <c r="AN22" s="144"/>
      <c r="AO22" s="144"/>
      <c r="AP22" s="144"/>
      <c r="AQ22" s="144"/>
      <c r="AR22" s="144"/>
      <c r="AS22" s="144"/>
      <c r="AT22" s="144"/>
      <c r="AU22" s="144"/>
      <c r="AV22" s="144"/>
      <c r="AW22" s="144"/>
      <c r="AX22" s="144"/>
      <c r="AY22" s="144"/>
      <c r="AZ22" s="144"/>
      <c r="BA22" s="144"/>
      <c r="BB22" s="144"/>
      <c r="BC22" s="144"/>
      <c r="BD22" s="144"/>
      <c r="BE22" s="144"/>
      <c r="BF22" s="144"/>
      <c r="BG22" s="144"/>
      <c r="BH22" s="144"/>
      <c r="BI22" s="144"/>
      <c r="BJ22" s="144"/>
      <c r="BK22" s="144"/>
      <c r="BL22" s="144"/>
      <c r="BM22" s="144"/>
      <c r="BN22" s="144"/>
      <c r="BO22" s="144"/>
      <c r="BP22" s="144"/>
      <c r="BQ22" s="144"/>
      <c r="BR22" s="144"/>
      <c r="BS22" s="144"/>
      <c r="BT22" s="144"/>
      <c r="BU22" s="144"/>
      <c r="BV22" s="144"/>
      <c r="BW22" s="144"/>
      <c r="BX22" s="144"/>
      <c r="BY22" s="144"/>
      <c r="BZ22" s="144"/>
      <c r="CA22" s="144"/>
      <c r="CB22" s="144"/>
      <c r="CC22" s="144"/>
      <c r="CD22" s="144"/>
      <c r="CE22" s="144"/>
      <c r="CF22" s="144"/>
      <c r="CG22" s="144"/>
      <c r="CH22" s="144"/>
      <c r="CI22" s="144"/>
      <c r="CJ22" s="144"/>
      <c r="CK22" s="144"/>
      <c r="CL22" s="144"/>
      <c r="CM22" s="144"/>
      <c r="CN22" s="144"/>
      <c r="CO22" s="144"/>
      <c r="CP22" s="144"/>
      <c r="CQ22" s="144"/>
      <c r="CR22" s="144"/>
      <c r="CS22" s="144"/>
      <c r="CT22" s="144"/>
      <c r="CU22" s="144"/>
      <c r="CV22" s="144"/>
      <c r="CW22" s="144"/>
      <c r="CX22" s="144"/>
      <c r="CY22" s="144"/>
      <c r="CZ22" s="144"/>
      <c r="DA22" s="144"/>
      <c r="DB22" s="144"/>
      <c r="DC22" s="144"/>
      <c r="DD22" s="144"/>
      <c r="DE22" s="144"/>
      <c r="DF22" s="144"/>
      <c r="DG22" s="144"/>
      <c r="DH22" s="144"/>
      <c r="DI22" s="144"/>
      <c r="DJ22" s="144"/>
      <c r="DK22" s="144"/>
      <c r="DL22" s="144"/>
      <c r="DM22" s="144"/>
      <c r="DN22" s="144"/>
      <c r="DO22" s="144"/>
      <c r="DP22" s="144"/>
      <c r="DQ22" s="144"/>
      <c r="DR22" s="144"/>
      <c r="DT22" s="144">
        <f t="shared" si="134"/>
        <v>0</v>
      </c>
      <c r="DU22" s="144">
        <f t="shared" si="134"/>
        <v>0</v>
      </c>
      <c r="DV22" s="144">
        <f t="shared" si="134"/>
        <v>0</v>
      </c>
      <c r="DW22" s="144">
        <f t="shared" si="134"/>
        <v>0</v>
      </c>
      <c r="DX22" s="144">
        <f t="shared" si="134"/>
        <v>0</v>
      </c>
      <c r="DY22" s="144">
        <f t="shared" si="134"/>
        <v>0</v>
      </c>
      <c r="DZ22" s="144">
        <f t="shared" si="134"/>
        <v>0</v>
      </c>
      <c r="EA22" s="144">
        <f t="shared" si="134"/>
        <v>0</v>
      </c>
      <c r="EB22" s="144">
        <f t="shared" si="134"/>
        <v>0</v>
      </c>
      <c r="EC22" s="144">
        <f t="shared" si="134"/>
        <v>0</v>
      </c>
      <c r="EF22" s="144"/>
      <c r="EG22" s="296"/>
    </row>
    <row r="23" ht="14.5">
      <c r="A23" s="297" t="e">
        <f>+#REF!</f>
        <v>#REF!</v>
      </c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4"/>
      <c r="AM23" s="144"/>
      <c r="AN23" s="144"/>
      <c r="AO23" s="144"/>
      <c r="AP23" s="144"/>
      <c r="AQ23" s="144"/>
      <c r="AR23" s="144"/>
      <c r="AS23" s="144"/>
      <c r="AT23" s="144"/>
      <c r="AU23" s="144"/>
      <c r="AV23" s="144"/>
      <c r="AW23" s="144"/>
      <c r="AX23" s="144"/>
      <c r="AY23" s="144"/>
      <c r="AZ23" s="144"/>
      <c r="BA23" s="144"/>
      <c r="BB23" s="144"/>
      <c r="BC23" s="144"/>
      <c r="BD23" s="144"/>
      <c r="BE23" s="144"/>
      <c r="BF23" s="144"/>
      <c r="BG23" s="144"/>
      <c r="BH23" s="144"/>
      <c r="BI23" s="144"/>
      <c r="BJ23" s="144"/>
      <c r="BK23" s="144"/>
      <c r="BL23" s="144"/>
      <c r="BM23" s="144"/>
      <c r="BN23" s="144"/>
      <c r="BO23" s="144"/>
      <c r="BP23" s="144"/>
      <c r="BQ23" s="144"/>
      <c r="BR23" s="144"/>
      <c r="BS23" s="144"/>
      <c r="BT23" s="144"/>
      <c r="BU23" s="144"/>
      <c r="BV23" s="144"/>
      <c r="BW23" s="144"/>
      <c r="BX23" s="144"/>
      <c r="BY23" s="144"/>
      <c r="BZ23" s="144"/>
      <c r="CA23" s="144"/>
      <c r="CB23" s="144"/>
      <c r="CC23" s="144"/>
      <c r="CD23" s="144"/>
      <c r="CE23" s="144"/>
      <c r="CF23" s="144"/>
      <c r="CG23" s="144"/>
      <c r="CH23" s="144"/>
      <c r="CI23" s="144"/>
      <c r="CJ23" s="144"/>
      <c r="CK23" s="144"/>
      <c r="CL23" s="144"/>
      <c r="CM23" s="144"/>
      <c r="CN23" s="144"/>
      <c r="CO23" s="144"/>
      <c r="CP23" s="144"/>
      <c r="CQ23" s="144"/>
      <c r="CR23" s="144"/>
      <c r="CS23" s="144"/>
      <c r="CT23" s="144"/>
      <c r="CU23" s="144"/>
      <c r="CV23" s="144"/>
      <c r="CW23" s="144"/>
      <c r="CX23" s="144"/>
      <c r="CY23" s="144"/>
      <c r="CZ23" s="144"/>
      <c r="DA23" s="144"/>
      <c r="DB23" s="144"/>
      <c r="DC23" s="144"/>
      <c r="DD23" s="144"/>
      <c r="DE23" s="144"/>
      <c r="DF23" s="144"/>
      <c r="DG23" s="144"/>
      <c r="DH23" s="144"/>
      <c r="DI23" s="144"/>
      <c r="DJ23" s="144"/>
      <c r="DK23" s="144"/>
      <c r="DL23" s="144"/>
      <c r="DM23" s="144"/>
      <c r="DN23" s="144"/>
      <c r="DO23" s="144"/>
      <c r="DP23" s="144"/>
      <c r="DQ23" s="144"/>
      <c r="DR23" s="144"/>
      <c r="DT23" s="144">
        <f t="shared" si="134"/>
        <v>0</v>
      </c>
      <c r="DU23" s="144">
        <f t="shared" si="134"/>
        <v>0</v>
      </c>
      <c r="DV23" s="144">
        <f t="shared" si="134"/>
        <v>0</v>
      </c>
      <c r="DW23" s="144">
        <f t="shared" si="134"/>
        <v>0</v>
      </c>
      <c r="DX23" s="144">
        <f t="shared" si="134"/>
        <v>0</v>
      </c>
      <c r="DY23" s="144">
        <f t="shared" si="134"/>
        <v>0</v>
      </c>
      <c r="DZ23" s="144">
        <f t="shared" si="134"/>
        <v>0</v>
      </c>
      <c r="EA23" s="144">
        <f t="shared" si="134"/>
        <v>0</v>
      </c>
      <c r="EB23" s="144">
        <f t="shared" si="134"/>
        <v>0</v>
      </c>
      <c r="EC23" s="144">
        <f t="shared" si="134"/>
        <v>0</v>
      </c>
      <c r="EF23" s="144"/>
      <c r="EG23" s="296"/>
    </row>
    <row r="24" ht="14.5">
      <c r="A24" s="297" t="e">
        <f>+#REF!</f>
        <v>#REF!</v>
      </c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4"/>
      <c r="AM24" s="144"/>
      <c r="AN24" s="144"/>
      <c r="AO24" s="144"/>
      <c r="AP24" s="144"/>
      <c r="AQ24" s="144"/>
      <c r="AR24" s="144"/>
      <c r="AS24" s="144"/>
      <c r="AT24" s="144"/>
      <c r="AU24" s="144"/>
      <c r="AV24" s="144"/>
      <c r="AW24" s="144"/>
      <c r="AX24" s="144"/>
      <c r="AY24" s="144"/>
      <c r="AZ24" s="144"/>
      <c r="BA24" s="144"/>
      <c r="BB24" s="144"/>
      <c r="BC24" s="144"/>
      <c r="BD24" s="144"/>
      <c r="BE24" s="144"/>
      <c r="BF24" s="144"/>
      <c r="BG24" s="144"/>
      <c r="BH24" s="144"/>
      <c r="BI24" s="144"/>
      <c r="BJ24" s="144"/>
      <c r="BK24" s="144"/>
      <c r="BL24" s="144"/>
      <c r="BM24" s="144"/>
      <c r="BN24" s="144"/>
      <c r="BO24" s="144"/>
      <c r="BP24" s="144"/>
      <c r="BQ24" s="144"/>
      <c r="BR24" s="144"/>
      <c r="BS24" s="144"/>
      <c r="BT24" s="144"/>
      <c r="BU24" s="144"/>
      <c r="BV24" s="144"/>
      <c r="BW24" s="144"/>
      <c r="BX24" s="144"/>
      <c r="BY24" s="144"/>
      <c r="BZ24" s="144"/>
      <c r="CA24" s="144"/>
      <c r="CB24" s="144"/>
      <c r="CC24" s="144"/>
      <c r="CD24" s="144"/>
      <c r="CE24" s="144"/>
      <c r="CF24" s="144"/>
      <c r="CG24" s="144"/>
      <c r="CH24" s="144"/>
      <c r="CI24" s="144"/>
      <c r="CJ24" s="144"/>
      <c r="CK24" s="144"/>
      <c r="CL24" s="144"/>
      <c r="CM24" s="144"/>
      <c r="CN24" s="144"/>
      <c r="CO24" s="144"/>
      <c r="CP24" s="144"/>
      <c r="CQ24" s="144"/>
      <c r="CR24" s="144"/>
      <c r="CS24" s="144"/>
      <c r="CT24" s="144"/>
      <c r="CU24" s="144"/>
      <c r="CV24" s="144"/>
      <c r="CW24" s="144"/>
      <c r="CX24" s="144"/>
      <c r="CY24" s="144"/>
      <c r="CZ24" s="144"/>
      <c r="DA24" s="144"/>
      <c r="DB24" s="144"/>
      <c r="DC24" s="144"/>
      <c r="DD24" s="144"/>
      <c r="DE24" s="144"/>
      <c r="DF24" s="144"/>
      <c r="DG24" s="144"/>
      <c r="DH24" s="144"/>
      <c r="DI24" s="144"/>
      <c r="DJ24" s="144"/>
      <c r="DK24" s="144"/>
      <c r="DL24" s="144"/>
      <c r="DM24" s="144"/>
      <c r="DN24" s="144"/>
      <c r="DO24" s="144"/>
      <c r="DP24" s="144"/>
      <c r="DQ24" s="144"/>
      <c r="DR24" s="144"/>
      <c r="DT24" s="144">
        <f t="shared" si="134"/>
        <v>0</v>
      </c>
      <c r="DU24" s="144">
        <f t="shared" si="134"/>
        <v>0</v>
      </c>
      <c r="DV24" s="144">
        <f t="shared" si="134"/>
        <v>0</v>
      </c>
      <c r="DW24" s="144">
        <f t="shared" si="134"/>
        <v>0</v>
      </c>
      <c r="DX24" s="144">
        <f t="shared" si="134"/>
        <v>0</v>
      </c>
      <c r="DY24" s="144">
        <f t="shared" si="134"/>
        <v>0</v>
      </c>
      <c r="DZ24" s="144">
        <f t="shared" si="134"/>
        <v>0</v>
      </c>
      <c r="EA24" s="144">
        <f t="shared" si="134"/>
        <v>0</v>
      </c>
      <c r="EB24" s="144">
        <f t="shared" si="134"/>
        <v>0</v>
      </c>
      <c r="EC24" s="144">
        <f t="shared" si="134"/>
        <v>0</v>
      </c>
      <c r="EF24" s="144"/>
      <c r="EG24" s="296"/>
    </row>
    <row r="25" ht="14.5">
      <c r="A25" s="297" t="e">
        <f>+#REF!</f>
        <v>#REF!</v>
      </c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4"/>
      <c r="AM25" s="144"/>
      <c r="AN25" s="144"/>
      <c r="AO25" s="144"/>
      <c r="AP25" s="144"/>
      <c r="AQ25" s="144"/>
      <c r="AR25" s="144"/>
      <c r="AS25" s="144"/>
      <c r="AT25" s="144"/>
      <c r="AU25" s="144"/>
      <c r="AV25" s="144"/>
      <c r="AW25" s="144"/>
      <c r="AX25" s="144"/>
      <c r="AY25" s="144"/>
      <c r="AZ25" s="144"/>
      <c r="BA25" s="144"/>
      <c r="BB25" s="144"/>
      <c r="BC25" s="144"/>
      <c r="BD25" s="144"/>
      <c r="BE25" s="144"/>
      <c r="BF25" s="144"/>
      <c r="BG25" s="144"/>
      <c r="BH25" s="144"/>
      <c r="BI25" s="144"/>
      <c r="BJ25" s="144"/>
      <c r="BK25" s="144"/>
      <c r="BL25" s="144"/>
      <c r="BM25" s="144"/>
      <c r="BN25" s="144"/>
      <c r="BO25" s="144"/>
      <c r="BP25" s="144"/>
      <c r="BQ25" s="144"/>
      <c r="BR25" s="144"/>
      <c r="BS25" s="144"/>
      <c r="BT25" s="144"/>
      <c r="BU25" s="144"/>
      <c r="BV25" s="144"/>
      <c r="BW25" s="144"/>
      <c r="BX25" s="144"/>
      <c r="BY25" s="144"/>
      <c r="BZ25" s="144"/>
      <c r="CA25" s="144"/>
      <c r="CB25" s="144"/>
      <c r="CC25" s="144"/>
      <c r="CD25" s="144"/>
      <c r="CE25" s="144"/>
      <c r="CF25" s="144"/>
      <c r="CG25" s="144"/>
      <c r="CH25" s="144"/>
      <c r="CI25" s="144"/>
      <c r="CJ25" s="144"/>
      <c r="CK25" s="144"/>
      <c r="CL25" s="144"/>
      <c r="CM25" s="144"/>
      <c r="CN25" s="144"/>
      <c r="CO25" s="144"/>
      <c r="CP25" s="144"/>
      <c r="CQ25" s="144"/>
      <c r="CR25" s="144"/>
      <c r="CS25" s="144"/>
      <c r="CT25" s="144"/>
      <c r="CU25" s="144"/>
      <c r="CV25" s="144"/>
      <c r="CW25" s="144"/>
      <c r="CX25" s="144"/>
      <c r="CY25" s="144"/>
      <c r="CZ25" s="144"/>
      <c r="DA25" s="144"/>
      <c r="DB25" s="144"/>
      <c r="DC25" s="144"/>
      <c r="DD25" s="144"/>
      <c r="DE25" s="144"/>
      <c r="DF25" s="144"/>
      <c r="DG25" s="144"/>
      <c r="DH25" s="144"/>
      <c r="DI25" s="144"/>
      <c r="DJ25" s="144"/>
      <c r="DK25" s="144"/>
      <c r="DL25" s="144"/>
      <c r="DM25" s="144"/>
      <c r="DN25" s="144"/>
      <c r="DO25" s="144"/>
      <c r="DP25" s="144"/>
      <c r="DQ25" s="144"/>
      <c r="DR25" s="144"/>
      <c r="DT25" s="144">
        <f t="shared" si="134"/>
        <v>0</v>
      </c>
      <c r="DU25" s="144">
        <f t="shared" si="134"/>
        <v>0</v>
      </c>
      <c r="DV25" s="144">
        <f t="shared" si="134"/>
        <v>0</v>
      </c>
      <c r="DW25" s="144">
        <f t="shared" si="134"/>
        <v>0</v>
      </c>
      <c r="DX25" s="144">
        <f t="shared" si="134"/>
        <v>0</v>
      </c>
      <c r="DY25" s="144">
        <f t="shared" si="134"/>
        <v>0</v>
      </c>
      <c r="DZ25" s="144">
        <f t="shared" si="134"/>
        <v>0</v>
      </c>
      <c r="EA25" s="144">
        <f t="shared" si="134"/>
        <v>0</v>
      </c>
      <c r="EB25" s="144">
        <f t="shared" si="134"/>
        <v>0</v>
      </c>
      <c r="EC25" s="144">
        <f t="shared" si="134"/>
        <v>0</v>
      </c>
      <c r="EF25" s="144"/>
      <c r="EG25" s="296"/>
    </row>
    <row r="26" ht="14.5">
      <c r="A26" s="297" t="e">
        <f>+#REF!</f>
        <v>#REF!</v>
      </c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4"/>
      <c r="AM26" s="144"/>
      <c r="AN26" s="144"/>
      <c r="AO26" s="144"/>
      <c r="AP26" s="144"/>
      <c r="AQ26" s="144"/>
      <c r="AR26" s="144"/>
      <c r="AS26" s="144"/>
      <c r="AT26" s="144"/>
      <c r="AU26" s="144"/>
      <c r="AV26" s="144"/>
      <c r="AW26" s="144"/>
      <c r="AX26" s="144"/>
      <c r="AY26" s="144"/>
      <c r="AZ26" s="144"/>
      <c r="BA26" s="144"/>
      <c r="BB26" s="144"/>
      <c r="BC26" s="144"/>
      <c r="BD26" s="144"/>
      <c r="BE26" s="144"/>
      <c r="BF26" s="144"/>
      <c r="BG26" s="144"/>
      <c r="BH26" s="144"/>
      <c r="BI26" s="144"/>
      <c r="BJ26" s="144"/>
      <c r="BK26" s="144"/>
      <c r="BL26" s="144"/>
      <c r="BM26" s="144"/>
      <c r="BN26" s="144"/>
      <c r="BO26" s="144"/>
      <c r="BP26" s="144"/>
      <c r="BQ26" s="144"/>
      <c r="BR26" s="144"/>
      <c r="BS26" s="144"/>
      <c r="BT26" s="144"/>
      <c r="BU26" s="144"/>
      <c r="BV26" s="144"/>
      <c r="BW26" s="144"/>
      <c r="BX26" s="144"/>
      <c r="BY26" s="144"/>
      <c r="BZ26" s="144"/>
      <c r="CA26" s="144"/>
      <c r="CB26" s="144"/>
      <c r="CC26" s="144"/>
      <c r="CD26" s="144"/>
      <c r="CE26" s="144"/>
      <c r="CF26" s="144"/>
      <c r="CG26" s="144"/>
      <c r="CH26" s="144"/>
      <c r="CI26" s="144"/>
      <c r="CJ26" s="144"/>
      <c r="CK26" s="144"/>
      <c r="CL26" s="144"/>
      <c r="CM26" s="144"/>
      <c r="CN26" s="144"/>
      <c r="CO26" s="144"/>
      <c r="CP26" s="144"/>
      <c r="CQ26" s="144"/>
      <c r="CR26" s="144"/>
      <c r="CS26" s="144"/>
      <c r="CT26" s="144"/>
      <c r="CU26" s="144"/>
      <c r="CV26" s="144"/>
      <c r="CW26" s="144"/>
      <c r="CX26" s="144"/>
      <c r="CY26" s="144"/>
      <c r="CZ26" s="144"/>
      <c r="DA26" s="144"/>
      <c r="DB26" s="144"/>
      <c r="DC26" s="144"/>
      <c r="DD26" s="144"/>
      <c r="DE26" s="144"/>
      <c r="DF26" s="144"/>
      <c r="DG26" s="144"/>
      <c r="DH26" s="144"/>
      <c r="DI26" s="144"/>
      <c r="DJ26" s="144"/>
      <c r="DK26" s="144"/>
      <c r="DL26" s="144"/>
      <c r="DM26" s="144"/>
      <c r="DN26" s="144"/>
      <c r="DO26" s="144"/>
      <c r="DP26" s="144"/>
      <c r="DQ26" s="144"/>
      <c r="DR26" s="144"/>
      <c r="DT26" s="144">
        <f t="shared" si="134"/>
        <v>0</v>
      </c>
      <c r="DU26" s="144">
        <f t="shared" si="134"/>
        <v>0</v>
      </c>
      <c r="DV26" s="144">
        <f t="shared" si="134"/>
        <v>0</v>
      </c>
      <c r="DW26" s="144">
        <f t="shared" si="134"/>
        <v>0</v>
      </c>
      <c r="DX26" s="144">
        <f t="shared" si="134"/>
        <v>0</v>
      </c>
      <c r="DY26" s="144">
        <f t="shared" si="134"/>
        <v>0</v>
      </c>
      <c r="DZ26" s="144">
        <f t="shared" si="134"/>
        <v>0</v>
      </c>
      <c r="EA26" s="144">
        <f t="shared" si="134"/>
        <v>0</v>
      </c>
      <c r="EB26" s="144">
        <f t="shared" si="134"/>
        <v>0</v>
      </c>
      <c r="EC26" s="144">
        <f t="shared" si="134"/>
        <v>0</v>
      </c>
      <c r="EF26" s="144"/>
      <c r="EG26" s="296"/>
    </row>
    <row r="27" ht="14.5">
      <c r="A27" s="297" t="e">
        <f>+#REF!</f>
        <v>#REF!</v>
      </c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4"/>
      <c r="AM27" s="144"/>
      <c r="AN27" s="144"/>
      <c r="AO27" s="144"/>
      <c r="AP27" s="144"/>
      <c r="AQ27" s="144"/>
      <c r="AR27" s="144"/>
      <c r="AS27" s="144"/>
      <c r="AT27" s="144"/>
      <c r="AU27" s="144"/>
      <c r="AV27" s="144"/>
      <c r="AW27" s="144"/>
      <c r="AX27" s="144"/>
      <c r="AY27" s="144"/>
      <c r="AZ27" s="144"/>
      <c r="BA27" s="144"/>
      <c r="BB27" s="144"/>
      <c r="BC27" s="144"/>
      <c r="BD27" s="144"/>
      <c r="BE27" s="144"/>
      <c r="BF27" s="144"/>
      <c r="BG27" s="144"/>
      <c r="BH27" s="144"/>
      <c r="BI27" s="144"/>
      <c r="BJ27" s="144"/>
      <c r="BK27" s="144"/>
      <c r="BL27" s="144"/>
      <c r="BM27" s="144"/>
      <c r="BN27" s="144"/>
      <c r="BO27" s="144"/>
      <c r="BP27" s="144"/>
      <c r="BQ27" s="144"/>
      <c r="BR27" s="144"/>
      <c r="BS27" s="144"/>
      <c r="BT27" s="144"/>
      <c r="BU27" s="144"/>
      <c r="BV27" s="144"/>
      <c r="BW27" s="144"/>
      <c r="BX27" s="144"/>
      <c r="BY27" s="144"/>
      <c r="BZ27" s="144"/>
      <c r="CA27" s="144"/>
      <c r="CB27" s="144"/>
      <c r="CC27" s="144"/>
      <c r="CD27" s="144"/>
      <c r="CE27" s="144"/>
      <c r="CF27" s="144"/>
      <c r="CG27" s="144"/>
      <c r="CH27" s="144"/>
      <c r="CI27" s="144"/>
      <c r="CJ27" s="144"/>
      <c r="CK27" s="144"/>
      <c r="CL27" s="144"/>
      <c r="CM27" s="144"/>
      <c r="CN27" s="144"/>
      <c r="CO27" s="144"/>
      <c r="CP27" s="144"/>
      <c r="CQ27" s="144"/>
      <c r="CR27" s="144"/>
      <c r="CS27" s="144"/>
      <c r="CT27" s="144"/>
      <c r="CU27" s="144"/>
      <c r="CV27" s="144"/>
      <c r="CW27" s="144"/>
      <c r="CX27" s="144"/>
      <c r="CY27" s="144"/>
      <c r="CZ27" s="144"/>
      <c r="DA27" s="144"/>
      <c r="DB27" s="144"/>
      <c r="DC27" s="144"/>
      <c r="DD27" s="144"/>
      <c r="DE27" s="144"/>
      <c r="DF27" s="144"/>
      <c r="DG27" s="144"/>
      <c r="DH27" s="144"/>
      <c r="DI27" s="144"/>
      <c r="DJ27" s="144"/>
      <c r="DK27" s="144"/>
      <c r="DL27" s="144"/>
      <c r="DM27" s="144"/>
      <c r="DN27" s="144"/>
      <c r="DO27" s="144"/>
      <c r="DP27" s="144"/>
      <c r="DQ27" s="144"/>
      <c r="DR27" s="144"/>
      <c r="DT27" s="144">
        <f t="shared" si="134"/>
        <v>0</v>
      </c>
      <c r="DU27" s="144">
        <f t="shared" si="134"/>
        <v>0</v>
      </c>
      <c r="DV27" s="144">
        <f t="shared" si="134"/>
        <v>0</v>
      </c>
      <c r="DW27" s="144">
        <f t="shared" si="134"/>
        <v>0</v>
      </c>
      <c r="DX27" s="144">
        <f t="shared" si="134"/>
        <v>0</v>
      </c>
      <c r="DY27" s="144">
        <f t="shared" si="134"/>
        <v>0</v>
      </c>
      <c r="DZ27" s="144">
        <f t="shared" si="134"/>
        <v>0</v>
      </c>
      <c r="EA27" s="144">
        <f t="shared" si="134"/>
        <v>0</v>
      </c>
      <c r="EB27" s="144">
        <f t="shared" si="134"/>
        <v>0</v>
      </c>
      <c r="EC27" s="144">
        <f t="shared" si="134"/>
        <v>0</v>
      </c>
      <c r="EF27" s="144"/>
      <c r="EG27" s="296"/>
    </row>
    <row r="28" ht="14.5">
      <c r="A28" s="297" t="e">
        <f>+#REF!</f>
        <v>#REF!</v>
      </c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4"/>
      <c r="AM28" s="144"/>
      <c r="AN28" s="144"/>
      <c r="AO28" s="144"/>
      <c r="AP28" s="144"/>
      <c r="AQ28" s="144"/>
      <c r="AR28" s="144"/>
      <c r="AS28" s="144"/>
      <c r="AT28" s="144"/>
      <c r="AU28" s="144"/>
      <c r="AV28" s="144"/>
      <c r="AW28" s="144"/>
      <c r="AX28" s="144"/>
      <c r="AY28" s="144"/>
      <c r="AZ28" s="144"/>
      <c r="BA28" s="144"/>
      <c r="BB28" s="144"/>
      <c r="BC28" s="144"/>
      <c r="BD28" s="144"/>
      <c r="BE28" s="144"/>
      <c r="BF28" s="144"/>
      <c r="BG28" s="144"/>
      <c r="BH28" s="144"/>
      <c r="BI28" s="144"/>
      <c r="BJ28" s="144"/>
      <c r="BK28" s="144"/>
      <c r="BL28" s="144"/>
      <c r="BM28" s="144"/>
      <c r="BN28" s="144"/>
      <c r="BO28" s="144"/>
      <c r="BP28" s="144"/>
      <c r="BQ28" s="144"/>
      <c r="BR28" s="144"/>
      <c r="BS28" s="144"/>
      <c r="BT28" s="144"/>
      <c r="BU28" s="144"/>
      <c r="BV28" s="144"/>
      <c r="BW28" s="144"/>
      <c r="BX28" s="144"/>
      <c r="BY28" s="144"/>
      <c r="BZ28" s="144"/>
      <c r="CA28" s="144"/>
      <c r="CB28" s="144"/>
      <c r="CC28" s="144"/>
      <c r="CD28" s="144"/>
      <c r="CE28" s="144"/>
      <c r="CF28" s="144"/>
      <c r="CG28" s="144"/>
      <c r="CH28" s="144"/>
      <c r="CI28" s="144"/>
      <c r="CJ28" s="144"/>
      <c r="CK28" s="144"/>
      <c r="CL28" s="144"/>
      <c r="CM28" s="144"/>
      <c r="CN28" s="144"/>
      <c r="CO28" s="144"/>
      <c r="CP28" s="144"/>
      <c r="CQ28" s="144"/>
      <c r="CR28" s="144"/>
      <c r="CS28" s="144"/>
      <c r="CT28" s="144"/>
      <c r="CU28" s="144"/>
      <c r="CV28" s="144"/>
      <c r="CW28" s="144"/>
      <c r="CX28" s="144"/>
      <c r="CY28" s="144"/>
      <c r="CZ28" s="144"/>
      <c r="DA28" s="144"/>
      <c r="DB28" s="144"/>
      <c r="DC28" s="144"/>
      <c r="DD28" s="144"/>
      <c r="DE28" s="144"/>
      <c r="DF28" s="144"/>
      <c r="DG28" s="144"/>
      <c r="DH28" s="144"/>
      <c r="DI28" s="144"/>
      <c r="DJ28" s="144"/>
      <c r="DK28" s="144"/>
      <c r="DL28" s="144"/>
      <c r="DM28" s="144"/>
      <c r="DN28" s="144"/>
      <c r="DO28" s="144"/>
      <c r="DP28" s="144"/>
      <c r="DQ28" s="144"/>
      <c r="DR28" s="144"/>
      <c r="DT28" s="144">
        <f t="shared" si="134"/>
        <v>0</v>
      </c>
      <c r="DU28" s="144">
        <f t="shared" si="134"/>
        <v>0</v>
      </c>
      <c r="DV28" s="144">
        <f t="shared" si="134"/>
        <v>0</v>
      </c>
      <c r="DW28" s="144">
        <f t="shared" si="134"/>
        <v>0</v>
      </c>
      <c r="DX28" s="144">
        <f t="shared" si="134"/>
        <v>0</v>
      </c>
      <c r="DY28" s="144">
        <f t="shared" si="134"/>
        <v>0</v>
      </c>
      <c r="DZ28" s="144">
        <f t="shared" si="134"/>
        <v>0</v>
      </c>
      <c r="EA28" s="144">
        <f t="shared" si="134"/>
        <v>0</v>
      </c>
      <c r="EB28" s="144">
        <f t="shared" si="134"/>
        <v>0</v>
      </c>
      <c r="EC28" s="144">
        <f t="shared" si="134"/>
        <v>0</v>
      </c>
      <c r="EF28" s="144"/>
      <c r="EG28" s="296"/>
    </row>
    <row r="29" ht="14.5">
      <c r="A29" s="297" t="e">
        <f>+#REF!</f>
        <v>#REF!</v>
      </c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4"/>
      <c r="AM29" s="144"/>
      <c r="AN29" s="144"/>
      <c r="AO29" s="144"/>
      <c r="AP29" s="144"/>
      <c r="AQ29" s="144"/>
      <c r="AR29" s="144"/>
      <c r="AS29" s="144"/>
      <c r="AT29" s="144"/>
      <c r="AU29" s="144"/>
      <c r="AV29" s="144"/>
      <c r="AW29" s="144"/>
      <c r="AX29" s="144"/>
      <c r="AY29" s="144"/>
      <c r="AZ29" s="144"/>
      <c r="BA29" s="144"/>
      <c r="BB29" s="144"/>
      <c r="BC29" s="144"/>
      <c r="BD29" s="144"/>
      <c r="BE29" s="144"/>
      <c r="BF29" s="144"/>
      <c r="BG29" s="144"/>
      <c r="BH29" s="144"/>
      <c r="BI29" s="144"/>
      <c r="BJ29" s="144"/>
      <c r="BK29" s="144"/>
      <c r="BL29" s="144"/>
      <c r="BM29" s="144"/>
      <c r="BN29" s="144"/>
      <c r="BO29" s="144"/>
      <c r="BP29" s="144"/>
      <c r="BQ29" s="144"/>
      <c r="BR29" s="144"/>
      <c r="BS29" s="144"/>
      <c r="BT29" s="144"/>
      <c r="BU29" s="144"/>
      <c r="BV29" s="144"/>
      <c r="BW29" s="144"/>
      <c r="BX29" s="144"/>
      <c r="BY29" s="144"/>
      <c r="BZ29" s="144"/>
      <c r="CA29" s="144"/>
      <c r="CB29" s="144"/>
      <c r="CC29" s="144"/>
      <c r="CD29" s="144"/>
      <c r="CE29" s="144"/>
      <c r="CF29" s="144"/>
      <c r="CG29" s="144"/>
      <c r="CH29" s="144"/>
      <c r="CI29" s="144"/>
      <c r="CJ29" s="144"/>
      <c r="CK29" s="144"/>
      <c r="CL29" s="144"/>
      <c r="CM29" s="144"/>
      <c r="CN29" s="144"/>
      <c r="CO29" s="144"/>
      <c r="CP29" s="144"/>
      <c r="CQ29" s="144"/>
      <c r="CR29" s="144"/>
      <c r="CS29" s="144"/>
      <c r="CT29" s="144"/>
      <c r="CU29" s="144"/>
      <c r="CV29" s="144"/>
      <c r="CW29" s="144"/>
      <c r="CX29" s="144"/>
      <c r="CY29" s="144"/>
      <c r="CZ29" s="144"/>
      <c r="DA29" s="144"/>
      <c r="DB29" s="144"/>
      <c r="DC29" s="144"/>
      <c r="DD29" s="144"/>
      <c r="DE29" s="144"/>
      <c r="DF29" s="144"/>
      <c r="DG29" s="144"/>
      <c r="DH29" s="144"/>
      <c r="DI29" s="144"/>
      <c r="DJ29" s="144"/>
      <c r="DK29" s="144"/>
      <c r="DL29" s="144"/>
      <c r="DM29" s="144"/>
      <c r="DN29" s="144"/>
      <c r="DO29" s="144"/>
      <c r="DP29" s="144"/>
      <c r="DQ29" s="144"/>
      <c r="DR29" s="144"/>
      <c r="DT29" s="144">
        <f t="shared" si="134"/>
        <v>0</v>
      </c>
      <c r="DU29" s="144">
        <f t="shared" si="134"/>
        <v>0</v>
      </c>
      <c r="DV29" s="144">
        <f t="shared" si="134"/>
        <v>0</v>
      </c>
      <c r="DW29" s="144">
        <f t="shared" si="134"/>
        <v>0</v>
      </c>
      <c r="DX29" s="144">
        <f t="shared" si="134"/>
        <v>0</v>
      </c>
      <c r="DY29" s="144">
        <f t="shared" si="134"/>
        <v>0</v>
      </c>
      <c r="DZ29" s="144">
        <f t="shared" si="134"/>
        <v>0</v>
      </c>
      <c r="EA29" s="144">
        <f t="shared" si="134"/>
        <v>0</v>
      </c>
      <c r="EB29" s="144">
        <f t="shared" si="134"/>
        <v>0</v>
      </c>
      <c r="EC29" s="144">
        <f t="shared" si="134"/>
        <v>0</v>
      </c>
      <c r="EF29" s="144"/>
      <c r="EG29" s="296"/>
    </row>
    <row r="30" ht="14.5">
      <c r="A30" s="297" t="e">
        <f>+#REF!</f>
        <v>#REF!</v>
      </c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4"/>
      <c r="AM30" s="144"/>
      <c r="AN30" s="144"/>
      <c r="AO30" s="144"/>
      <c r="AP30" s="144"/>
      <c r="AQ30" s="144"/>
      <c r="AR30" s="144"/>
      <c r="AS30" s="144"/>
      <c r="AT30" s="144"/>
      <c r="AU30" s="144"/>
      <c r="AV30" s="144"/>
      <c r="AW30" s="144"/>
      <c r="AX30" s="144"/>
      <c r="AY30" s="144"/>
      <c r="AZ30" s="144"/>
      <c r="BA30" s="144"/>
      <c r="BB30" s="144"/>
      <c r="BC30" s="144"/>
      <c r="BD30" s="144"/>
      <c r="BE30" s="144"/>
      <c r="BF30" s="144"/>
      <c r="BG30" s="144"/>
      <c r="BH30" s="144"/>
      <c r="BI30" s="144"/>
      <c r="BJ30" s="144"/>
      <c r="BK30" s="144"/>
      <c r="BL30" s="144"/>
      <c r="BM30" s="144"/>
      <c r="BN30" s="144"/>
      <c r="BO30" s="144"/>
      <c r="BP30" s="144"/>
      <c r="BQ30" s="144"/>
      <c r="BR30" s="144"/>
      <c r="BS30" s="144"/>
      <c r="BT30" s="144"/>
      <c r="BU30" s="144"/>
      <c r="BV30" s="144"/>
      <c r="BW30" s="144"/>
      <c r="BX30" s="144"/>
      <c r="BY30" s="144"/>
      <c r="BZ30" s="144"/>
      <c r="CA30" s="144"/>
      <c r="CB30" s="144"/>
      <c r="CC30" s="144"/>
      <c r="CD30" s="144"/>
      <c r="CE30" s="144"/>
      <c r="CF30" s="144"/>
      <c r="CG30" s="144"/>
      <c r="CH30" s="144"/>
      <c r="CI30" s="144"/>
      <c r="CJ30" s="144"/>
      <c r="CK30" s="144"/>
      <c r="CL30" s="144"/>
      <c r="CM30" s="144"/>
      <c r="CN30" s="144"/>
      <c r="CO30" s="144"/>
      <c r="CP30" s="144"/>
      <c r="CQ30" s="144"/>
      <c r="CR30" s="144"/>
      <c r="CS30" s="144"/>
      <c r="CT30" s="144"/>
      <c r="CU30" s="144"/>
      <c r="CV30" s="144"/>
      <c r="CW30" s="144"/>
      <c r="CX30" s="144"/>
      <c r="CY30" s="144"/>
      <c r="CZ30" s="144"/>
      <c r="DA30" s="144"/>
      <c r="DB30" s="144"/>
      <c r="DC30" s="144"/>
      <c r="DD30" s="144"/>
      <c r="DE30" s="144"/>
      <c r="DF30" s="144"/>
      <c r="DG30" s="144"/>
      <c r="DH30" s="144"/>
      <c r="DI30" s="144"/>
      <c r="DJ30" s="144"/>
      <c r="DK30" s="144"/>
      <c r="DL30" s="144"/>
      <c r="DM30" s="144"/>
      <c r="DN30" s="144"/>
      <c r="DO30" s="144"/>
      <c r="DP30" s="144"/>
      <c r="DQ30" s="144"/>
      <c r="DR30" s="144"/>
      <c r="DT30" s="144">
        <f t="shared" si="134"/>
        <v>0</v>
      </c>
      <c r="DU30" s="144">
        <f t="shared" si="134"/>
        <v>0</v>
      </c>
      <c r="DV30" s="144">
        <f t="shared" si="134"/>
        <v>0</v>
      </c>
      <c r="DW30" s="144">
        <f t="shared" si="134"/>
        <v>0</v>
      </c>
      <c r="DX30" s="144">
        <f t="shared" si="134"/>
        <v>0</v>
      </c>
      <c r="DY30" s="144">
        <f t="shared" si="134"/>
        <v>0</v>
      </c>
      <c r="DZ30" s="144">
        <f t="shared" si="134"/>
        <v>0</v>
      </c>
      <c r="EA30" s="144">
        <f t="shared" si="134"/>
        <v>0</v>
      </c>
      <c r="EB30" s="144">
        <f t="shared" si="134"/>
        <v>0</v>
      </c>
      <c r="EC30" s="144">
        <f t="shared" si="134"/>
        <v>0</v>
      </c>
      <c r="EF30" s="144"/>
      <c r="EG30" s="296"/>
    </row>
    <row r="31" ht="14.5">
      <c r="A31" s="297" t="e">
        <f>+#REF!</f>
        <v>#REF!</v>
      </c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4"/>
      <c r="AM31" s="144"/>
      <c r="AN31" s="144"/>
      <c r="AO31" s="144"/>
      <c r="AP31" s="144"/>
      <c r="AQ31" s="144"/>
      <c r="AR31" s="144"/>
      <c r="AS31" s="144"/>
      <c r="AT31" s="144"/>
      <c r="AU31" s="144"/>
      <c r="AV31" s="144"/>
      <c r="AW31" s="144"/>
      <c r="AX31" s="144"/>
      <c r="AY31" s="144"/>
      <c r="AZ31" s="144"/>
      <c r="BA31" s="144"/>
      <c r="BB31" s="144"/>
      <c r="BC31" s="144"/>
      <c r="BD31" s="144"/>
      <c r="BE31" s="144"/>
      <c r="BF31" s="144"/>
      <c r="BG31" s="144"/>
      <c r="BH31" s="144"/>
      <c r="BI31" s="144"/>
      <c r="BJ31" s="144"/>
      <c r="BK31" s="144"/>
      <c r="BL31" s="144"/>
      <c r="BM31" s="144"/>
      <c r="BN31" s="144"/>
      <c r="BO31" s="144"/>
      <c r="BP31" s="144"/>
      <c r="BQ31" s="144"/>
      <c r="BR31" s="144"/>
      <c r="BS31" s="144"/>
      <c r="BT31" s="144"/>
      <c r="BU31" s="144"/>
      <c r="BV31" s="144"/>
      <c r="BW31" s="144"/>
      <c r="BX31" s="144"/>
      <c r="BY31" s="144"/>
      <c r="BZ31" s="144"/>
      <c r="CA31" s="144"/>
      <c r="CB31" s="144"/>
      <c r="CC31" s="144"/>
      <c r="CD31" s="144"/>
      <c r="CE31" s="144"/>
      <c r="CF31" s="144"/>
      <c r="CG31" s="144"/>
      <c r="CH31" s="144"/>
      <c r="CI31" s="144"/>
      <c r="CJ31" s="144"/>
      <c r="CK31" s="144"/>
      <c r="CL31" s="144"/>
      <c r="CM31" s="144"/>
      <c r="CN31" s="144"/>
      <c r="CO31" s="144"/>
      <c r="CP31" s="144"/>
      <c r="CQ31" s="144"/>
      <c r="CR31" s="144"/>
      <c r="CS31" s="144"/>
      <c r="CT31" s="144"/>
      <c r="CU31" s="144"/>
      <c r="CV31" s="144"/>
      <c r="CW31" s="144"/>
      <c r="CX31" s="144"/>
      <c r="CY31" s="144"/>
      <c r="CZ31" s="144"/>
      <c r="DA31" s="144"/>
      <c r="DB31" s="144"/>
      <c r="DC31" s="144"/>
      <c r="DD31" s="144"/>
      <c r="DE31" s="144"/>
      <c r="DF31" s="144"/>
      <c r="DG31" s="144"/>
      <c r="DH31" s="144"/>
      <c r="DI31" s="144"/>
      <c r="DJ31" s="144"/>
      <c r="DK31" s="144"/>
      <c r="DL31" s="144"/>
      <c r="DM31" s="144"/>
      <c r="DN31" s="144"/>
      <c r="DO31" s="144"/>
      <c r="DP31" s="144"/>
      <c r="DQ31" s="144"/>
      <c r="DR31" s="144"/>
      <c r="DT31" s="144">
        <f t="shared" si="134"/>
        <v>0</v>
      </c>
      <c r="DU31" s="144">
        <f t="shared" si="134"/>
        <v>0</v>
      </c>
      <c r="DV31" s="144">
        <f t="shared" si="134"/>
        <v>0</v>
      </c>
      <c r="DW31" s="144">
        <f t="shared" si="134"/>
        <v>0</v>
      </c>
      <c r="DX31" s="144">
        <f t="shared" si="134"/>
        <v>0</v>
      </c>
      <c r="DY31" s="144">
        <f t="shared" si="134"/>
        <v>0</v>
      </c>
      <c r="DZ31" s="144">
        <f t="shared" si="134"/>
        <v>0</v>
      </c>
      <c r="EA31" s="144">
        <f t="shared" si="134"/>
        <v>0</v>
      </c>
      <c r="EB31" s="144">
        <f t="shared" si="134"/>
        <v>0</v>
      </c>
      <c r="EC31" s="144">
        <f t="shared" si="134"/>
        <v>0</v>
      </c>
      <c r="EF31" s="144"/>
      <c r="EG31" s="296"/>
    </row>
    <row r="32" ht="14.5">
      <c r="A32" s="297" t="e">
        <f>+#REF!</f>
        <v>#REF!</v>
      </c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  <c r="AJ32" s="144"/>
      <c r="AK32" s="144"/>
      <c r="AL32" s="144"/>
      <c r="AM32" s="144"/>
      <c r="AN32" s="144"/>
      <c r="AO32" s="144"/>
      <c r="AP32" s="144"/>
      <c r="AQ32" s="144"/>
      <c r="AR32" s="144"/>
      <c r="AS32" s="144"/>
      <c r="AT32" s="144"/>
      <c r="AU32" s="144"/>
      <c r="AV32" s="144"/>
      <c r="AW32" s="144"/>
      <c r="AX32" s="144"/>
      <c r="AY32" s="144"/>
      <c r="AZ32" s="144"/>
      <c r="BA32" s="144"/>
      <c r="BB32" s="144"/>
      <c r="BC32" s="144"/>
      <c r="BD32" s="144"/>
      <c r="BE32" s="144"/>
      <c r="BF32" s="144"/>
      <c r="BG32" s="144"/>
      <c r="BH32" s="144"/>
      <c r="BI32" s="144"/>
      <c r="BJ32" s="144"/>
      <c r="BK32" s="144"/>
      <c r="BL32" s="144"/>
      <c r="BM32" s="144"/>
      <c r="BN32" s="144"/>
      <c r="BO32" s="144"/>
      <c r="BP32" s="144"/>
      <c r="BQ32" s="144"/>
      <c r="BR32" s="144"/>
      <c r="BS32" s="144"/>
      <c r="BT32" s="144"/>
      <c r="BU32" s="144"/>
      <c r="BV32" s="144"/>
      <c r="BW32" s="144"/>
      <c r="BX32" s="144"/>
      <c r="BY32" s="144"/>
      <c r="BZ32" s="144"/>
      <c r="CA32" s="144"/>
      <c r="CB32" s="144"/>
      <c r="CC32" s="144"/>
      <c r="CD32" s="144"/>
      <c r="CE32" s="144"/>
      <c r="CF32" s="144"/>
      <c r="CG32" s="144"/>
      <c r="CH32" s="144"/>
      <c r="CI32" s="144"/>
      <c r="CJ32" s="144"/>
      <c r="CK32" s="144"/>
      <c r="CL32" s="144"/>
      <c r="CM32" s="144"/>
      <c r="CN32" s="144"/>
      <c r="CO32" s="144"/>
      <c r="CP32" s="144"/>
      <c r="CQ32" s="144"/>
      <c r="CR32" s="144"/>
      <c r="CS32" s="144"/>
      <c r="CT32" s="144"/>
      <c r="CU32" s="144"/>
      <c r="CV32" s="144"/>
      <c r="CW32" s="144"/>
      <c r="CX32" s="144"/>
      <c r="CY32" s="144"/>
      <c r="CZ32" s="144"/>
      <c r="DA32" s="144"/>
      <c r="DB32" s="144"/>
      <c r="DC32" s="144"/>
      <c r="DD32" s="144"/>
      <c r="DE32" s="144"/>
      <c r="DF32" s="144"/>
      <c r="DG32" s="144"/>
      <c r="DH32" s="144"/>
      <c r="DI32" s="144"/>
      <c r="DJ32" s="144"/>
      <c r="DK32" s="144"/>
      <c r="DL32" s="144"/>
      <c r="DM32" s="144"/>
      <c r="DN32" s="144"/>
      <c r="DO32" s="144"/>
      <c r="DP32" s="144"/>
      <c r="DQ32" s="144"/>
      <c r="DR32" s="144"/>
      <c r="DT32" s="144">
        <f t="shared" si="134"/>
        <v>0</v>
      </c>
      <c r="DU32" s="144">
        <f t="shared" si="134"/>
        <v>0</v>
      </c>
      <c r="DV32" s="144">
        <f t="shared" si="134"/>
        <v>0</v>
      </c>
      <c r="DW32" s="144">
        <f t="shared" si="134"/>
        <v>0</v>
      </c>
      <c r="DX32" s="144">
        <f t="shared" si="134"/>
        <v>0</v>
      </c>
      <c r="DY32" s="144">
        <f t="shared" si="134"/>
        <v>0</v>
      </c>
      <c r="DZ32" s="144">
        <f t="shared" si="134"/>
        <v>0</v>
      </c>
      <c r="EA32" s="144">
        <f t="shared" si="134"/>
        <v>0</v>
      </c>
      <c r="EB32" s="144">
        <f t="shared" si="134"/>
        <v>0</v>
      </c>
      <c r="EC32" s="144">
        <f t="shared" si="134"/>
        <v>0</v>
      </c>
      <c r="EF32" s="144"/>
      <c r="EG32" s="296"/>
    </row>
    <row r="33" ht="14.5">
      <c r="A33" s="297" t="e">
        <f>+#REF!</f>
        <v>#REF!</v>
      </c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144"/>
      <c r="AN33" s="144"/>
      <c r="AO33" s="144"/>
      <c r="AP33" s="144"/>
      <c r="AQ33" s="144"/>
      <c r="AR33" s="144"/>
      <c r="AS33" s="144"/>
      <c r="AT33" s="144"/>
      <c r="AU33" s="144"/>
      <c r="AV33" s="144"/>
      <c r="AW33" s="144"/>
      <c r="AX33" s="144"/>
      <c r="AY33" s="144"/>
      <c r="AZ33" s="144"/>
      <c r="BA33" s="144"/>
      <c r="BB33" s="144"/>
      <c r="BC33" s="144"/>
      <c r="BD33" s="144"/>
      <c r="BE33" s="144"/>
      <c r="BF33" s="144"/>
      <c r="BG33" s="144"/>
      <c r="BH33" s="144"/>
      <c r="BI33" s="144"/>
      <c r="BJ33" s="144"/>
      <c r="BK33" s="144"/>
      <c r="BL33" s="144"/>
      <c r="BM33" s="144"/>
      <c r="BN33" s="144"/>
      <c r="BO33" s="144"/>
      <c r="BP33" s="144"/>
      <c r="BQ33" s="144"/>
      <c r="BR33" s="144"/>
      <c r="BS33" s="144"/>
      <c r="BT33" s="144"/>
      <c r="BU33" s="144"/>
      <c r="BV33" s="144"/>
      <c r="BW33" s="144"/>
      <c r="BX33" s="144"/>
      <c r="BY33" s="144"/>
      <c r="BZ33" s="144"/>
      <c r="CA33" s="144"/>
      <c r="CB33" s="144"/>
      <c r="CC33" s="144"/>
      <c r="CD33" s="144"/>
      <c r="CE33" s="144"/>
      <c r="CF33" s="144"/>
      <c r="CG33" s="144"/>
      <c r="CH33" s="144"/>
      <c r="CI33" s="144"/>
      <c r="CJ33" s="144"/>
      <c r="CK33" s="144"/>
      <c r="CL33" s="144"/>
      <c r="CM33" s="144"/>
      <c r="CN33" s="144"/>
      <c r="CO33" s="144"/>
      <c r="CP33" s="144"/>
      <c r="CQ33" s="144"/>
      <c r="CR33" s="144"/>
      <c r="CS33" s="144"/>
      <c r="CT33" s="144"/>
      <c r="CU33" s="144"/>
      <c r="CV33" s="144"/>
      <c r="CW33" s="144"/>
      <c r="CX33" s="144"/>
      <c r="CY33" s="144"/>
      <c r="CZ33" s="144"/>
      <c r="DA33" s="144"/>
      <c r="DB33" s="144"/>
      <c r="DC33" s="144"/>
      <c r="DD33" s="144"/>
      <c r="DE33" s="144"/>
      <c r="DF33" s="144"/>
      <c r="DG33" s="144"/>
      <c r="DH33" s="144"/>
      <c r="DI33" s="144"/>
      <c r="DJ33" s="144"/>
      <c r="DK33" s="144"/>
      <c r="DL33" s="144"/>
      <c r="DM33" s="144"/>
      <c r="DN33" s="144"/>
      <c r="DO33" s="144"/>
      <c r="DP33" s="144"/>
      <c r="DQ33" s="144"/>
      <c r="DR33" s="144"/>
      <c r="DT33" s="144">
        <f t="shared" si="134"/>
        <v>0</v>
      </c>
      <c r="DU33" s="144">
        <f t="shared" si="134"/>
        <v>0</v>
      </c>
      <c r="DV33" s="144">
        <f t="shared" si="134"/>
        <v>0</v>
      </c>
      <c r="DW33" s="144">
        <f t="shared" si="134"/>
        <v>0</v>
      </c>
      <c r="DX33" s="144">
        <f t="shared" si="134"/>
        <v>0</v>
      </c>
      <c r="DY33" s="144">
        <f t="shared" si="134"/>
        <v>0</v>
      </c>
      <c r="DZ33" s="144">
        <f t="shared" si="134"/>
        <v>0</v>
      </c>
      <c r="EA33" s="144">
        <f t="shared" si="134"/>
        <v>0</v>
      </c>
      <c r="EB33" s="144">
        <f t="shared" si="134"/>
        <v>0</v>
      </c>
      <c r="EC33" s="144">
        <f t="shared" si="134"/>
        <v>0</v>
      </c>
      <c r="EF33" s="144"/>
      <c r="EG33" s="296"/>
    </row>
    <row r="34" ht="14.5">
      <c r="A34" s="297" t="e">
        <f>+#REF!</f>
        <v>#REF!</v>
      </c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4"/>
      <c r="AM34" s="144"/>
      <c r="AN34" s="144"/>
      <c r="AO34" s="144"/>
      <c r="AP34" s="144"/>
      <c r="AQ34" s="144"/>
      <c r="AR34" s="144"/>
      <c r="AS34" s="144"/>
      <c r="AT34" s="144"/>
      <c r="AU34" s="144"/>
      <c r="AV34" s="144"/>
      <c r="AW34" s="144"/>
      <c r="AX34" s="144"/>
      <c r="AY34" s="144"/>
      <c r="AZ34" s="144"/>
      <c r="BA34" s="144"/>
      <c r="BB34" s="144"/>
      <c r="BC34" s="144"/>
      <c r="BD34" s="144"/>
      <c r="BE34" s="144"/>
      <c r="BF34" s="144"/>
      <c r="BG34" s="144"/>
      <c r="BH34" s="144"/>
      <c r="BI34" s="144"/>
      <c r="BJ34" s="144"/>
      <c r="BK34" s="144"/>
      <c r="BL34" s="144"/>
      <c r="BM34" s="144"/>
      <c r="BN34" s="144"/>
      <c r="BO34" s="144"/>
      <c r="BP34" s="144"/>
      <c r="BQ34" s="144"/>
      <c r="BR34" s="144"/>
      <c r="BS34" s="144"/>
      <c r="BT34" s="144"/>
      <c r="BU34" s="144"/>
      <c r="BV34" s="144"/>
      <c r="BW34" s="144"/>
      <c r="BX34" s="144"/>
      <c r="BY34" s="144"/>
      <c r="BZ34" s="144"/>
      <c r="CA34" s="144"/>
      <c r="CB34" s="144"/>
      <c r="CC34" s="144"/>
      <c r="CD34" s="144"/>
      <c r="CE34" s="144"/>
      <c r="CF34" s="144"/>
      <c r="CG34" s="144"/>
      <c r="CH34" s="144"/>
      <c r="CI34" s="144"/>
      <c r="CJ34" s="144"/>
      <c r="CK34" s="144"/>
      <c r="CL34" s="144"/>
      <c r="CM34" s="144"/>
      <c r="CN34" s="144"/>
      <c r="CO34" s="144"/>
      <c r="CP34" s="144"/>
      <c r="CQ34" s="144"/>
      <c r="CR34" s="144"/>
      <c r="CS34" s="144"/>
      <c r="CT34" s="144"/>
      <c r="CU34" s="144"/>
      <c r="CV34" s="144"/>
      <c r="CW34" s="144"/>
      <c r="CX34" s="144"/>
      <c r="CY34" s="144"/>
      <c r="CZ34" s="144"/>
      <c r="DA34" s="144"/>
      <c r="DB34" s="144"/>
      <c r="DC34" s="144"/>
      <c r="DD34" s="144"/>
      <c r="DE34" s="144"/>
      <c r="DF34" s="144"/>
      <c r="DG34" s="144"/>
      <c r="DH34" s="144"/>
      <c r="DI34" s="144"/>
      <c r="DJ34" s="144"/>
      <c r="DK34" s="144"/>
      <c r="DL34" s="144"/>
      <c r="DM34" s="144"/>
      <c r="DN34" s="144"/>
      <c r="DO34" s="144"/>
      <c r="DP34" s="144"/>
      <c r="DQ34" s="144"/>
      <c r="DR34" s="144"/>
      <c r="DT34" s="144">
        <f t="shared" si="134"/>
        <v>0</v>
      </c>
      <c r="DU34" s="144">
        <f t="shared" si="134"/>
        <v>0</v>
      </c>
      <c r="DV34" s="144">
        <f t="shared" si="134"/>
        <v>0</v>
      </c>
      <c r="DW34" s="144">
        <f t="shared" si="134"/>
        <v>0</v>
      </c>
      <c r="DX34" s="144">
        <f t="shared" si="134"/>
        <v>0</v>
      </c>
      <c r="DY34" s="144">
        <f t="shared" si="134"/>
        <v>0</v>
      </c>
      <c r="DZ34" s="144">
        <f t="shared" si="134"/>
        <v>0</v>
      </c>
      <c r="EA34" s="144">
        <f t="shared" si="134"/>
        <v>0</v>
      </c>
      <c r="EB34" s="144">
        <f t="shared" si="134"/>
        <v>0</v>
      </c>
      <c r="EC34" s="144">
        <f t="shared" si="134"/>
        <v>0</v>
      </c>
      <c r="EF34" s="144"/>
      <c r="EG34" s="296"/>
    </row>
    <row r="35" ht="14.5">
      <c r="A35" s="297" t="e">
        <f>+#REF!</f>
        <v>#REF!</v>
      </c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  <c r="AA35" s="144"/>
      <c r="AB35" s="144"/>
      <c r="AC35" s="144"/>
      <c r="AD35" s="144"/>
      <c r="AE35" s="144"/>
      <c r="AF35" s="144"/>
      <c r="AG35" s="144"/>
      <c r="AH35" s="144"/>
      <c r="AI35" s="144"/>
      <c r="AJ35" s="144"/>
      <c r="AK35" s="144"/>
      <c r="AL35" s="144"/>
      <c r="AM35" s="144"/>
      <c r="AN35" s="144"/>
      <c r="AO35" s="144"/>
      <c r="AP35" s="144"/>
      <c r="AQ35" s="144"/>
      <c r="AR35" s="144"/>
      <c r="AS35" s="144"/>
      <c r="AT35" s="144"/>
      <c r="AU35" s="144"/>
      <c r="AV35" s="144"/>
      <c r="AW35" s="144"/>
      <c r="AX35" s="144"/>
      <c r="AY35" s="144"/>
      <c r="AZ35" s="144"/>
      <c r="BA35" s="144"/>
      <c r="BB35" s="144"/>
      <c r="BC35" s="144"/>
      <c r="BD35" s="144"/>
      <c r="BE35" s="144"/>
      <c r="BF35" s="144"/>
      <c r="BG35" s="144"/>
      <c r="BH35" s="144"/>
      <c r="BI35" s="144"/>
      <c r="BJ35" s="144"/>
      <c r="BK35" s="144"/>
      <c r="BL35" s="144"/>
      <c r="BM35" s="144"/>
      <c r="BN35" s="144"/>
      <c r="BO35" s="144"/>
      <c r="BP35" s="144"/>
      <c r="BQ35" s="144"/>
      <c r="BR35" s="144"/>
      <c r="BS35" s="144"/>
      <c r="BT35" s="144"/>
      <c r="BU35" s="144"/>
      <c r="BV35" s="144"/>
      <c r="BW35" s="144"/>
      <c r="BX35" s="144"/>
      <c r="BY35" s="144"/>
      <c r="BZ35" s="144"/>
      <c r="CA35" s="144"/>
      <c r="CB35" s="144"/>
      <c r="CC35" s="144"/>
      <c r="CD35" s="144"/>
      <c r="CE35" s="144"/>
      <c r="CF35" s="144"/>
      <c r="CG35" s="144"/>
      <c r="CH35" s="144"/>
      <c r="CI35" s="144"/>
      <c r="CJ35" s="144"/>
      <c r="CK35" s="144"/>
      <c r="CL35" s="144"/>
      <c r="CM35" s="144"/>
      <c r="CN35" s="144"/>
      <c r="CO35" s="144"/>
      <c r="CP35" s="144"/>
      <c r="CQ35" s="144"/>
      <c r="CR35" s="144"/>
      <c r="CS35" s="144"/>
      <c r="CT35" s="144"/>
      <c r="CU35" s="144"/>
      <c r="CV35" s="144"/>
      <c r="CW35" s="144"/>
      <c r="CX35" s="144"/>
      <c r="CY35" s="144"/>
      <c r="CZ35" s="144"/>
      <c r="DA35" s="144"/>
      <c r="DB35" s="144"/>
      <c r="DC35" s="144"/>
      <c r="DD35" s="144"/>
      <c r="DE35" s="144"/>
      <c r="DF35" s="144"/>
      <c r="DG35" s="144"/>
      <c r="DH35" s="144"/>
      <c r="DI35" s="144"/>
      <c r="DJ35" s="144"/>
      <c r="DK35" s="144"/>
      <c r="DL35" s="144"/>
      <c r="DM35" s="144"/>
      <c r="DN35" s="144"/>
      <c r="DO35" s="144"/>
      <c r="DP35" s="144"/>
      <c r="DQ35" s="144"/>
      <c r="DR35" s="144"/>
      <c r="DT35" s="144">
        <f t="shared" si="134"/>
        <v>0</v>
      </c>
      <c r="DU35" s="144">
        <f t="shared" si="134"/>
        <v>0</v>
      </c>
      <c r="DV35" s="144">
        <f t="shared" si="134"/>
        <v>0</v>
      </c>
      <c r="DW35" s="144">
        <f t="shared" si="134"/>
        <v>0</v>
      </c>
      <c r="DX35" s="144">
        <f t="shared" si="134"/>
        <v>0</v>
      </c>
      <c r="DY35" s="144">
        <f t="shared" si="134"/>
        <v>0</v>
      </c>
      <c r="DZ35" s="144">
        <f t="shared" si="134"/>
        <v>0</v>
      </c>
      <c r="EA35" s="144">
        <f t="shared" si="134"/>
        <v>0</v>
      </c>
      <c r="EB35" s="144">
        <f t="shared" si="134"/>
        <v>0</v>
      </c>
      <c r="EC35" s="144">
        <f t="shared" si="134"/>
        <v>0</v>
      </c>
      <c r="EF35" s="144"/>
      <c r="EG35" s="296"/>
    </row>
    <row r="36" ht="14.5">
      <c r="A36" s="297" t="e">
        <f>+#REF!</f>
        <v>#REF!</v>
      </c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  <c r="AK36" s="144"/>
      <c r="AL36" s="144"/>
      <c r="AM36" s="144"/>
      <c r="AN36" s="144"/>
      <c r="AO36" s="144"/>
      <c r="AP36" s="144"/>
      <c r="AQ36" s="144"/>
      <c r="AR36" s="144"/>
      <c r="AS36" s="144"/>
      <c r="AT36" s="144"/>
      <c r="AU36" s="144"/>
      <c r="AV36" s="144"/>
      <c r="AW36" s="144"/>
      <c r="AX36" s="144"/>
      <c r="AY36" s="144"/>
      <c r="AZ36" s="144"/>
      <c r="BA36" s="144"/>
      <c r="BB36" s="144"/>
      <c r="BC36" s="144"/>
      <c r="BD36" s="144"/>
      <c r="BE36" s="144"/>
      <c r="BF36" s="144"/>
      <c r="BG36" s="144"/>
      <c r="BH36" s="144"/>
      <c r="BI36" s="144"/>
      <c r="BJ36" s="144"/>
      <c r="BK36" s="144"/>
      <c r="BL36" s="144"/>
      <c r="BM36" s="144"/>
      <c r="BN36" s="144"/>
      <c r="BO36" s="144"/>
      <c r="BP36" s="144"/>
      <c r="BQ36" s="144"/>
      <c r="BR36" s="144"/>
      <c r="BS36" s="144"/>
      <c r="BT36" s="144"/>
      <c r="BU36" s="144"/>
      <c r="BV36" s="144"/>
      <c r="BW36" s="144"/>
      <c r="BX36" s="144"/>
      <c r="BY36" s="144"/>
      <c r="BZ36" s="144"/>
      <c r="CA36" s="144"/>
      <c r="CB36" s="144"/>
      <c r="CC36" s="144"/>
      <c r="CD36" s="144"/>
      <c r="CE36" s="144"/>
      <c r="CF36" s="144"/>
      <c r="CG36" s="144"/>
      <c r="CH36" s="144"/>
      <c r="CI36" s="144"/>
      <c r="CJ36" s="144"/>
      <c r="CK36" s="144"/>
      <c r="CL36" s="144"/>
      <c r="CM36" s="144"/>
      <c r="CN36" s="144"/>
      <c r="CO36" s="144"/>
      <c r="CP36" s="144"/>
      <c r="CQ36" s="144"/>
      <c r="CR36" s="144"/>
      <c r="CS36" s="144"/>
      <c r="CT36" s="144"/>
      <c r="CU36" s="144"/>
      <c r="CV36" s="144"/>
      <c r="CW36" s="144"/>
      <c r="CX36" s="144"/>
      <c r="CY36" s="144"/>
      <c r="CZ36" s="144"/>
      <c r="DA36" s="144"/>
      <c r="DB36" s="144"/>
      <c r="DC36" s="144"/>
      <c r="DD36" s="144"/>
      <c r="DE36" s="144"/>
      <c r="DF36" s="144"/>
      <c r="DG36" s="144"/>
      <c r="DH36" s="144"/>
      <c r="DI36" s="144"/>
      <c r="DJ36" s="144"/>
      <c r="DK36" s="144"/>
      <c r="DL36" s="144"/>
      <c r="DM36" s="144"/>
      <c r="DN36" s="144"/>
      <c r="DO36" s="144"/>
      <c r="DP36" s="144"/>
      <c r="DQ36" s="144"/>
      <c r="DR36" s="144"/>
      <c r="DT36" s="144">
        <f t="shared" si="134"/>
        <v>0</v>
      </c>
      <c r="DU36" s="144">
        <f t="shared" si="134"/>
        <v>0</v>
      </c>
      <c r="DV36" s="144">
        <f t="shared" si="134"/>
        <v>0</v>
      </c>
      <c r="DW36" s="144">
        <f t="shared" si="134"/>
        <v>0</v>
      </c>
      <c r="DX36" s="144">
        <f t="shared" si="134"/>
        <v>0</v>
      </c>
      <c r="DY36" s="144">
        <f t="shared" si="134"/>
        <v>0</v>
      </c>
      <c r="DZ36" s="144">
        <f t="shared" si="134"/>
        <v>0</v>
      </c>
      <c r="EA36" s="144">
        <f t="shared" si="134"/>
        <v>0</v>
      </c>
      <c r="EB36" s="144">
        <f t="shared" si="134"/>
        <v>0</v>
      </c>
      <c r="EC36" s="144">
        <f t="shared" si="134"/>
        <v>0</v>
      </c>
      <c r="EF36" s="144"/>
      <c r="EG36" s="296"/>
    </row>
    <row r="37" thickBot="1" ht="18" customHeight="1">
      <c r="A37" s="297" t="e">
        <f>+#REF!</f>
        <v>#REF!</v>
      </c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44"/>
      <c r="V37" s="144"/>
      <c r="W37" s="144"/>
      <c r="X37" s="144"/>
      <c r="Y37" s="144"/>
      <c r="Z37" s="144"/>
      <c r="AA37" s="144"/>
      <c r="AB37" s="144"/>
      <c r="AC37" s="144"/>
      <c r="AD37" s="144"/>
      <c r="AE37" s="144"/>
      <c r="AF37" s="144"/>
      <c r="AG37" s="144"/>
      <c r="AH37" s="144"/>
      <c r="AI37" s="144"/>
      <c r="AJ37" s="144"/>
      <c r="AK37" s="144"/>
      <c r="AL37" s="144"/>
      <c r="AM37" s="144"/>
      <c r="AN37" s="144"/>
      <c r="AO37" s="144"/>
      <c r="AP37" s="144"/>
      <c r="AQ37" s="144"/>
      <c r="AR37" s="144"/>
      <c r="AS37" s="144"/>
      <c r="AT37" s="144"/>
      <c r="AU37" s="144"/>
      <c r="AV37" s="144"/>
      <c r="AW37" s="144"/>
      <c r="AX37" s="144"/>
      <c r="AY37" s="144"/>
      <c r="AZ37" s="144"/>
      <c r="BA37" s="144"/>
      <c r="BB37" s="144"/>
      <c r="BC37" s="144"/>
      <c r="BD37" s="144"/>
      <c r="BE37" s="144"/>
      <c r="BF37" s="144"/>
      <c r="BG37" s="144"/>
      <c r="BH37" s="144"/>
      <c r="BI37" s="144"/>
      <c r="BJ37" s="144"/>
      <c r="BK37" s="144"/>
      <c r="BL37" s="144"/>
      <c r="BM37" s="144"/>
      <c r="BN37" s="144"/>
      <c r="BO37" s="144"/>
      <c r="BP37" s="144"/>
      <c r="BQ37" s="144"/>
      <c r="BR37" s="144"/>
      <c r="BS37" s="144"/>
      <c r="BT37" s="144"/>
      <c r="BU37" s="144"/>
      <c r="BV37" s="144"/>
      <c r="BW37" s="144"/>
      <c r="BX37" s="144"/>
      <c r="BY37" s="144"/>
      <c r="BZ37" s="144"/>
      <c r="CA37" s="144"/>
      <c r="CB37" s="144"/>
      <c r="CC37" s="144"/>
      <c r="CD37" s="144"/>
      <c r="CE37" s="144"/>
      <c r="CF37" s="144"/>
      <c r="CG37" s="144"/>
      <c r="CH37" s="144"/>
      <c r="CI37" s="144"/>
      <c r="CJ37" s="144"/>
      <c r="CK37" s="144"/>
      <c r="CL37" s="144"/>
      <c r="CM37" s="144"/>
      <c r="CN37" s="144"/>
      <c r="CO37" s="144"/>
      <c r="CP37" s="144"/>
      <c r="CQ37" s="144"/>
      <c r="CR37" s="144"/>
      <c r="CS37" s="144"/>
      <c r="CT37" s="144"/>
      <c r="CU37" s="144"/>
      <c r="CV37" s="144"/>
      <c r="CW37" s="144"/>
      <c r="CX37" s="144"/>
      <c r="CY37" s="144"/>
      <c r="CZ37" s="144"/>
      <c r="DA37" s="144"/>
      <c r="DB37" s="144"/>
      <c r="DC37" s="144"/>
      <c r="DD37" s="144"/>
      <c r="DE37" s="144"/>
      <c r="DF37" s="144"/>
      <c r="DG37" s="144"/>
      <c r="DH37" s="144"/>
      <c r="DI37" s="144"/>
      <c r="DJ37" s="144"/>
      <c r="DK37" s="144"/>
      <c r="DL37" s="144"/>
      <c r="DM37" s="144"/>
      <c r="DN37" s="144"/>
      <c r="DO37" s="144"/>
      <c r="DP37" s="144"/>
      <c r="DQ37" s="144"/>
      <c r="DR37" s="144"/>
      <c r="DT37" s="144">
        <f t="shared" si="134"/>
        <v>0</v>
      </c>
      <c r="DU37" s="144">
        <f t="shared" si="134"/>
        <v>0</v>
      </c>
      <c r="DV37" s="144">
        <f t="shared" si="134"/>
        <v>0</v>
      </c>
      <c r="DW37" s="144">
        <f t="shared" si="134"/>
        <v>0</v>
      </c>
      <c r="DX37" s="144">
        <f t="shared" si="134"/>
        <v>0</v>
      </c>
      <c r="DY37" s="144">
        <f t="shared" si="134"/>
        <v>0</v>
      </c>
      <c r="DZ37" s="144">
        <f t="shared" si="134"/>
        <v>0</v>
      </c>
      <c r="EA37" s="144">
        <f t="shared" si="134"/>
        <v>0</v>
      </c>
      <c r="EB37" s="144">
        <f t="shared" si="134"/>
        <v>0</v>
      </c>
      <c r="EC37" s="144">
        <f t="shared" si="134"/>
        <v>0</v>
      </c>
      <c r="EF37" s="144"/>
      <c r="EG37" s="296"/>
    </row>
    <row r="38" thickTop="1" thickBot="1" ht="18.75" customHeight="1">
      <c r="A38" s="293" t="s">
        <v>1209</v>
      </c>
      <c r="B38" s="294"/>
      <c r="C38" s="295">
        <f>+SUM(C19:C37)</f>
        <v>0</v>
      </c>
      <c r="D38" s="295">
        <f t="shared" ref="D38:I38" si="135">+SUM(D19:D37)</f>
        <v>0</v>
      </c>
      <c r="E38" s="295">
        <f t="shared" si="135"/>
        <v>0</v>
      </c>
      <c r="F38" s="295">
        <f t="shared" si="135"/>
        <v>0</v>
      </c>
      <c r="G38" s="295">
        <f t="shared" si="135"/>
        <v>0</v>
      </c>
      <c r="H38" s="295">
        <f t="shared" si="135"/>
        <v>0</v>
      </c>
      <c r="I38" s="295">
        <f t="shared" si="135"/>
        <v>0</v>
      </c>
      <c r="J38" s="295">
        <f t="shared" ref="J38" si="136">+SUM(J19:J37)</f>
        <v>0</v>
      </c>
      <c r="K38" s="295">
        <f t="shared" ref="K38" si="137">+SUM(K19:K37)</f>
        <v>0</v>
      </c>
      <c r="L38" s="295">
        <f t="shared" ref="L38" si="138">+SUM(L19:L37)</f>
        <v>0</v>
      </c>
      <c r="M38" s="295">
        <f t="shared" ref="M38" si="139">+SUM(M19:M37)</f>
        <v>0</v>
      </c>
      <c r="N38" s="295">
        <f t="shared" ref="N38:O38" si="140">+SUM(N19:N37)</f>
        <v>0</v>
      </c>
      <c r="O38" s="295">
        <f t="shared" si="140"/>
        <v>0</v>
      </c>
      <c r="P38" s="295">
        <f t="shared" ref="P38" si="141">+SUM(P19:P37)</f>
        <v>0</v>
      </c>
      <c r="Q38" s="295">
        <f t="shared" ref="Q38" si="142">+SUM(Q19:Q37)</f>
        <v>0</v>
      </c>
      <c r="R38" s="295">
        <f t="shared" ref="R38" si="143">+SUM(R19:R37)</f>
        <v>0</v>
      </c>
      <c r="S38" s="295">
        <f t="shared" ref="S38" si="144">+SUM(S19:S37)</f>
        <v>0</v>
      </c>
      <c r="T38" s="295">
        <f t="shared" ref="T38:U38" si="145">+SUM(T19:T37)</f>
        <v>0</v>
      </c>
      <c r="U38" s="295">
        <f t="shared" si="145"/>
        <v>0</v>
      </c>
      <c r="V38" s="295">
        <f t="shared" ref="V38" si="146">+SUM(V19:V37)</f>
        <v>0</v>
      </c>
      <c r="W38" s="295">
        <f t="shared" ref="W38" si="147">+SUM(W19:W37)</f>
        <v>0</v>
      </c>
      <c r="X38" s="295">
        <f t="shared" ref="X38" si="148">+SUM(X19:X37)</f>
        <v>0</v>
      </c>
      <c r="Y38" s="295">
        <f t="shared" ref="Y38" si="149">+SUM(Y19:Y37)</f>
        <v>0</v>
      </c>
      <c r="Z38" s="295">
        <f t="shared" ref="Z38:AA38" si="150">+SUM(Z19:Z37)</f>
        <v>0</v>
      </c>
      <c r="AA38" s="295">
        <f t="shared" si="150"/>
        <v>0</v>
      </c>
      <c r="AB38" s="295">
        <f t="shared" ref="AB38" si="151">+SUM(AB19:AB37)</f>
        <v>0</v>
      </c>
      <c r="AC38" s="295">
        <f t="shared" ref="AC38" si="152">+SUM(AC19:AC37)</f>
        <v>0</v>
      </c>
      <c r="AD38" s="295">
        <f t="shared" ref="AD38" si="153">+SUM(AD19:AD37)</f>
        <v>0</v>
      </c>
      <c r="AE38" s="295">
        <f t="shared" ref="AE38" si="154">+SUM(AE19:AE37)</f>
        <v>0</v>
      </c>
      <c r="AF38" s="295">
        <f t="shared" ref="AF38:AG38" si="155">+SUM(AF19:AF37)</f>
        <v>0</v>
      </c>
      <c r="AG38" s="295">
        <f t="shared" si="155"/>
        <v>0</v>
      </c>
      <c r="AH38" s="295">
        <f t="shared" ref="AH38" si="156">+SUM(AH19:AH37)</f>
        <v>0</v>
      </c>
      <c r="AI38" s="295">
        <f t="shared" ref="AI38" si="157">+SUM(AI19:AI37)</f>
        <v>0</v>
      </c>
      <c r="AJ38" s="295">
        <f t="shared" ref="AJ38" si="158">+SUM(AJ19:AJ37)</f>
        <v>0</v>
      </c>
      <c r="AK38" s="295">
        <f t="shared" ref="AK38" si="159">+SUM(AK19:AK37)</f>
        <v>0</v>
      </c>
      <c r="AL38" s="295">
        <f t="shared" ref="AL38:AM38" si="160">+SUM(AL19:AL37)</f>
        <v>0</v>
      </c>
      <c r="AM38" s="295">
        <f t="shared" si="160"/>
        <v>0</v>
      </c>
      <c r="AN38" s="295">
        <f t="shared" ref="AN38" si="161">+SUM(AN19:AN37)</f>
        <v>0</v>
      </c>
      <c r="AO38" s="295">
        <f t="shared" ref="AO38" si="162">+SUM(AO19:AO37)</f>
        <v>0</v>
      </c>
      <c r="AP38" s="295">
        <f t="shared" ref="AP38" si="163">+SUM(AP19:AP37)</f>
        <v>0</v>
      </c>
      <c r="AQ38" s="295">
        <f t="shared" ref="AQ38" si="164">+SUM(AQ19:AQ37)</f>
        <v>0</v>
      </c>
      <c r="AR38" s="295">
        <f t="shared" ref="AR38:AS38" si="165">+SUM(AR19:AR37)</f>
        <v>0</v>
      </c>
      <c r="AS38" s="295">
        <f t="shared" si="165"/>
        <v>0</v>
      </c>
      <c r="AT38" s="295">
        <f t="shared" ref="AT38" si="166">+SUM(AT19:AT37)</f>
        <v>0</v>
      </c>
      <c r="AU38" s="295">
        <f t="shared" ref="AU38" si="167">+SUM(AU19:AU37)</f>
        <v>0</v>
      </c>
      <c r="AV38" s="295">
        <f t="shared" ref="AV38" si="168">+SUM(AV19:AV37)</f>
        <v>0</v>
      </c>
      <c r="AW38" s="295">
        <f t="shared" ref="AW38" si="169">+SUM(AW19:AW37)</f>
        <v>0</v>
      </c>
      <c r="AX38" s="295">
        <f t="shared" ref="AX38:AY38" si="170">+SUM(AX19:AX37)</f>
        <v>0</v>
      </c>
      <c r="AY38" s="295">
        <f t="shared" si="170"/>
        <v>0</v>
      </c>
      <c r="AZ38" s="295">
        <f t="shared" ref="AZ38" si="171">+SUM(AZ19:AZ37)</f>
        <v>0</v>
      </c>
      <c r="BA38" s="295">
        <f t="shared" ref="BA38" si="172">+SUM(BA19:BA37)</f>
        <v>0</v>
      </c>
      <c r="BB38" s="295">
        <f t="shared" ref="BB38" si="173">+SUM(BB19:BB37)</f>
        <v>0</v>
      </c>
      <c r="BC38" s="295">
        <f t="shared" ref="BC38" si="174">+SUM(BC19:BC37)</f>
        <v>0</v>
      </c>
      <c r="BD38" s="295">
        <f t="shared" ref="BD38:BE38" si="175">+SUM(BD19:BD37)</f>
        <v>0</v>
      </c>
      <c r="BE38" s="295">
        <f t="shared" si="175"/>
        <v>0</v>
      </c>
      <c r="BF38" s="295">
        <f t="shared" ref="BF38" si="176">+SUM(BF19:BF37)</f>
        <v>0</v>
      </c>
      <c r="BG38" s="295">
        <f t="shared" ref="BG38" si="177">+SUM(BG19:BG37)</f>
        <v>0</v>
      </c>
      <c r="BH38" s="295">
        <f t="shared" ref="BH38" si="178">+SUM(BH19:BH37)</f>
        <v>0</v>
      </c>
      <c r="BI38" s="295">
        <f t="shared" ref="BI38" si="179">+SUM(BI19:BI37)</f>
        <v>0</v>
      </c>
      <c r="BJ38" s="295">
        <f t="shared" ref="BJ38:BK38" si="180">+SUM(BJ19:BJ37)</f>
        <v>0</v>
      </c>
      <c r="BK38" s="295">
        <f t="shared" si="180"/>
        <v>0</v>
      </c>
      <c r="BL38" s="295">
        <f t="shared" ref="BL38" si="181">+SUM(BL19:BL37)</f>
        <v>0</v>
      </c>
      <c r="BM38" s="295">
        <f t="shared" ref="BM38" si="182">+SUM(BM19:BM37)</f>
        <v>0</v>
      </c>
      <c r="BN38" s="295">
        <f t="shared" ref="BN38" si="183">+SUM(BN19:BN37)</f>
        <v>0</v>
      </c>
      <c r="BO38" s="295">
        <f t="shared" ref="BO38" si="184">+SUM(BO19:BO37)</f>
        <v>0</v>
      </c>
      <c r="BP38" s="295">
        <f t="shared" ref="BP38:BQ38" si="185">+SUM(BP19:BP37)</f>
        <v>0</v>
      </c>
      <c r="BQ38" s="295">
        <f t="shared" si="185"/>
        <v>0</v>
      </c>
      <c r="BR38" s="295">
        <f t="shared" ref="BR38" si="186">+SUM(BR19:BR37)</f>
        <v>0</v>
      </c>
      <c r="BS38" s="295">
        <f t="shared" ref="BS38" si="187">+SUM(BS19:BS37)</f>
        <v>0</v>
      </c>
      <c r="BT38" s="295">
        <f t="shared" ref="BT38" si="188">+SUM(BT19:BT37)</f>
        <v>0</v>
      </c>
      <c r="BU38" s="295">
        <f t="shared" ref="BU38" si="189">+SUM(BU19:BU37)</f>
        <v>0</v>
      </c>
      <c r="BV38" s="295">
        <f t="shared" ref="BV38:BW38" si="190">+SUM(BV19:BV37)</f>
        <v>0</v>
      </c>
      <c r="BW38" s="295">
        <f t="shared" si="190"/>
        <v>0</v>
      </c>
      <c r="BX38" s="295">
        <f t="shared" ref="BX38" si="191">+SUM(BX19:BX37)</f>
        <v>0</v>
      </c>
      <c r="BY38" s="295">
        <f t="shared" ref="BY38" si="192">+SUM(BY19:BY37)</f>
        <v>0</v>
      </c>
      <c r="BZ38" s="295">
        <f t="shared" ref="BZ38" si="193">+SUM(BZ19:BZ37)</f>
        <v>0</v>
      </c>
      <c r="CA38" s="295">
        <f t="shared" ref="CA38" si="194">+SUM(CA19:CA37)</f>
        <v>0</v>
      </c>
      <c r="CB38" s="295">
        <f t="shared" ref="CB38:CC38" si="195">+SUM(CB19:CB37)</f>
        <v>0</v>
      </c>
      <c r="CC38" s="295">
        <f t="shared" si="195"/>
        <v>0</v>
      </c>
      <c r="CD38" s="295">
        <f t="shared" ref="CD38" si="196">+SUM(CD19:CD37)</f>
        <v>0</v>
      </c>
      <c r="CE38" s="295">
        <f t="shared" ref="CE38" si="197">+SUM(CE19:CE37)</f>
        <v>0</v>
      </c>
      <c r="CF38" s="295">
        <f t="shared" ref="CF38" si="198">+SUM(CF19:CF37)</f>
        <v>0</v>
      </c>
      <c r="CG38" s="295">
        <f t="shared" ref="CG38" si="199">+SUM(CG19:CG37)</f>
        <v>0</v>
      </c>
      <c r="CH38" s="295">
        <f t="shared" ref="CH38:CI38" si="200">+SUM(CH19:CH37)</f>
        <v>0</v>
      </c>
      <c r="CI38" s="295">
        <f t="shared" si="200"/>
        <v>0</v>
      </c>
      <c r="CJ38" s="295">
        <f t="shared" ref="CJ38" si="201">+SUM(CJ19:CJ37)</f>
        <v>0</v>
      </c>
      <c r="CK38" s="295">
        <f t="shared" ref="CK38" si="202">+SUM(CK19:CK37)</f>
        <v>0</v>
      </c>
      <c r="CL38" s="295">
        <f t="shared" ref="CL38" si="203">+SUM(CL19:CL37)</f>
        <v>0</v>
      </c>
      <c r="CM38" s="295">
        <f t="shared" ref="CM38" si="204">+SUM(CM19:CM37)</f>
        <v>0</v>
      </c>
      <c r="CN38" s="295">
        <f t="shared" ref="CN38:CO38" si="205">+SUM(CN19:CN37)</f>
        <v>0</v>
      </c>
      <c r="CO38" s="295">
        <f t="shared" si="205"/>
        <v>0</v>
      </c>
      <c r="CP38" s="295">
        <f t="shared" ref="CP38" si="206">+SUM(CP19:CP37)</f>
        <v>0</v>
      </c>
      <c r="CQ38" s="295">
        <f t="shared" ref="CQ38" si="207">+SUM(CQ19:CQ37)</f>
        <v>0</v>
      </c>
      <c r="CR38" s="295">
        <f t="shared" ref="CR38" si="208">+SUM(CR19:CR37)</f>
        <v>0</v>
      </c>
      <c r="CS38" s="295">
        <f t="shared" ref="CS38" si="209">+SUM(CS19:CS37)</f>
        <v>0</v>
      </c>
      <c r="CT38" s="295">
        <f t="shared" ref="CT38:CU38" si="210">+SUM(CT19:CT37)</f>
        <v>0</v>
      </c>
      <c r="CU38" s="295">
        <f t="shared" si="210"/>
        <v>0</v>
      </c>
      <c r="CV38" s="295">
        <f t="shared" ref="CV38" si="211">+SUM(CV19:CV37)</f>
        <v>0</v>
      </c>
      <c r="CW38" s="295">
        <f t="shared" ref="CW38" si="212">+SUM(CW19:CW37)</f>
        <v>0</v>
      </c>
      <c r="CX38" s="295">
        <f t="shared" ref="CX38" si="213">+SUM(CX19:CX37)</f>
        <v>0</v>
      </c>
      <c r="CY38" s="295">
        <f t="shared" ref="CY38" si="214">+SUM(CY19:CY37)</f>
        <v>0</v>
      </c>
      <c r="CZ38" s="295">
        <f t="shared" ref="CZ38:DA38" si="215">+SUM(CZ19:CZ37)</f>
        <v>0</v>
      </c>
      <c r="DA38" s="295">
        <f t="shared" si="215"/>
        <v>0</v>
      </c>
      <c r="DB38" s="295">
        <f t="shared" ref="DB38" si="216">+SUM(DB19:DB37)</f>
        <v>0</v>
      </c>
      <c r="DC38" s="295">
        <f t="shared" ref="DC38" si="217">+SUM(DC19:DC37)</f>
        <v>0</v>
      </c>
      <c r="DD38" s="295">
        <f t="shared" ref="DD38" si="218">+SUM(DD19:DD37)</f>
        <v>0</v>
      </c>
      <c r="DE38" s="295">
        <f t="shared" ref="DE38" si="219">+SUM(DE19:DE37)</f>
        <v>0</v>
      </c>
      <c r="DF38" s="295">
        <f t="shared" ref="DF38:DG38" si="220">+SUM(DF19:DF37)</f>
        <v>0</v>
      </c>
      <c r="DG38" s="295">
        <f t="shared" si="220"/>
        <v>0</v>
      </c>
      <c r="DH38" s="295">
        <f t="shared" ref="DH38" si="221">+SUM(DH19:DH37)</f>
        <v>0</v>
      </c>
      <c r="DI38" s="295">
        <f t="shared" ref="DI38" si="222">+SUM(DI19:DI37)</f>
        <v>0</v>
      </c>
      <c r="DJ38" s="295">
        <f t="shared" ref="DJ38" si="223">+SUM(DJ19:DJ37)</f>
        <v>0</v>
      </c>
      <c r="DK38" s="295">
        <f t="shared" ref="DK38" si="224">+SUM(DK19:DK37)</f>
        <v>0</v>
      </c>
      <c r="DL38" s="295">
        <f t="shared" ref="DL38:DM38" si="225">+SUM(DL19:DL37)</f>
        <v>0</v>
      </c>
      <c r="DM38" s="295">
        <f t="shared" si="225"/>
        <v>0</v>
      </c>
      <c r="DN38" s="295">
        <f t="shared" ref="DN38" si="226">+SUM(DN19:DN37)</f>
        <v>0</v>
      </c>
      <c r="DO38" s="295">
        <f t="shared" ref="DO38" si="227">+SUM(DO19:DO37)</f>
        <v>0</v>
      </c>
      <c r="DP38" s="295">
        <f t="shared" ref="DP38" si="228">+SUM(DP19:DP37)</f>
        <v>0</v>
      </c>
      <c r="DQ38" s="295">
        <f t="shared" ref="DQ38" si="229">+SUM(DQ19:DQ37)</f>
        <v>0</v>
      </c>
      <c r="DR38" s="295">
        <f t="shared" ref="DR38:DU38" si="230">+SUM(DR19:DR37)</f>
        <v>0</v>
      </c>
      <c r="DT38" s="295">
        <f t="shared" si="230"/>
        <v>0</v>
      </c>
      <c r="DU38" s="295">
        <f t="shared" si="230"/>
        <v>0</v>
      </c>
      <c r="DV38" s="295">
        <f t="shared" ref="DV38:EC38" si="231">+SUM(DV19:DV37)</f>
        <v>0</v>
      </c>
      <c r="DW38" s="295">
        <f t="shared" si="231"/>
        <v>0</v>
      </c>
      <c r="DX38" s="295">
        <f t="shared" si="231"/>
        <v>0</v>
      </c>
      <c r="DY38" s="295">
        <f t="shared" si="231"/>
        <v>0</v>
      </c>
      <c r="DZ38" s="295">
        <f t="shared" si="231"/>
        <v>0</v>
      </c>
      <c r="EA38" s="295">
        <f t="shared" si="231"/>
        <v>0</v>
      </c>
      <c r="EB38" s="295">
        <f t="shared" si="231"/>
        <v>0</v>
      </c>
      <c r="EC38" s="295">
        <f t="shared" si="231"/>
        <v>0</v>
      </c>
      <c r="EF38" s="144"/>
      <c r="EG38" s="296"/>
    </row>
    <row r="39" thickTop="1" ht="19">
      <c r="A39" s="150"/>
      <c r="B39" s="304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  <c r="AF39" s="100"/>
      <c r="AG39" s="100"/>
      <c r="AH39" s="100"/>
      <c r="AI39" s="100"/>
      <c r="AJ39" s="100"/>
      <c r="AK39" s="100"/>
      <c r="AL39" s="100"/>
      <c r="AM39" s="100"/>
      <c r="AN39" s="100"/>
      <c r="AO39" s="100"/>
      <c r="AP39" s="100"/>
      <c r="AQ39" s="100"/>
      <c r="AR39" s="100"/>
      <c r="AS39" s="100"/>
      <c r="AT39" s="100"/>
      <c r="AU39" s="100"/>
      <c r="AV39" s="100"/>
      <c r="AW39" s="100"/>
      <c r="AX39" s="100"/>
      <c r="AY39" s="100"/>
      <c r="AZ39" s="100"/>
      <c r="BA39" s="100"/>
      <c r="BB39" s="100"/>
      <c r="BC39" s="100"/>
      <c r="BD39" s="100"/>
      <c r="BE39" s="100"/>
      <c r="BF39" s="100"/>
      <c r="BG39" s="100"/>
      <c r="BH39" s="100"/>
      <c r="BI39" s="100"/>
      <c r="BJ39" s="100"/>
      <c r="BK39" s="100"/>
      <c r="BL39" s="100"/>
      <c r="BM39" s="100"/>
      <c r="BN39" s="100"/>
      <c r="BO39" s="100"/>
      <c r="BP39" s="100"/>
      <c r="BQ39" s="100"/>
      <c r="BR39" s="100"/>
      <c r="BS39" s="100"/>
      <c r="BT39" s="100"/>
      <c r="BU39" s="100"/>
      <c r="BV39" s="100"/>
      <c r="BW39" s="100"/>
      <c r="BX39" s="100"/>
      <c r="BY39" s="100"/>
      <c r="BZ39" s="100"/>
      <c r="CA39" s="100"/>
      <c r="CB39" s="100"/>
      <c r="CC39" s="100"/>
      <c r="CD39" s="100"/>
      <c r="CE39" s="100"/>
      <c r="CF39" s="100"/>
      <c r="CG39" s="100"/>
      <c r="CH39" s="100"/>
      <c r="CI39" s="100"/>
      <c r="CJ39" s="100"/>
      <c r="CK39" s="100"/>
      <c r="CL39" s="100"/>
      <c r="CM39" s="100"/>
      <c r="CN39" s="100"/>
      <c r="CO39" s="100"/>
      <c r="CP39" s="100"/>
      <c r="CQ39" s="100"/>
      <c r="CR39" s="100"/>
      <c r="CS39" s="100"/>
      <c r="CT39" s="100"/>
      <c r="CU39" s="100"/>
      <c r="CV39" s="100"/>
      <c r="CW39" s="100"/>
      <c r="CX39" s="100"/>
      <c r="CY39" s="100"/>
      <c r="CZ39" s="100"/>
      <c r="DA39" s="100"/>
      <c r="DB39" s="100"/>
      <c r="DC39" s="100"/>
      <c r="DD39" s="100"/>
      <c r="DE39" s="100"/>
      <c r="DF39" s="100"/>
      <c r="DG39" s="100"/>
      <c r="DH39" s="100"/>
      <c r="DI39" s="100"/>
      <c r="DJ39" s="100"/>
      <c r="DK39" s="100"/>
      <c r="DL39" s="100"/>
      <c r="DM39" s="100"/>
      <c r="DN39" s="100"/>
      <c r="DO39" s="100"/>
      <c r="DP39" s="100"/>
      <c r="DQ39" s="100"/>
      <c r="DR39" s="100"/>
      <c r="EF39" s="144"/>
      <c r="EG39" s="296"/>
    </row>
    <row r="40" ht="18.5">
      <c r="A40" s="150" t="s">
        <v>1210</v>
      </c>
      <c r="B40" s="305"/>
      <c r="EF40" s="144"/>
      <c r="EG40" s="296"/>
    </row>
    <row r="41" ht="14.5">
      <c r="A41" s="297" t="s">
        <v>1211</v>
      </c>
      <c r="B41" s="304"/>
      <c r="C41" s="306"/>
      <c r="D41" s="306"/>
      <c r="E41" s="306"/>
      <c r="F41" s="306"/>
      <c r="G41" s="306"/>
      <c r="H41" s="306"/>
      <c r="I41" s="306"/>
      <c r="J41" s="306"/>
      <c r="K41" s="306"/>
      <c r="L41" s="306"/>
      <c r="M41" s="306"/>
      <c r="N41" s="306"/>
      <c r="O41" s="306"/>
      <c r="P41" s="306"/>
      <c r="Q41" s="306"/>
      <c r="R41" s="306"/>
      <c r="S41" s="306"/>
      <c r="T41" s="306"/>
      <c r="U41" s="306"/>
      <c r="V41" s="306"/>
      <c r="W41" s="306"/>
      <c r="X41" s="306"/>
      <c r="Y41" s="306"/>
      <c r="Z41" s="306"/>
      <c r="AA41" s="306"/>
      <c r="AB41" s="306"/>
      <c r="AC41" s="306"/>
      <c r="AD41" s="306"/>
      <c r="AE41" s="306"/>
      <c r="AF41" s="306"/>
      <c r="AG41" s="306"/>
      <c r="AH41" s="306"/>
      <c r="AI41" s="306"/>
      <c r="AJ41" s="306"/>
      <c r="AK41" s="306"/>
      <c r="AL41" s="306"/>
      <c r="AM41" s="306"/>
      <c r="AN41" s="306"/>
      <c r="AO41" s="306"/>
      <c r="AP41" s="306"/>
      <c r="AQ41" s="306"/>
      <c r="AR41" s="306"/>
      <c r="AS41" s="306"/>
      <c r="AT41" s="306"/>
      <c r="AU41" s="306"/>
      <c r="AV41" s="306"/>
      <c r="AW41" s="306"/>
      <c r="AX41" s="306"/>
      <c r="AY41" s="306"/>
      <c r="AZ41" s="306"/>
      <c r="BA41" s="306"/>
      <c r="BB41" s="306"/>
      <c r="BC41" s="306"/>
      <c r="BD41" s="306"/>
      <c r="BE41" s="306"/>
      <c r="BF41" s="306"/>
      <c r="BG41" s="306"/>
      <c r="BH41" s="306"/>
      <c r="BI41" s="306"/>
      <c r="BJ41" s="306"/>
      <c r="BK41" s="306"/>
      <c r="BL41" s="306"/>
      <c r="BM41" s="306"/>
      <c r="BN41" s="306"/>
      <c r="BO41" s="306"/>
      <c r="BP41" s="306"/>
      <c r="BQ41" s="306"/>
      <c r="BR41" s="306"/>
      <c r="BS41" s="306"/>
      <c r="BT41" s="306"/>
      <c r="BU41" s="306"/>
      <c r="BV41" s="306"/>
      <c r="BW41" s="306"/>
      <c r="BX41" s="306"/>
      <c r="BY41" s="306"/>
      <c r="BZ41" s="306"/>
      <c r="CA41" s="306"/>
      <c r="CB41" s="306"/>
      <c r="CC41" s="306"/>
      <c r="CD41" s="306"/>
      <c r="CE41" s="306"/>
      <c r="CF41" s="306"/>
      <c r="CG41" s="306"/>
      <c r="CH41" s="306"/>
      <c r="CI41" s="306"/>
      <c r="CJ41" s="306"/>
      <c r="CK41" s="306"/>
      <c r="CL41" s="306"/>
      <c r="CM41" s="306"/>
      <c r="CN41" s="306"/>
      <c r="CO41" s="306"/>
      <c r="CP41" s="306"/>
      <c r="CQ41" s="306"/>
      <c r="CR41" s="306"/>
      <c r="CS41" s="306"/>
      <c r="CT41" s="306"/>
      <c r="CU41" s="306"/>
      <c r="CV41" s="306"/>
      <c r="CW41" s="306"/>
      <c r="CX41" s="306"/>
      <c r="CY41" s="306"/>
      <c r="CZ41" s="306"/>
      <c r="DA41" s="306"/>
      <c r="DB41" s="306"/>
      <c r="DC41" s="306"/>
      <c r="DD41" s="306"/>
      <c r="DE41" s="306"/>
      <c r="DF41" s="306"/>
      <c r="DG41" s="306"/>
      <c r="DH41" s="306"/>
      <c r="DI41" s="306"/>
      <c r="DJ41" s="306"/>
      <c r="DK41" s="306"/>
      <c r="DL41" s="306"/>
      <c r="DM41" s="306"/>
      <c r="DN41" s="306"/>
      <c r="DO41" s="306"/>
      <c r="DP41" s="306"/>
      <c r="DQ41" s="306"/>
      <c r="DR41" s="306"/>
      <c r="DT41" s="144">
        <f t="shared" ref="DT41:EC44" si="232">+SUMIF($C$3:$DR$3,DT$3,$C41:$DR41)</f>
        <v>0</v>
      </c>
      <c r="DU41" s="144">
        <f t="shared" si="232"/>
        <v>0</v>
      </c>
      <c r="DV41" s="144">
        <f t="shared" si="232"/>
        <v>0</v>
      </c>
      <c r="DW41" s="144">
        <f t="shared" si="232"/>
        <v>0</v>
      </c>
      <c r="DX41" s="144">
        <f t="shared" si="232"/>
        <v>0</v>
      </c>
      <c r="DY41" s="144">
        <f t="shared" si="232"/>
        <v>0</v>
      </c>
      <c r="DZ41" s="144">
        <f t="shared" si="232"/>
        <v>0</v>
      </c>
      <c r="EA41" s="144">
        <f t="shared" si="232"/>
        <v>0</v>
      </c>
      <c r="EB41" s="144">
        <f t="shared" si="232"/>
        <v>0</v>
      </c>
      <c r="EC41" s="144">
        <f t="shared" si="232"/>
        <v>0</v>
      </c>
      <c r="EF41" s="144"/>
      <c r="EG41" s="296"/>
    </row>
    <row r="42" ht="14.5">
      <c r="A42" s="297" t="s">
        <v>1212</v>
      </c>
      <c r="B42" s="304"/>
      <c r="C42" s="306"/>
      <c r="D42" s="306"/>
      <c r="E42" s="306"/>
      <c r="F42" s="306"/>
      <c r="G42" s="306"/>
      <c r="H42" s="306"/>
      <c r="I42" s="306"/>
      <c r="J42" s="306"/>
      <c r="K42" s="306"/>
      <c r="L42" s="306"/>
      <c r="M42" s="306"/>
      <c r="N42" s="306"/>
      <c r="O42" s="306"/>
      <c r="P42" s="306"/>
      <c r="Q42" s="306"/>
      <c r="R42" s="306"/>
      <c r="S42" s="306"/>
      <c r="T42" s="306"/>
      <c r="U42" s="306"/>
      <c r="V42" s="306"/>
      <c r="W42" s="306"/>
      <c r="X42" s="306"/>
      <c r="Y42" s="306"/>
      <c r="Z42" s="306"/>
      <c r="AA42" s="306"/>
      <c r="AB42" s="306"/>
      <c r="AC42" s="306"/>
      <c r="AD42" s="306"/>
      <c r="AE42" s="306"/>
      <c r="AF42" s="306"/>
      <c r="AG42" s="306"/>
      <c r="AH42" s="306"/>
      <c r="AI42" s="306"/>
      <c r="AJ42" s="306"/>
      <c r="AK42" s="306"/>
      <c r="AL42" s="306"/>
      <c r="AM42" s="306"/>
      <c r="AN42" s="306"/>
      <c r="AO42" s="306"/>
      <c r="AP42" s="306"/>
      <c r="AQ42" s="306"/>
      <c r="AR42" s="306"/>
      <c r="AS42" s="306"/>
      <c r="AT42" s="306"/>
      <c r="AU42" s="306"/>
      <c r="AV42" s="306"/>
      <c r="AW42" s="306"/>
      <c r="AX42" s="306"/>
      <c r="AY42" s="306"/>
      <c r="AZ42" s="306"/>
      <c r="BA42" s="306"/>
      <c r="BB42" s="306"/>
      <c r="BC42" s="306"/>
      <c r="BD42" s="306"/>
      <c r="BE42" s="306"/>
      <c r="BF42" s="306"/>
      <c r="BG42" s="306"/>
      <c r="BH42" s="306"/>
      <c r="BI42" s="306"/>
      <c r="BJ42" s="306"/>
      <c r="BK42" s="306"/>
      <c r="BL42" s="306"/>
      <c r="BM42" s="306"/>
      <c r="BN42" s="306"/>
      <c r="BO42" s="306"/>
      <c r="BP42" s="306"/>
      <c r="BQ42" s="306"/>
      <c r="BR42" s="306"/>
      <c r="BS42" s="306"/>
      <c r="BT42" s="306"/>
      <c r="BU42" s="306"/>
      <c r="BV42" s="306"/>
      <c r="BW42" s="306"/>
      <c r="BX42" s="306"/>
      <c r="BY42" s="306"/>
      <c r="BZ42" s="306"/>
      <c r="CA42" s="306"/>
      <c r="CB42" s="306"/>
      <c r="CC42" s="306"/>
      <c r="CD42" s="306"/>
      <c r="CE42" s="306"/>
      <c r="CF42" s="306"/>
      <c r="CG42" s="306"/>
      <c r="CH42" s="306"/>
      <c r="CI42" s="306"/>
      <c r="CJ42" s="306"/>
      <c r="CK42" s="306"/>
      <c r="CL42" s="306"/>
      <c r="CM42" s="306"/>
      <c r="CN42" s="306"/>
      <c r="CO42" s="306"/>
      <c r="CP42" s="306"/>
      <c r="CQ42" s="306"/>
      <c r="CR42" s="306"/>
      <c r="CS42" s="306"/>
      <c r="CT42" s="306"/>
      <c r="CU42" s="306"/>
      <c r="CV42" s="306"/>
      <c r="CW42" s="306"/>
      <c r="CX42" s="306"/>
      <c r="CY42" s="306"/>
      <c r="CZ42" s="306"/>
      <c r="DA42" s="306"/>
      <c r="DB42" s="306"/>
      <c r="DC42" s="306"/>
      <c r="DD42" s="306"/>
      <c r="DE42" s="306"/>
      <c r="DF42" s="306"/>
      <c r="DG42" s="306"/>
      <c r="DH42" s="306"/>
      <c r="DI42" s="306"/>
      <c r="DJ42" s="306"/>
      <c r="DK42" s="306"/>
      <c r="DL42" s="306"/>
      <c r="DM42" s="306"/>
      <c r="DN42" s="306"/>
      <c r="DO42" s="306"/>
      <c r="DP42" s="306"/>
      <c r="DQ42" s="306"/>
      <c r="DR42" s="306"/>
      <c r="DT42" s="144">
        <f t="shared" si="232"/>
        <v>0</v>
      </c>
      <c r="DU42" s="144">
        <f t="shared" si="232"/>
        <v>0</v>
      </c>
      <c r="DV42" s="144">
        <f t="shared" si="232"/>
        <v>0</v>
      </c>
      <c r="DW42" s="144">
        <f t="shared" si="232"/>
        <v>0</v>
      </c>
      <c r="DX42" s="144">
        <f t="shared" si="232"/>
        <v>0</v>
      </c>
      <c r="DY42" s="144">
        <f t="shared" si="232"/>
        <v>0</v>
      </c>
      <c r="DZ42" s="144">
        <f t="shared" si="232"/>
        <v>0</v>
      </c>
      <c r="EA42" s="144">
        <f t="shared" si="232"/>
        <v>0</v>
      </c>
      <c r="EB42" s="144">
        <f t="shared" si="232"/>
        <v>0</v>
      </c>
      <c r="EC42" s="144">
        <f t="shared" si="232"/>
        <v>0</v>
      </c>
      <c r="EF42" s="144"/>
      <c r="EG42" s="296"/>
    </row>
    <row r="43" ht="14.5">
      <c r="A43" s="297" t="s">
        <v>1213</v>
      </c>
      <c r="C43" s="144"/>
      <c r="D43" s="144"/>
      <c r="E43" s="144"/>
      <c r="F43" s="144"/>
      <c r="G43" s="144"/>
      <c r="H43" s="144"/>
      <c r="I43" s="144"/>
      <c r="J43" s="144"/>
      <c r="K43" s="144"/>
      <c r="L43" s="144"/>
      <c r="M43" s="144"/>
      <c r="N43" s="144"/>
      <c r="O43" s="144"/>
      <c r="P43" s="144"/>
      <c r="Q43" s="144"/>
      <c r="R43" s="144"/>
      <c r="S43" s="144"/>
      <c r="T43" s="144"/>
      <c r="U43" s="144"/>
      <c r="V43" s="144"/>
      <c r="W43" s="144"/>
      <c r="X43" s="144"/>
      <c r="Y43" s="144"/>
      <c r="Z43" s="144"/>
      <c r="AA43" s="144"/>
      <c r="AB43" s="144"/>
      <c r="AC43" s="144"/>
      <c r="AD43" s="144"/>
      <c r="AE43" s="144"/>
      <c r="AF43" s="144"/>
      <c r="AG43" s="144"/>
      <c r="AH43" s="144"/>
      <c r="AI43" s="144"/>
      <c r="AJ43" s="144"/>
      <c r="AK43" s="144"/>
      <c r="AL43" s="144"/>
      <c r="AM43" s="144"/>
      <c r="AN43" s="144"/>
      <c r="AO43" s="144"/>
      <c r="AP43" s="144"/>
      <c r="AQ43" s="144"/>
      <c r="AR43" s="144"/>
      <c r="AS43" s="144"/>
      <c r="AT43" s="144"/>
      <c r="AU43" s="144"/>
      <c r="AV43" s="144"/>
      <c r="AW43" s="144"/>
      <c r="AX43" s="144"/>
      <c r="AY43" s="144"/>
      <c r="AZ43" s="144"/>
      <c r="BA43" s="144"/>
      <c r="BB43" s="144"/>
      <c r="BC43" s="144"/>
      <c r="BD43" s="144"/>
      <c r="BE43" s="144"/>
      <c r="BF43" s="144"/>
      <c r="BG43" s="144"/>
      <c r="BH43" s="144"/>
      <c r="BI43" s="144"/>
      <c r="BJ43" s="144"/>
      <c r="BK43" s="144"/>
      <c r="BL43" s="144"/>
      <c r="BM43" s="144"/>
      <c r="BN43" s="144"/>
      <c r="BO43" s="144"/>
      <c r="BP43" s="144"/>
      <c r="BQ43" s="144"/>
      <c r="BR43" s="144"/>
      <c r="BS43" s="144"/>
      <c r="BT43" s="144"/>
      <c r="BU43" s="144"/>
      <c r="BV43" s="144"/>
      <c r="BW43" s="144"/>
      <c r="BX43" s="144"/>
      <c r="BY43" s="144"/>
      <c r="BZ43" s="144"/>
      <c r="CA43" s="144"/>
      <c r="CB43" s="144"/>
      <c r="CC43" s="144"/>
      <c r="CD43" s="144"/>
      <c r="CE43" s="144"/>
      <c r="CF43" s="144"/>
      <c r="CG43" s="144"/>
      <c r="CH43" s="144"/>
      <c r="CI43" s="144"/>
      <c r="CJ43" s="144"/>
      <c r="CK43" s="144"/>
      <c r="CL43" s="144"/>
      <c r="CM43" s="144"/>
      <c r="CN43" s="144"/>
      <c r="CO43" s="144"/>
      <c r="CP43" s="144"/>
      <c r="CQ43" s="144"/>
      <c r="CR43" s="144"/>
      <c r="CS43" s="144"/>
      <c r="CT43" s="144"/>
      <c r="CU43" s="144"/>
      <c r="CV43" s="144"/>
      <c r="CW43" s="144"/>
      <c r="CX43" s="144"/>
      <c r="CY43" s="144"/>
      <c r="CZ43" s="144"/>
      <c r="DA43" s="144"/>
      <c r="DB43" s="144"/>
      <c r="DC43" s="144"/>
      <c r="DD43" s="144"/>
      <c r="DE43" s="144"/>
      <c r="DF43" s="144"/>
      <c r="DG43" s="144"/>
      <c r="DH43" s="144"/>
      <c r="DI43" s="144"/>
      <c r="DJ43" s="144"/>
      <c r="DK43" s="144"/>
      <c r="DL43" s="144"/>
      <c r="DM43" s="144"/>
      <c r="DN43" s="144"/>
      <c r="DO43" s="144"/>
      <c r="DP43" s="144"/>
      <c r="DQ43" s="144"/>
      <c r="DR43" s="144"/>
      <c r="DT43" s="144">
        <f t="shared" si="232"/>
        <v>0</v>
      </c>
      <c r="DU43" s="144">
        <f t="shared" si="232"/>
        <v>0</v>
      </c>
      <c r="DV43" s="144">
        <f t="shared" si="232"/>
        <v>0</v>
      </c>
      <c r="DW43" s="144">
        <f t="shared" si="232"/>
        <v>0</v>
      </c>
      <c r="DX43" s="144">
        <f t="shared" si="232"/>
        <v>0</v>
      </c>
      <c r="DY43" s="144">
        <f t="shared" si="232"/>
        <v>0</v>
      </c>
      <c r="DZ43" s="144">
        <f t="shared" si="232"/>
        <v>0</v>
      </c>
      <c r="EA43" s="144">
        <f t="shared" si="232"/>
        <v>0</v>
      </c>
      <c r="EB43" s="144">
        <f t="shared" si="232"/>
        <v>0</v>
      </c>
      <c r="EC43" s="144">
        <f t="shared" si="232"/>
        <v>0</v>
      </c>
      <c r="EF43" s="144"/>
      <c r="EG43" s="296"/>
    </row>
    <row r="44" thickBot="1">
      <c r="A44" s="297" t="s">
        <v>1214</v>
      </c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  <c r="AK44" s="144"/>
      <c r="AL44" s="144"/>
      <c r="AM44" s="144"/>
      <c r="AN44" s="144"/>
      <c r="AO44" s="144"/>
      <c r="AP44" s="144"/>
      <c r="AQ44" s="144"/>
      <c r="AR44" s="144"/>
      <c r="AS44" s="144"/>
      <c r="AT44" s="144"/>
      <c r="AU44" s="144"/>
      <c r="AV44" s="144"/>
      <c r="AW44" s="144"/>
      <c r="AX44" s="144"/>
      <c r="AY44" s="144"/>
      <c r="AZ44" s="144"/>
      <c r="BA44" s="144"/>
      <c r="BB44" s="144"/>
      <c r="BC44" s="144"/>
      <c r="BD44" s="144"/>
      <c r="BE44" s="144"/>
      <c r="BF44" s="144"/>
      <c r="BG44" s="144"/>
      <c r="BH44" s="144"/>
      <c r="BI44" s="144"/>
      <c r="BJ44" s="144"/>
      <c r="BK44" s="144"/>
      <c r="BL44" s="144"/>
      <c r="BM44" s="144"/>
      <c r="BN44" s="144"/>
      <c r="BO44" s="144"/>
      <c r="BP44" s="144"/>
      <c r="BQ44" s="144"/>
      <c r="BR44" s="144"/>
      <c r="BS44" s="144"/>
      <c r="BT44" s="144"/>
      <c r="BU44" s="144"/>
      <c r="BV44" s="144"/>
      <c r="BW44" s="144"/>
      <c r="BX44" s="144"/>
      <c r="BY44" s="144"/>
      <c r="BZ44" s="144"/>
      <c r="CA44" s="144"/>
      <c r="CB44" s="144"/>
      <c r="CC44" s="144"/>
      <c r="CD44" s="144"/>
      <c r="CE44" s="144"/>
      <c r="CF44" s="144"/>
      <c r="CG44" s="144"/>
      <c r="CH44" s="144"/>
      <c r="CI44" s="144"/>
      <c r="CJ44" s="144"/>
      <c r="CK44" s="144"/>
      <c r="CL44" s="144"/>
      <c r="CM44" s="144"/>
      <c r="CN44" s="144"/>
      <c r="CO44" s="144"/>
      <c r="CP44" s="144"/>
      <c r="CQ44" s="144"/>
      <c r="CR44" s="144"/>
      <c r="CS44" s="144"/>
      <c r="CT44" s="144"/>
      <c r="CU44" s="144"/>
      <c r="CV44" s="144"/>
      <c r="CW44" s="144"/>
      <c r="CX44" s="144"/>
      <c r="CY44" s="144"/>
      <c r="CZ44" s="144"/>
      <c r="DA44" s="144"/>
      <c r="DB44" s="144"/>
      <c r="DC44" s="144"/>
      <c r="DD44" s="144"/>
      <c r="DE44" s="144"/>
      <c r="DF44" s="144"/>
      <c r="DG44" s="144"/>
      <c r="DH44" s="144"/>
      <c r="DI44" s="144"/>
      <c r="DJ44" s="144"/>
      <c r="DK44" s="144"/>
      <c r="DL44" s="144"/>
      <c r="DM44" s="144"/>
      <c r="DN44" s="144"/>
      <c r="DO44" s="144"/>
      <c r="DP44" s="144"/>
      <c r="DQ44" s="144"/>
      <c r="DR44" s="144"/>
      <c r="DT44" s="144">
        <f t="shared" si="232"/>
        <v>0</v>
      </c>
      <c r="DU44" s="144">
        <f t="shared" si="232"/>
        <v>0</v>
      </c>
      <c r="DV44" s="144">
        <f t="shared" si="232"/>
        <v>0</v>
      </c>
      <c r="DW44" s="144">
        <f t="shared" si="232"/>
        <v>0</v>
      </c>
      <c r="DX44" s="144">
        <f t="shared" si="232"/>
        <v>0</v>
      </c>
      <c r="DY44" s="144">
        <f t="shared" si="232"/>
        <v>0</v>
      </c>
      <c r="DZ44" s="144">
        <f t="shared" si="232"/>
        <v>0</v>
      </c>
      <c r="EA44" s="144">
        <f t="shared" si="232"/>
        <v>0</v>
      </c>
      <c r="EB44" s="144">
        <f t="shared" si="232"/>
        <v>0</v>
      </c>
      <c r="EC44" s="144">
        <f t="shared" si="232"/>
        <v>0</v>
      </c>
      <c r="EF44" s="144"/>
      <c r="EG44" s="296"/>
    </row>
    <row r="45" thickTop="1" thickBot="1" ht="18.75" customHeight="1">
      <c r="A45" s="293" t="s">
        <v>1215</v>
      </c>
      <c r="B45" s="294"/>
      <c r="C45" s="295">
        <f>+SUM(C41:C44)</f>
        <v>0</v>
      </c>
      <c r="D45" s="295">
        <f t="shared" ref="D45:BO45" si="233">+SUM(D41:D44)</f>
        <v>0</v>
      </c>
      <c r="E45" s="295">
        <f t="shared" si="233"/>
        <v>0</v>
      </c>
      <c r="F45" s="295">
        <f t="shared" si="233"/>
        <v>0</v>
      </c>
      <c r="G45" s="295">
        <f t="shared" si="233"/>
        <v>0</v>
      </c>
      <c r="H45" s="295">
        <f t="shared" si="233"/>
        <v>0</v>
      </c>
      <c r="I45" s="295">
        <f t="shared" si="233"/>
        <v>0</v>
      </c>
      <c r="J45" s="295">
        <f t="shared" si="233"/>
        <v>0</v>
      </c>
      <c r="K45" s="295">
        <f t="shared" si="233"/>
        <v>0</v>
      </c>
      <c r="L45" s="295">
        <f t="shared" si="233"/>
        <v>0</v>
      </c>
      <c r="M45" s="295">
        <f t="shared" si="233"/>
        <v>0</v>
      </c>
      <c r="N45" s="295">
        <f t="shared" si="233"/>
        <v>0</v>
      </c>
      <c r="O45" s="295">
        <f t="shared" si="233"/>
        <v>0</v>
      </c>
      <c r="P45" s="295">
        <f t="shared" si="233"/>
        <v>0</v>
      </c>
      <c r="Q45" s="295">
        <f t="shared" si="233"/>
        <v>0</v>
      </c>
      <c r="R45" s="295">
        <f t="shared" si="233"/>
        <v>0</v>
      </c>
      <c r="S45" s="295">
        <f t="shared" si="233"/>
        <v>0</v>
      </c>
      <c r="T45" s="295">
        <f t="shared" si="233"/>
        <v>0</v>
      </c>
      <c r="U45" s="295">
        <f t="shared" si="233"/>
        <v>0</v>
      </c>
      <c r="V45" s="295">
        <f t="shared" si="233"/>
        <v>0</v>
      </c>
      <c r="W45" s="295">
        <f t="shared" si="233"/>
        <v>0</v>
      </c>
      <c r="X45" s="295">
        <f t="shared" si="233"/>
        <v>0</v>
      </c>
      <c r="Y45" s="295">
        <f t="shared" si="233"/>
        <v>0</v>
      </c>
      <c r="Z45" s="295">
        <f t="shared" si="233"/>
        <v>0</v>
      </c>
      <c r="AA45" s="295">
        <f t="shared" si="233"/>
        <v>0</v>
      </c>
      <c r="AB45" s="295">
        <f t="shared" si="233"/>
        <v>0</v>
      </c>
      <c r="AC45" s="295">
        <f t="shared" si="233"/>
        <v>0</v>
      </c>
      <c r="AD45" s="295">
        <f t="shared" si="233"/>
        <v>0</v>
      </c>
      <c r="AE45" s="295">
        <f t="shared" si="233"/>
        <v>0</v>
      </c>
      <c r="AF45" s="295">
        <f t="shared" si="233"/>
        <v>0</v>
      </c>
      <c r="AG45" s="295">
        <f t="shared" si="233"/>
        <v>0</v>
      </c>
      <c r="AH45" s="295">
        <f t="shared" si="233"/>
        <v>0</v>
      </c>
      <c r="AI45" s="295">
        <f t="shared" si="233"/>
        <v>0</v>
      </c>
      <c r="AJ45" s="295">
        <f t="shared" si="233"/>
        <v>0</v>
      </c>
      <c r="AK45" s="295">
        <f t="shared" si="233"/>
        <v>0</v>
      </c>
      <c r="AL45" s="295">
        <f t="shared" si="233"/>
        <v>0</v>
      </c>
      <c r="AM45" s="295">
        <f t="shared" si="233"/>
        <v>0</v>
      </c>
      <c r="AN45" s="295">
        <f t="shared" si="233"/>
        <v>0</v>
      </c>
      <c r="AO45" s="295">
        <f t="shared" si="233"/>
        <v>0</v>
      </c>
      <c r="AP45" s="295">
        <f t="shared" si="233"/>
        <v>0</v>
      </c>
      <c r="AQ45" s="295">
        <f t="shared" si="233"/>
        <v>0</v>
      </c>
      <c r="AR45" s="295">
        <f t="shared" si="233"/>
        <v>0</v>
      </c>
      <c r="AS45" s="295">
        <f t="shared" si="233"/>
        <v>0</v>
      </c>
      <c r="AT45" s="295">
        <f t="shared" si="233"/>
        <v>0</v>
      </c>
      <c r="AU45" s="295">
        <f t="shared" si="233"/>
        <v>0</v>
      </c>
      <c r="AV45" s="295">
        <f t="shared" si="233"/>
        <v>0</v>
      </c>
      <c r="AW45" s="295">
        <f t="shared" si="233"/>
        <v>0</v>
      </c>
      <c r="AX45" s="295">
        <f t="shared" si="233"/>
        <v>0</v>
      </c>
      <c r="AY45" s="295">
        <f t="shared" si="233"/>
        <v>0</v>
      </c>
      <c r="AZ45" s="295">
        <f t="shared" si="233"/>
        <v>0</v>
      </c>
      <c r="BA45" s="295">
        <f t="shared" si="233"/>
        <v>0</v>
      </c>
      <c r="BB45" s="295">
        <f t="shared" si="233"/>
        <v>0</v>
      </c>
      <c r="BC45" s="295">
        <f t="shared" si="233"/>
        <v>0</v>
      </c>
      <c r="BD45" s="295">
        <f t="shared" si="233"/>
        <v>0</v>
      </c>
      <c r="BE45" s="295">
        <f t="shared" si="233"/>
        <v>0</v>
      </c>
      <c r="BF45" s="295">
        <f t="shared" si="233"/>
        <v>0</v>
      </c>
      <c r="BG45" s="295">
        <f t="shared" si="233"/>
        <v>0</v>
      </c>
      <c r="BH45" s="295">
        <f t="shared" si="233"/>
        <v>0</v>
      </c>
      <c r="BI45" s="295">
        <f t="shared" si="233"/>
        <v>0</v>
      </c>
      <c r="BJ45" s="295">
        <f t="shared" si="233"/>
        <v>0</v>
      </c>
      <c r="BK45" s="295">
        <f t="shared" si="233"/>
        <v>0</v>
      </c>
      <c r="BL45" s="295">
        <f t="shared" si="233"/>
        <v>0</v>
      </c>
      <c r="BM45" s="295">
        <f t="shared" si="233"/>
        <v>0</v>
      </c>
      <c r="BN45" s="295">
        <f t="shared" si="233"/>
        <v>0</v>
      </c>
      <c r="BO45" s="295">
        <f t="shared" si="233"/>
        <v>0</v>
      </c>
      <c r="BP45" s="295">
        <f t="shared" ref="BP45:DU45" si="234">+SUM(BP41:BP44)</f>
        <v>0</v>
      </c>
      <c r="BQ45" s="295">
        <f t="shared" si="234"/>
        <v>0</v>
      </c>
      <c r="BR45" s="295">
        <f t="shared" si="234"/>
        <v>0</v>
      </c>
      <c r="BS45" s="295">
        <f t="shared" si="234"/>
        <v>0</v>
      </c>
      <c r="BT45" s="295">
        <f t="shared" si="234"/>
        <v>0</v>
      </c>
      <c r="BU45" s="295">
        <f t="shared" si="234"/>
        <v>0</v>
      </c>
      <c r="BV45" s="295">
        <f t="shared" si="234"/>
        <v>0</v>
      </c>
      <c r="BW45" s="295">
        <f t="shared" si="234"/>
        <v>0</v>
      </c>
      <c r="BX45" s="295">
        <f t="shared" si="234"/>
        <v>0</v>
      </c>
      <c r="BY45" s="295">
        <f t="shared" si="234"/>
        <v>0</v>
      </c>
      <c r="BZ45" s="295">
        <f t="shared" si="234"/>
        <v>0</v>
      </c>
      <c r="CA45" s="295">
        <f t="shared" si="234"/>
        <v>0</v>
      </c>
      <c r="CB45" s="295">
        <f t="shared" si="234"/>
        <v>0</v>
      </c>
      <c r="CC45" s="295">
        <f t="shared" si="234"/>
        <v>0</v>
      </c>
      <c r="CD45" s="295">
        <f t="shared" si="234"/>
        <v>0</v>
      </c>
      <c r="CE45" s="295">
        <f t="shared" si="234"/>
        <v>0</v>
      </c>
      <c r="CF45" s="295">
        <f t="shared" si="234"/>
        <v>0</v>
      </c>
      <c r="CG45" s="295">
        <f t="shared" si="234"/>
        <v>0</v>
      </c>
      <c r="CH45" s="295">
        <f t="shared" si="234"/>
        <v>0</v>
      </c>
      <c r="CI45" s="295">
        <f t="shared" si="234"/>
        <v>0</v>
      </c>
      <c r="CJ45" s="295">
        <f t="shared" si="234"/>
        <v>0</v>
      </c>
      <c r="CK45" s="295">
        <f t="shared" si="234"/>
        <v>0</v>
      </c>
      <c r="CL45" s="295">
        <f t="shared" si="234"/>
        <v>0</v>
      </c>
      <c r="CM45" s="295">
        <f t="shared" si="234"/>
        <v>0</v>
      </c>
      <c r="CN45" s="295">
        <f t="shared" si="234"/>
        <v>0</v>
      </c>
      <c r="CO45" s="295">
        <f t="shared" si="234"/>
        <v>0</v>
      </c>
      <c r="CP45" s="295">
        <f t="shared" si="234"/>
        <v>0</v>
      </c>
      <c r="CQ45" s="295">
        <f t="shared" si="234"/>
        <v>0</v>
      </c>
      <c r="CR45" s="295">
        <f t="shared" si="234"/>
        <v>0</v>
      </c>
      <c r="CS45" s="295">
        <f t="shared" si="234"/>
        <v>0</v>
      </c>
      <c r="CT45" s="295">
        <f t="shared" si="234"/>
        <v>0</v>
      </c>
      <c r="CU45" s="295">
        <f t="shared" si="234"/>
        <v>0</v>
      </c>
      <c r="CV45" s="295">
        <f t="shared" si="234"/>
        <v>0</v>
      </c>
      <c r="CW45" s="295">
        <f t="shared" si="234"/>
        <v>0</v>
      </c>
      <c r="CX45" s="295">
        <f t="shared" si="234"/>
        <v>0</v>
      </c>
      <c r="CY45" s="295">
        <f t="shared" si="234"/>
        <v>0</v>
      </c>
      <c r="CZ45" s="295">
        <f t="shared" si="234"/>
        <v>0</v>
      </c>
      <c r="DA45" s="295">
        <f t="shared" si="234"/>
        <v>0</v>
      </c>
      <c r="DB45" s="295">
        <f t="shared" si="234"/>
        <v>0</v>
      </c>
      <c r="DC45" s="295">
        <f t="shared" si="234"/>
        <v>0</v>
      </c>
      <c r="DD45" s="295">
        <f t="shared" si="234"/>
        <v>0</v>
      </c>
      <c r="DE45" s="295">
        <f t="shared" si="234"/>
        <v>0</v>
      </c>
      <c r="DF45" s="295">
        <f t="shared" si="234"/>
        <v>0</v>
      </c>
      <c r="DG45" s="295">
        <f t="shared" si="234"/>
        <v>0</v>
      </c>
      <c r="DH45" s="295">
        <f t="shared" si="234"/>
        <v>0</v>
      </c>
      <c r="DI45" s="295">
        <f t="shared" si="234"/>
        <v>0</v>
      </c>
      <c r="DJ45" s="295">
        <f t="shared" si="234"/>
        <v>0</v>
      </c>
      <c r="DK45" s="295">
        <f t="shared" si="234"/>
        <v>0</v>
      </c>
      <c r="DL45" s="295">
        <f t="shared" si="234"/>
        <v>0</v>
      </c>
      <c r="DM45" s="295">
        <f t="shared" si="234"/>
        <v>0</v>
      </c>
      <c r="DN45" s="295">
        <f t="shared" si="234"/>
        <v>0</v>
      </c>
      <c r="DO45" s="295">
        <f t="shared" si="234"/>
        <v>0</v>
      </c>
      <c r="DP45" s="295">
        <f t="shared" si="234"/>
        <v>0</v>
      </c>
      <c r="DQ45" s="295">
        <f t="shared" si="234"/>
        <v>0</v>
      </c>
      <c r="DR45" s="295">
        <f t="shared" si="234"/>
        <v>0</v>
      </c>
      <c r="DT45" s="295">
        <f t="shared" si="234"/>
        <v>0</v>
      </c>
      <c r="DU45" s="295">
        <f t="shared" si="234"/>
        <v>0</v>
      </c>
      <c r="DV45" s="295">
        <f t="shared" ref="DV45:EC45" si="235">+SUM(DV41:DV44)</f>
        <v>0</v>
      </c>
      <c r="DW45" s="295">
        <f t="shared" si="235"/>
        <v>0</v>
      </c>
      <c r="DX45" s="295">
        <f t="shared" si="235"/>
        <v>0</v>
      </c>
      <c r="DY45" s="295">
        <f t="shared" si="235"/>
        <v>0</v>
      </c>
      <c r="DZ45" s="295">
        <f t="shared" si="235"/>
        <v>0</v>
      </c>
      <c r="EA45" s="295">
        <f t="shared" si="235"/>
        <v>0</v>
      </c>
      <c r="EB45" s="295">
        <f t="shared" si="235"/>
        <v>0</v>
      </c>
      <c r="EC45" s="295">
        <f t="shared" si="235"/>
        <v>0</v>
      </c>
      <c r="EF45" s="144"/>
      <c r="EG45" s="296"/>
    </row>
    <row r="46" thickTop="1">
      <c r="A46" s="304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  <c r="AF46" s="100"/>
      <c r="AG46" s="100"/>
      <c r="AH46" s="100"/>
      <c r="AI46" s="100"/>
      <c r="AJ46" s="100"/>
      <c r="AK46" s="100"/>
      <c r="AL46" s="100"/>
      <c r="AM46" s="100"/>
      <c r="AN46" s="100"/>
      <c r="AO46" s="100"/>
      <c r="AP46" s="100"/>
      <c r="AQ46" s="100"/>
      <c r="AR46" s="100"/>
      <c r="AS46" s="100"/>
      <c r="AT46" s="100"/>
      <c r="AU46" s="100"/>
      <c r="AV46" s="100"/>
      <c r="AW46" s="100"/>
      <c r="AX46" s="100"/>
      <c r="AY46" s="100"/>
      <c r="AZ46" s="100"/>
      <c r="BA46" s="100"/>
      <c r="BB46" s="100"/>
      <c r="BC46" s="100"/>
      <c r="BD46" s="100"/>
      <c r="BE46" s="100"/>
      <c r="BF46" s="100"/>
      <c r="BG46" s="100"/>
      <c r="BH46" s="100"/>
      <c r="BI46" s="100"/>
      <c r="BJ46" s="100"/>
      <c r="BK46" s="100"/>
      <c r="BL46" s="100"/>
      <c r="BM46" s="100"/>
      <c r="BN46" s="100"/>
      <c r="BO46" s="100"/>
      <c r="BP46" s="100"/>
      <c r="BQ46" s="100"/>
      <c r="BR46" s="100"/>
      <c r="BS46" s="100"/>
      <c r="BT46" s="100"/>
      <c r="BU46" s="100"/>
      <c r="BV46" s="100"/>
      <c r="BW46" s="100"/>
      <c r="BX46" s="100"/>
      <c r="BY46" s="100"/>
      <c r="BZ46" s="100"/>
      <c r="CA46" s="100"/>
      <c r="CB46" s="100"/>
      <c r="CC46" s="100"/>
      <c r="CD46" s="100"/>
      <c r="CE46" s="100"/>
      <c r="CF46" s="100"/>
      <c r="CG46" s="100"/>
      <c r="CH46" s="100"/>
      <c r="CI46" s="100"/>
      <c r="CJ46" s="100"/>
      <c r="CK46" s="100"/>
      <c r="CL46" s="100"/>
      <c r="CM46" s="100"/>
      <c r="CN46" s="100"/>
      <c r="CO46" s="100"/>
      <c r="CP46" s="100"/>
      <c r="CQ46" s="100"/>
      <c r="CR46" s="100"/>
      <c r="CS46" s="100"/>
      <c r="CT46" s="100"/>
      <c r="CU46" s="100"/>
      <c r="CV46" s="100"/>
      <c r="CW46" s="100"/>
      <c r="CX46" s="100"/>
      <c r="CY46" s="100"/>
      <c r="CZ46" s="100"/>
      <c r="DA46" s="100"/>
      <c r="DB46" s="100"/>
      <c r="DC46" s="100"/>
      <c r="DD46" s="100"/>
      <c r="DE46" s="100"/>
      <c r="DF46" s="100"/>
      <c r="DG46" s="100"/>
      <c r="DH46" s="100"/>
      <c r="DI46" s="100"/>
      <c r="DJ46" s="100"/>
      <c r="DK46" s="100"/>
      <c r="DL46" s="100"/>
      <c r="DM46" s="100"/>
      <c r="DN46" s="100"/>
      <c r="DO46" s="100"/>
      <c r="DP46" s="100"/>
      <c r="DQ46" s="100"/>
      <c r="DR46" s="100"/>
      <c r="EF46" s="144"/>
      <c r="EG46" s="296"/>
    </row>
    <row r="47" ht="18.5">
      <c r="A47" s="150" t="s">
        <v>1216</v>
      </c>
      <c r="B47" s="292"/>
      <c r="EF47" s="144"/>
      <c r="EG47" s="296"/>
    </row>
    <row r="48" ht="14.5">
      <c r="A48" s="297" t="s">
        <v>1217</v>
      </c>
      <c r="C48" s="144"/>
      <c r="D48" s="144"/>
      <c r="E48" s="144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Q48" s="144"/>
      <c r="R48" s="144"/>
      <c r="S48" s="144"/>
      <c r="T48" s="144"/>
      <c r="U48" s="144"/>
      <c r="V48" s="144"/>
      <c r="W48" s="144"/>
      <c r="X48" s="144"/>
      <c r="Y48" s="144"/>
      <c r="Z48" s="144"/>
      <c r="AA48" s="144"/>
      <c r="AB48" s="144"/>
      <c r="AC48" s="144"/>
      <c r="AD48" s="144"/>
      <c r="AE48" s="144"/>
      <c r="AF48" s="144"/>
      <c r="AG48" s="144"/>
      <c r="AH48" s="144"/>
      <c r="AI48" s="144"/>
      <c r="AJ48" s="144"/>
      <c r="AK48" s="144"/>
      <c r="AL48" s="144"/>
      <c r="AM48" s="144"/>
      <c r="AN48" s="144"/>
      <c r="AO48" s="144"/>
      <c r="AP48" s="144"/>
      <c r="AQ48" s="144"/>
      <c r="AR48" s="144"/>
      <c r="AS48" s="144"/>
      <c r="AT48" s="144"/>
      <c r="AU48" s="144"/>
      <c r="AV48" s="144"/>
      <c r="AW48" s="144"/>
      <c r="AX48" s="144"/>
      <c r="AY48" s="144"/>
      <c r="AZ48" s="144"/>
      <c r="BA48" s="144"/>
      <c r="BB48" s="144"/>
      <c r="BC48" s="144"/>
      <c r="BD48" s="144"/>
      <c r="BE48" s="144"/>
      <c r="BF48" s="144"/>
      <c r="BG48" s="144"/>
      <c r="BH48" s="144"/>
      <c r="BI48" s="144"/>
      <c r="BJ48" s="144"/>
      <c r="BK48" s="144"/>
      <c r="BL48" s="144"/>
      <c r="BM48" s="144"/>
      <c r="BN48" s="144"/>
      <c r="BO48" s="144"/>
      <c r="BP48" s="144"/>
      <c r="BQ48" s="144"/>
      <c r="BR48" s="144"/>
      <c r="BS48" s="144"/>
      <c r="BT48" s="144"/>
      <c r="BU48" s="144"/>
      <c r="BV48" s="144"/>
      <c r="BW48" s="144"/>
      <c r="BX48" s="144"/>
      <c r="BY48" s="144"/>
      <c r="BZ48" s="144"/>
      <c r="CA48" s="144"/>
      <c r="CB48" s="144"/>
      <c r="CC48" s="144"/>
      <c r="CD48" s="144"/>
      <c r="CE48" s="144"/>
      <c r="CF48" s="144"/>
      <c r="CG48" s="144"/>
      <c r="CH48" s="144"/>
      <c r="CI48" s="144"/>
      <c r="CJ48" s="144"/>
      <c r="CK48" s="144"/>
      <c r="CL48" s="144"/>
      <c r="CM48" s="144"/>
      <c r="CN48" s="144"/>
      <c r="CO48" s="144"/>
      <c r="CP48" s="144"/>
      <c r="CQ48" s="144"/>
      <c r="CR48" s="144"/>
      <c r="CS48" s="144"/>
      <c r="CT48" s="144"/>
      <c r="CU48" s="144"/>
      <c r="CV48" s="144"/>
      <c r="CW48" s="144"/>
      <c r="CX48" s="144"/>
      <c r="CY48" s="144"/>
      <c r="CZ48" s="144"/>
      <c r="DA48" s="144"/>
      <c r="DB48" s="144"/>
      <c r="DC48" s="144"/>
      <c r="DD48" s="144"/>
      <c r="DE48" s="144"/>
      <c r="DF48" s="144"/>
      <c r="DG48" s="144"/>
      <c r="DH48" s="144"/>
      <c r="DI48" s="144"/>
      <c r="DJ48" s="144"/>
      <c r="DK48" s="144"/>
      <c r="DL48" s="144"/>
      <c r="DM48" s="144"/>
      <c r="DN48" s="144"/>
      <c r="DO48" s="144"/>
      <c r="DP48" s="144"/>
      <c r="DQ48" s="144"/>
      <c r="DR48" s="144"/>
      <c r="DT48" s="144">
        <f t="shared" ref="DT48:EC49" si="236">+SUMIF($C$3:$DR$3,DT$3,$C48:$DR48)</f>
        <v>0</v>
      </c>
      <c r="DU48" s="144">
        <f t="shared" si="236"/>
        <v>0</v>
      </c>
      <c r="DV48" s="144">
        <f t="shared" si="236"/>
        <v>0</v>
      </c>
      <c r="DW48" s="144">
        <f t="shared" si="236"/>
        <v>0</v>
      </c>
      <c r="DX48" s="144">
        <f t="shared" si="236"/>
        <v>0</v>
      </c>
      <c r="DY48" s="144">
        <f t="shared" si="236"/>
        <v>0</v>
      </c>
      <c r="DZ48" s="144">
        <f t="shared" si="236"/>
        <v>0</v>
      </c>
      <c r="EA48" s="144">
        <f t="shared" si="236"/>
        <v>0</v>
      </c>
      <c r="EB48" s="144">
        <f t="shared" si="236"/>
        <v>0</v>
      </c>
      <c r="EC48" s="144">
        <f t="shared" si="236"/>
        <v>0</v>
      </c>
      <c r="EF48" s="144"/>
      <c r="EG48" s="296"/>
    </row>
    <row r="49" thickBot="1">
      <c r="A49" s="297" t="s">
        <v>1218</v>
      </c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4"/>
      <c r="T49" s="144"/>
      <c r="U49" s="144"/>
      <c r="V49" s="144"/>
      <c r="W49" s="144"/>
      <c r="X49" s="144"/>
      <c r="Y49" s="144"/>
      <c r="Z49" s="144"/>
      <c r="AA49" s="144"/>
      <c r="AB49" s="144"/>
      <c r="AC49" s="144"/>
      <c r="AD49" s="144"/>
      <c r="AE49" s="144"/>
      <c r="AF49" s="144"/>
      <c r="AG49" s="144"/>
      <c r="AH49" s="144"/>
      <c r="AI49" s="144"/>
      <c r="AJ49" s="144"/>
      <c r="AK49" s="144"/>
      <c r="AL49" s="144"/>
      <c r="AM49" s="144"/>
      <c r="AN49" s="144"/>
      <c r="AO49" s="144"/>
      <c r="AP49" s="144"/>
      <c r="AQ49" s="144"/>
      <c r="AR49" s="144"/>
      <c r="AS49" s="144"/>
      <c r="AT49" s="144"/>
      <c r="AU49" s="144"/>
      <c r="AV49" s="144"/>
      <c r="AW49" s="144"/>
      <c r="AX49" s="144"/>
      <c r="AY49" s="144"/>
      <c r="AZ49" s="144"/>
      <c r="BA49" s="144"/>
      <c r="BB49" s="144"/>
      <c r="BC49" s="144"/>
      <c r="BD49" s="144"/>
      <c r="BE49" s="144"/>
      <c r="BF49" s="144"/>
      <c r="BG49" s="144"/>
      <c r="BH49" s="144"/>
      <c r="BI49" s="144"/>
      <c r="BJ49" s="144"/>
      <c r="BK49" s="144"/>
      <c r="BL49" s="144"/>
      <c r="BM49" s="144"/>
      <c r="BN49" s="144"/>
      <c r="BO49" s="144"/>
      <c r="BP49" s="144"/>
      <c r="BQ49" s="144"/>
      <c r="BR49" s="144"/>
      <c r="BS49" s="144"/>
      <c r="BT49" s="144"/>
      <c r="BU49" s="144"/>
      <c r="BV49" s="144"/>
      <c r="BW49" s="144"/>
      <c r="BX49" s="144"/>
      <c r="BY49" s="144"/>
      <c r="BZ49" s="144"/>
      <c r="CA49" s="144"/>
      <c r="CB49" s="144"/>
      <c r="CC49" s="144"/>
      <c r="CD49" s="144"/>
      <c r="CE49" s="144"/>
      <c r="CF49" s="144"/>
      <c r="CG49" s="144"/>
      <c r="CH49" s="144"/>
      <c r="CI49" s="144"/>
      <c r="CJ49" s="144"/>
      <c r="CK49" s="144"/>
      <c r="CL49" s="144"/>
      <c r="CM49" s="144"/>
      <c r="CN49" s="144"/>
      <c r="CO49" s="144"/>
      <c r="CP49" s="144"/>
      <c r="CQ49" s="144"/>
      <c r="CR49" s="144"/>
      <c r="CS49" s="144"/>
      <c r="CT49" s="144"/>
      <c r="CU49" s="144"/>
      <c r="CV49" s="144"/>
      <c r="CW49" s="144"/>
      <c r="CX49" s="144"/>
      <c r="CY49" s="144"/>
      <c r="CZ49" s="144"/>
      <c r="DA49" s="144"/>
      <c r="DB49" s="144"/>
      <c r="DC49" s="144"/>
      <c r="DD49" s="144"/>
      <c r="DE49" s="144"/>
      <c r="DF49" s="144"/>
      <c r="DG49" s="144"/>
      <c r="DH49" s="144"/>
      <c r="DI49" s="144"/>
      <c r="DJ49" s="144"/>
      <c r="DK49" s="144"/>
      <c r="DL49" s="144"/>
      <c r="DM49" s="144"/>
      <c r="DN49" s="144"/>
      <c r="DO49" s="144"/>
      <c r="DP49" s="144"/>
      <c r="DQ49" s="144"/>
      <c r="DR49" s="144"/>
      <c r="DT49" s="144">
        <f t="shared" si="236"/>
        <v>0</v>
      </c>
      <c r="DU49" s="144">
        <f t="shared" si="236"/>
        <v>0</v>
      </c>
      <c r="DV49" s="144">
        <f t="shared" si="236"/>
        <v>0</v>
      </c>
      <c r="DW49" s="144">
        <f t="shared" si="236"/>
        <v>0</v>
      </c>
      <c r="DX49" s="144">
        <f t="shared" si="236"/>
        <v>0</v>
      </c>
      <c r="DY49" s="144">
        <f t="shared" si="236"/>
        <v>0</v>
      </c>
      <c r="DZ49" s="144">
        <f t="shared" si="236"/>
        <v>0</v>
      </c>
      <c r="EA49" s="144">
        <f t="shared" si="236"/>
        <v>0</v>
      </c>
      <c r="EB49" s="144">
        <f t="shared" si="236"/>
        <v>0</v>
      </c>
      <c r="EC49" s="144">
        <f t="shared" si="236"/>
        <v>0</v>
      </c>
      <c r="EF49" s="144"/>
      <c r="EG49" s="296"/>
    </row>
    <row r="50" thickTop="1" thickBot="1" ht="18.75" customHeight="1">
      <c r="A50" s="293" t="s">
        <v>1219</v>
      </c>
      <c r="B50" s="294"/>
      <c r="C50" s="295">
        <f>+C48+C49</f>
        <v>0</v>
      </c>
      <c r="D50" s="295">
        <f t="shared" ref="D50:I50" si="237">+D48+D49</f>
        <v>0</v>
      </c>
      <c r="E50" s="295">
        <f t="shared" si="237"/>
        <v>0</v>
      </c>
      <c r="F50" s="295">
        <f t="shared" si="237"/>
        <v>0</v>
      </c>
      <c r="G50" s="295">
        <f t="shared" si="237"/>
        <v>0</v>
      </c>
      <c r="H50" s="295">
        <f t="shared" si="237"/>
        <v>0</v>
      </c>
      <c r="I50" s="295">
        <f t="shared" si="237"/>
        <v>0</v>
      </c>
      <c r="J50" s="295">
        <f t="shared" ref="J50" si="238">+J48+J49</f>
        <v>0</v>
      </c>
      <c r="K50" s="295">
        <f t="shared" ref="K50" si="239">+K48+K49</f>
        <v>0</v>
      </c>
      <c r="L50" s="295">
        <f t="shared" ref="L50" si="240">+L48+L49</f>
        <v>0</v>
      </c>
      <c r="M50" s="295">
        <f t="shared" ref="M50" si="241">+M48+M49</f>
        <v>0</v>
      </c>
      <c r="N50" s="295">
        <f t="shared" ref="N50:O50" si="242">+N48+N49</f>
        <v>0</v>
      </c>
      <c r="O50" s="295">
        <f t="shared" si="242"/>
        <v>0</v>
      </c>
      <c r="P50" s="295">
        <f t="shared" ref="P50" si="243">+P48+P49</f>
        <v>0</v>
      </c>
      <c r="Q50" s="295">
        <f t="shared" ref="Q50" si="244">+Q48+Q49</f>
        <v>0</v>
      </c>
      <c r="R50" s="295">
        <f t="shared" ref="R50" si="245">+R48+R49</f>
        <v>0</v>
      </c>
      <c r="S50" s="295">
        <f t="shared" ref="S50" si="246">+S48+S49</f>
        <v>0</v>
      </c>
      <c r="T50" s="295">
        <f t="shared" ref="T50:U50" si="247">+T48+T49</f>
        <v>0</v>
      </c>
      <c r="U50" s="295">
        <f t="shared" si="247"/>
        <v>0</v>
      </c>
      <c r="V50" s="295">
        <f t="shared" ref="V50" si="248">+V48+V49</f>
        <v>0</v>
      </c>
      <c r="W50" s="295">
        <f t="shared" ref="W50" si="249">+W48+W49</f>
        <v>0</v>
      </c>
      <c r="X50" s="295">
        <f t="shared" ref="X50" si="250">+X48+X49</f>
        <v>0</v>
      </c>
      <c r="Y50" s="295">
        <f t="shared" ref="Y50" si="251">+Y48+Y49</f>
        <v>0</v>
      </c>
      <c r="Z50" s="295">
        <f t="shared" ref="Z50:AA50" si="252">+Z48+Z49</f>
        <v>0</v>
      </c>
      <c r="AA50" s="295">
        <f t="shared" si="252"/>
        <v>0</v>
      </c>
      <c r="AB50" s="295">
        <f t="shared" ref="AB50" si="253">+AB48+AB49</f>
        <v>0</v>
      </c>
      <c r="AC50" s="295">
        <f t="shared" ref="AC50" si="254">+AC48+AC49</f>
        <v>0</v>
      </c>
      <c r="AD50" s="295">
        <f t="shared" ref="AD50" si="255">+AD48+AD49</f>
        <v>0</v>
      </c>
      <c r="AE50" s="295">
        <f t="shared" ref="AE50" si="256">+AE48+AE49</f>
        <v>0</v>
      </c>
      <c r="AF50" s="295">
        <f t="shared" ref="AF50:AG50" si="257">+AF48+AF49</f>
        <v>0</v>
      </c>
      <c r="AG50" s="295">
        <f t="shared" si="257"/>
        <v>0</v>
      </c>
      <c r="AH50" s="295">
        <f t="shared" ref="AH50" si="258">+AH48+AH49</f>
        <v>0</v>
      </c>
      <c r="AI50" s="295">
        <f t="shared" ref="AI50" si="259">+AI48+AI49</f>
        <v>0</v>
      </c>
      <c r="AJ50" s="295">
        <f t="shared" ref="AJ50" si="260">+AJ48+AJ49</f>
        <v>0</v>
      </c>
      <c r="AK50" s="295">
        <f t="shared" ref="AK50" si="261">+AK48+AK49</f>
        <v>0</v>
      </c>
      <c r="AL50" s="295">
        <f t="shared" ref="AL50:AM50" si="262">+AL48+AL49</f>
        <v>0</v>
      </c>
      <c r="AM50" s="295">
        <f t="shared" si="262"/>
        <v>0</v>
      </c>
      <c r="AN50" s="295">
        <f t="shared" ref="AN50" si="263">+AN48+AN49</f>
        <v>0</v>
      </c>
      <c r="AO50" s="295">
        <f t="shared" ref="AO50" si="264">+AO48+AO49</f>
        <v>0</v>
      </c>
      <c r="AP50" s="295">
        <f t="shared" ref="AP50" si="265">+AP48+AP49</f>
        <v>0</v>
      </c>
      <c r="AQ50" s="295">
        <f t="shared" ref="AQ50" si="266">+AQ48+AQ49</f>
        <v>0</v>
      </c>
      <c r="AR50" s="295">
        <f t="shared" ref="AR50:AS50" si="267">+AR48+AR49</f>
        <v>0</v>
      </c>
      <c r="AS50" s="295">
        <f t="shared" si="267"/>
        <v>0</v>
      </c>
      <c r="AT50" s="295">
        <f t="shared" ref="AT50" si="268">+AT48+AT49</f>
        <v>0</v>
      </c>
      <c r="AU50" s="295">
        <f t="shared" ref="AU50" si="269">+AU48+AU49</f>
        <v>0</v>
      </c>
      <c r="AV50" s="295">
        <f t="shared" ref="AV50" si="270">+AV48+AV49</f>
        <v>0</v>
      </c>
      <c r="AW50" s="295">
        <f t="shared" ref="AW50" si="271">+AW48+AW49</f>
        <v>0</v>
      </c>
      <c r="AX50" s="295">
        <f t="shared" ref="AX50:AY50" si="272">+AX48+AX49</f>
        <v>0</v>
      </c>
      <c r="AY50" s="295">
        <f t="shared" si="272"/>
        <v>0</v>
      </c>
      <c r="AZ50" s="295">
        <f t="shared" ref="AZ50" si="273">+AZ48+AZ49</f>
        <v>0</v>
      </c>
      <c r="BA50" s="295">
        <f t="shared" ref="BA50" si="274">+BA48+BA49</f>
        <v>0</v>
      </c>
      <c r="BB50" s="295">
        <f t="shared" ref="BB50" si="275">+BB48+BB49</f>
        <v>0</v>
      </c>
      <c r="BC50" s="295">
        <f t="shared" ref="BC50" si="276">+BC48+BC49</f>
        <v>0</v>
      </c>
      <c r="BD50" s="295">
        <f t="shared" ref="BD50:BE50" si="277">+BD48+BD49</f>
        <v>0</v>
      </c>
      <c r="BE50" s="295">
        <f t="shared" si="277"/>
        <v>0</v>
      </c>
      <c r="BF50" s="295">
        <f t="shared" ref="BF50" si="278">+BF48+BF49</f>
        <v>0</v>
      </c>
      <c r="BG50" s="295">
        <f t="shared" ref="BG50" si="279">+BG48+BG49</f>
        <v>0</v>
      </c>
      <c r="BH50" s="295">
        <f t="shared" ref="BH50" si="280">+BH48+BH49</f>
        <v>0</v>
      </c>
      <c r="BI50" s="295">
        <f t="shared" ref="BI50" si="281">+BI48+BI49</f>
        <v>0</v>
      </c>
      <c r="BJ50" s="295">
        <f t="shared" ref="BJ50:BK50" si="282">+BJ48+BJ49</f>
        <v>0</v>
      </c>
      <c r="BK50" s="295">
        <f t="shared" si="282"/>
        <v>0</v>
      </c>
      <c r="BL50" s="295">
        <f t="shared" ref="BL50" si="283">+BL48+BL49</f>
        <v>0</v>
      </c>
      <c r="BM50" s="295">
        <f t="shared" ref="BM50" si="284">+BM48+BM49</f>
        <v>0</v>
      </c>
      <c r="BN50" s="295">
        <f t="shared" ref="BN50" si="285">+BN48+BN49</f>
        <v>0</v>
      </c>
      <c r="BO50" s="295">
        <f t="shared" ref="BO50" si="286">+BO48+BO49</f>
        <v>0</v>
      </c>
      <c r="BP50" s="295">
        <f t="shared" ref="BP50:BQ50" si="287">+BP48+BP49</f>
        <v>0</v>
      </c>
      <c r="BQ50" s="295">
        <f t="shared" si="287"/>
        <v>0</v>
      </c>
      <c r="BR50" s="295">
        <f t="shared" ref="BR50" si="288">+BR48+BR49</f>
        <v>0</v>
      </c>
      <c r="BS50" s="295">
        <f t="shared" ref="BS50" si="289">+BS48+BS49</f>
        <v>0</v>
      </c>
      <c r="BT50" s="295">
        <f t="shared" ref="BT50" si="290">+BT48+BT49</f>
        <v>0</v>
      </c>
      <c r="BU50" s="295">
        <f t="shared" ref="BU50" si="291">+BU48+BU49</f>
        <v>0</v>
      </c>
      <c r="BV50" s="295">
        <f t="shared" ref="BV50:BW50" si="292">+BV48+BV49</f>
        <v>0</v>
      </c>
      <c r="BW50" s="295">
        <f t="shared" si="292"/>
        <v>0</v>
      </c>
      <c r="BX50" s="295">
        <f t="shared" ref="BX50" si="293">+BX48+BX49</f>
        <v>0</v>
      </c>
      <c r="BY50" s="295">
        <f t="shared" ref="BY50" si="294">+BY48+BY49</f>
        <v>0</v>
      </c>
      <c r="BZ50" s="295">
        <f t="shared" ref="BZ50" si="295">+BZ48+BZ49</f>
        <v>0</v>
      </c>
      <c r="CA50" s="295">
        <f t="shared" ref="CA50" si="296">+CA48+CA49</f>
        <v>0</v>
      </c>
      <c r="CB50" s="295">
        <f t="shared" ref="CB50:CC50" si="297">+CB48+CB49</f>
        <v>0</v>
      </c>
      <c r="CC50" s="295">
        <f t="shared" si="297"/>
        <v>0</v>
      </c>
      <c r="CD50" s="295">
        <f t="shared" ref="CD50" si="298">+CD48+CD49</f>
        <v>0</v>
      </c>
      <c r="CE50" s="295">
        <f t="shared" ref="CE50" si="299">+CE48+CE49</f>
        <v>0</v>
      </c>
      <c r="CF50" s="295">
        <f t="shared" ref="CF50" si="300">+CF48+CF49</f>
        <v>0</v>
      </c>
      <c r="CG50" s="295">
        <f t="shared" ref="CG50" si="301">+CG48+CG49</f>
        <v>0</v>
      </c>
      <c r="CH50" s="295">
        <f t="shared" ref="CH50:CI50" si="302">+CH48+CH49</f>
        <v>0</v>
      </c>
      <c r="CI50" s="295">
        <f t="shared" si="302"/>
        <v>0</v>
      </c>
      <c r="CJ50" s="295">
        <f t="shared" ref="CJ50" si="303">+CJ48+CJ49</f>
        <v>0</v>
      </c>
      <c r="CK50" s="295">
        <f t="shared" ref="CK50" si="304">+CK48+CK49</f>
        <v>0</v>
      </c>
      <c r="CL50" s="295">
        <f t="shared" ref="CL50" si="305">+CL48+CL49</f>
        <v>0</v>
      </c>
      <c r="CM50" s="295">
        <f t="shared" ref="CM50" si="306">+CM48+CM49</f>
        <v>0</v>
      </c>
      <c r="CN50" s="295">
        <f t="shared" ref="CN50:CO50" si="307">+CN48+CN49</f>
        <v>0</v>
      </c>
      <c r="CO50" s="295">
        <f t="shared" si="307"/>
        <v>0</v>
      </c>
      <c r="CP50" s="295">
        <f t="shared" ref="CP50" si="308">+CP48+CP49</f>
        <v>0</v>
      </c>
      <c r="CQ50" s="295">
        <f t="shared" ref="CQ50" si="309">+CQ48+CQ49</f>
        <v>0</v>
      </c>
      <c r="CR50" s="295">
        <f t="shared" ref="CR50" si="310">+CR48+CR49</f>
        <v>0</v>
      </c>
      <c r="CS50" s="295">
        <f t="shared" ref="CS50" si="311">+CS48+CS49</f>
        <v>0</v>
      </c>
      <c r="CT50" s="295">
        <f t="shared" ref="CT50:CU50" si="312">+CT48+CT49</f>
        <v>0</v>
      </c>
      <c r="CU50" s="295">
        <f t="shared" si="312"/>
        <v>0</v>
      </c>
      <c r="CV50" s="295">
        <f t="shared" ref="CV50" si="313">+CV48+CV49</f>
        <v>0</v>
      </c>
      <c r="CW50" s="295">
        <f t="shared" ref="CW50" si="314">+CW48+CW49</f>
        <v>0</v>
      </c>
      <c r="CX50" s="295">
        <f t="shared" ref="CX50" si="315">+CX48+CX49</f>
        <v>0</v>
      </c>
      <c r="CY50" s="295">
        <f t="shared" ref="CY50" si="316">+CY48+CY49</f>
        <v>0</v>
      </c>
      <c r="CZ50" s="295">
        <f t="shared" ref="CZ50:DA50" si="317">+CZ48+CZ49</f>
        <v>0</v>
      </c>
      <c r="DA50" s="295">
        <f t="shared" si="317"/>
        <v>0</v>
      </c>
      <c r="DB50" s="295">
        <f t="shared" ref="DB50" si="318">+DB48+DB49</f>
        <v>0</v>
      </c>
      <c r="DC50" s="295">
        <f t="shared" ref="DC50" si="319">+DC48+DC49</f>
        <v>0</v>
      </c>
      <c r="DD50" s="295">
        <f t="shared" ref="DD50" si="320">+DD48+DD49</f>
        <v>0</v>
      </c>
      <c r="DE50" s="295">
        <f t="shared" ref="DE50" si="321">+DE48+DE49</f>
        <v>0</v>
      </c>
      <c r="DF50" s="295">
        <f t="shared" ref="DF50:DG50" si="322">+DF48+DF49</f>
        <v>0</v>
      </c>
      <c r="DG50" s="295">
        <f t="shared" si="322"/>
        <v>0</v>
      </c>
      <c r="DH50" s="295">
        <f t="shared" ref="DH50" si="323">+DH48+DH49</f>
        <v>0</v>
      </c>
      <c r="DI50" s="295">
        <f t="shared" ref="DI50" si="324">+DI48+DI49</f>
        <v>0</v>
      </c>
      <c r="DJ50" s="295">
        <f t="shared" ref="DJ50" si="325">+DJ48+DJ49</f>
        <v>0</v>
      </c>
      <c r="DK50" s="295">
        <f t="shared" ref="DK50" si="326">+DK48+DK49</f>
        <v>0</v>
      </c>
      <c r="DL50" s="295">
        <f t="shared" ref="DL50:DM50" si="327">+DL48+DL49</f>
        <v>0</v>
      </c>
      <c r="DM50" s="295">
        <f t="shared" si="327"/>
        <v>0</v>
      </c>
      <c r="DN50" s="295">
        <f t="shared" ref="DN50" si="328">+DN48+DN49</f>
        <v>0</v>
      </c>
      <c r="DO50" s="295">
        <f t="shared" ref="DO50" si="329">+DO48+DO49</f>
        <v>0</v>
      </c>
      <c r="DP50" s="295">
        <f t="shared" ref="DP50" si="330">+DP48+DP49</f>
        <v>0</v>
      </c>
      <c r="DQ50" s="295">
        <f t="shared" ref="DQ50" si="331">+DQ48+DQ49</f>
        <v>0</v>
      </c>
      <c r="DR50" s="295">
        <f t="shared" ref="DR50:DU50" si="332">+DR48+DR49</f>
        <v>0</v>
      </c>
      <c r="DT50" s="307">
        <f t="shared" si="332"/>
        <v>0</v>
      </c>
      <c r="DU50" s="295">
        <f t="shared" si="332"/>
        <v>0</v>
      </c>
      <c r="DV50" s="295">
        <f t="shared" ref="DV50:EC50" si="333">+DV48+DV49</f>
        <v>0</v>
      </c>
      <c r="DW50" s="295">
        <f t="shared" si="333"/>
        <v>0</v>
      </c>
      <c r="DX50" s="295">
        <f t="shared" si="333"/>
        <v>0</v>
      </c>
      <c r="DY50" s="295">
        <f t="shared" si="333"/>
        <v>0</v>
      </c>
      <c r="DZ50" s="295">
        <f t="shared" si="333"/>
        <v>0</v>
      </c>
      <c r="EA50" s="295">
        <f t="shared" si="333"/>
        <v>0</v>
      </c>
      <c r="EB50" s="295">
        <f t="shared" si="333"/>
        <v>0</v>
      </c>
      <c r="EC50" s="295">
        <f t="shared" si="333"/>
        <v>0</v>
      </c>
      <c r="EF50" s="144"/>
      <c r="EG50" s="296"/>
    </row>
    <row r="51" thickTop="1" ht="19">
      <c r="A51" s="150"/>
      <c r="B51" s="304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  <c r="AF51" s="100"/>
      <c r="AG51" s="100"/>
      <c r="AH51" s="100"/>
      <c r="AI51" s="100"/>
      <c r="AJ51" s="100"/>
      <c r="AK51" s="100"/>
      <c r="AL51" s="100"/>
      <c r="AM51" s="100"/>
      <c r="AN51" s="100"/>
      <c r="AO51" s="100"/>
      <c r="AP51" s="100"/>
      <c r="AQ51" s="100"/>
      <c r="AR51" s="100"/>
      <c r="AS51" s="100"/>
      <c r="AT51" s="100"/>
      <c r="AU51" s="100"/>
      <c r="AV51" s="100"/>
      <c r="AW51" s="100"/>
      <c r="AX51" s="100"/>
      <c r="AY51" s="100"/>
      <c r="AZ51" s="100"/>
      <c r="BA51" s="100"/>
      <c r="BB51" s="100"/>
      <c r="BC51" s="100"/>
      <c r="BD51" s="100"/>
      <c r="BE51" s="100"/>
      <c r="BF51" s="100"/>
      <c r="BG51" s="100"/>
      <c r="BH51" s="100"/>
      <c r="BI51" s="100"/>
      <c r="BJ51" s="100"/>
      <c r="BK51" s="100"/>
      <c r="BL51" s="100"/>
      <c r="BM51" s="100"/>
      <c r="BN51" s="100"/>
      <c r="BO51" s="100"/>
      <c r="BP51" s="100"/>
      <c r="BQ51" s="100"/>
      <c r="BR51" s="100"/>
      <c r="BS51" s="100"/>
      <c r="BT51" s="100"/>
      <c r="BU51" s="100"/>
      <c r="BV51" s="100"/>
      <c r="BW51" s="100"/>
      <c r="BX51" s="100"/>
      <c r="BY51" s="100"/>
      <c r="BZ51" s="100"/>
      <c r="CA51" s="100"/>
      <c r="CB51" s="100"/>
      <c r="CC51" s="100"/>
      <c r="CD51" s="100"/>
      <c r="CE51" s="100"/>
      <c r="CF51" s="100"/>
      <c r="CG51" s="100"/>
      <c r="CH51" s="100"/>
      <c r="CI51" s="100"/>
      <c r="CJ51" s="100"/>
      <c r="CK51" s="100"/>
      <c r="CL51" s="100"/>
      <c r="CM51" s="100"/>
      <c r="CN51" s="100"/>
      <c r="CO51" s="100"/>
      <c r="CP51" s="100"/>
      <c r="CQ51" s="100"/>
      <c r="CR51" s="100"/>
      <c r="CS51" s="100"/>
      <c r="CT51" s="100"/>
      <c r="CU51" s="100"/>
      <c r="CV51" s="100"/>
      <c r="CW51" s="100"/>
      <c r="CX51" s="100"/>
      <c r="CY51" s="100"/>
      <c r="CZ51" s="100"/>
      <c r="DA51" s="100"/>
      <c r="DB51" s="100"/>
      <c r="DC51" s="100"/>
      <c r="DD51" s="100"/>
      <c r="DE51" s="100"/>
      <c r="DF51" s="100"/>
      <c r="DG51" s="100"/>
      <c r="DH51" s="100"/>
      <c r="DI51" s="100"/>
      <c r="DJ51" s="100"/>
      <c r="DK51" s="100"/>
      <c r="DL51" s="100"/>
      <c r="DM51" s="100"/>
      <c r="DN51" s="100"/>
      <c r="DO51" s="100"/>
      <c r="DP51" s="100"/>
      <c r="DQ51" s="100"/>
      <c r="DR51" s="100"/>
      <c r="DT51" s="3"/>
      <c r="EF51" s="144"/>
      <c r="EG51" s="296"/>
    </row>
    <row r="52" ht="14.5">
      <c r="A52" s="297" t="s">
        <v>1220</v>
      </c>
      <c r="B52" s="304"/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  <c r="AF52" s="100"/>
      <c r="AG52" s="100"/>
      <c r="AH52" s="100"/>
      <c r="AI52" s="100"/>
      <c r="AJ52" s="100"/>
      <c r="AK52" s="100"/>
      <c r="AL52" s="100"/>
      <c r="AM52" s="100"/>
      <c r="AN52" s="100"/>
      <c r="AO52" s="100"/>
      <c r="AP52" s="100"/>
      <c r="AQ52" s="100"/>
      <c r="AR52" s="100"/>
      <c r="AS52" s="100"/>
      <c r="AT52" s="100"/>
      <c r="AU52" s="100"/>
      <c r="AV52" s="100"/>
      <c r="AW52" s="100"/>
      <c r="AX52" s="100"/>
      <c r="AY52" s="100"/>
      <c r="AZ52" s="100"/>
      <c r="BA52" s="100"/>
      <c r="BB52" s="100"/>
      <c r="BC52" s="100"/>
      <c r="BD52" s="100"/>
      <c r="BE52" s="100"/>
      <c r="BF52" s="100"/>
      <c r="BG52" s="100"/>
      <c r="BH52" s="100"/>
      <c r="BI52" s="100"/>
      <c r="BJ52" s="100"/>
      <c r="BK52" s="100"/>
      <c r="BL52" s="100"/>
      <c r="BM52" s="100"/>
      <c r="BN52" s="100"/>
      <c r="BO52" s="100"/>
      <c r="BP52" s="100"/>
      <c r="BQ52" s="100"/>
      <c r="BR52" s="100"/>
      <c r="BS52" s="100"/>
      <c r="BT52" s="100"/>
      <c r="BU52" s="100"/>
      <c r="BV52" s="100"/>
      <c r="BW52" s="100"/>
      <c r="BX52" s="100"/>
      <c r="BY52" s="100"/>
      <c r="BZ52" s="100"/>
      <c r="CA52" s="100"/>
      <c r="CB52" s="100"/>
      <c r="CC52" s="100"/>
      <c r="CD52" s="100"/>
      <c r="CE52" s="100"/>
      <c r="CF52" s="100"/>
      <c r="CG52" s="100"/>
      <c r="CH52" s="100"/>
      <c r="CI52" s="100"/>
      <c r="CJ52" s="100"/>
      <c r="CK52" s="100"/>
      <c r="CL52" s="100"/>
      <c r="CM52" s="100"/>
      <c r="CN52" s="100"/>
      <c r="CO52" s="100"/>
      <c r="CP52" s="100"/>
      <c r="CQ52" s="100"/>
      <c r="CR52" s="100"/>
      <c r="CS52" s="100"/>
      <c r="CT52" s="100"/>
      <c r="CU52" s="100"/>
      <c r="CV52" s="100"/>
      <c r="CW52" s="100"/>
      <c r="CX52" s="100"/>
      <c r="CY52" s="100"/>
      <c r="CZ52" s="100"/>
      <c r="DA52" s="100"/>
      <c r="DB52" s="100"/>
      <c r="DC52" s="100"/>
      <c r="DD52" s="100"/>
      <c r="DE52" s="100"/>
      <c r="DF52" s="100"/>
      <c r="DG52" s="100"/>
      <c r="DH52" s="100"/>
      <c r="DI52" s="100"/>
      <c r="DJ52" s="100"/>
      <c r="DK52" s="100"/>
      <c r="DL52" s="100"/>
      <c r="DM52" s="100"/>
      <c r="DN52" s="100"/>
      <c r="DO52" s="100"/>
      <c r="DP52" s="100"/>
      <c r="DQ52" s="100"/>
      <c r="DR52" s="100"/>
      <c r="DT52" s="100">
        <f t="shared" ref="DT52:EC52" si="334">+SUMIF($C$3:$DR$3,DT$3,$C52:$DR52)</f>
        <v>0</v>
      </c>
      <c r="DU52" s="100">
        <f t="shared" si="334"/>
        <v>0</v>
      </c>
      <c r="DV52" s="100">
        <f t="shared" si="334"/>
        <v>0</v>
      </c>
      <c r="DW52" s="100">
        <f t="shared" si="334"/>
        <v>0</v>
      </c>
      <c r="DX52" s="100">
        <f t="shared" si="334"/>
        <v>0</v>
      </c>
      <c r="DY52" s="100">
        <f t="shared" si="334"/>
        <v>0</v>
      </c>
      <c r="DZ52" s="100">
        <f t="shared" si="334"/>
        <v>0</v>
      </c>
      <c r="EA52" s="100">
        <f t="shared" si="334"/>
        <v>0</v>
      </c>
      <c r="EB52" s="100">
        <f t="shared" si="334"/>
        <v>0</v>
      </c>
      <c r="EC52" s="100">
        <f t="shared" si="334"/>
        <v>0</v>
      </c>
      <c r="EF52" s="144"/>
      <c r="EG52" s="296"/>
    </row>
    <row r="53" thickBot="1" ht="19">
      <c r="A53" s="150"/>
      <c r="B53" s="304"/>
      <c r="DT53" s="144"/>
      <c r="DU53" s="144"/>
      <c r="DV53" s="144"/>
      <c r="DW53" s="144"/>
      <c r="DX53" s="144"/>
      <c r="DY53" s="144"/>
      <c r="DZ53" s="144"/>
      <c r="EA53" s="144"/>
      <c r="EB53" s="144"/>
      <c r="EC53" s="144"/>
      <c r="EF53" s="144"/>
      <c r="EG53" s="296"/>
    </row>
    <row r="54" thickTop="1" thickBot="1" ht="19.5">
      <c r="A54" s="299" t="s">
        <v>965</v>
      </c>
      <c r="B54" s="300"/>
      <c r="C54" s="301">
        <f t="shared" ref="C54:AH54" si="335">+C16-C38-C45-C50-C52</f>
        <v>0</v>
      </c>
      <c r="D54" s="301">
        <f t="shared" si="335"/>
        <v>0</v>
      </c>
      <c r="E54" s="301">
        <f t="shared" si="335"/>
        <v>0</v>
      </c>
      <c r="F54" s="301">
        <f t="shared" si="335"/>
        <v>0</v>
      </c>
      <c r="G54" s="301">
        <f t="shared" si="335"/>
        <v>0</v>
      </c>
      <c r="H54" s="301">
        <f t="shared" si="335"/>
        <v>0</v>
      </c>
      <c r="I54" s="301">
        <f t="shared" si="335"/>
        <v>0</v>
      </c>
      <c r="J54" s="301">
        <f t="shared" si="335"/>
        <v>0</v>
      </c>
      <c r="K54" s="301">
        <f t="shared" si="335"/>
        <v>0</v>
      </c>
      <c r="L54" s="301">
        <f t="shared" si="335"/>
        <v>0</v>
      </c>
      <c r="M54" s="301">
        <f t="shared" si="335"/>
        <v>0</v>
      </c>
      <c r="N54" s="301">
        <f t="shared" si="335"/>
        <v>0</v>
      </c>
      <c r="O54" s="301">
        <f t="shared" si="335"/>
        <v>0</v>
      </c>
      <c r="P54" s="301">
        <f t="shared" si="335"/>
        <v>0</v>
      </c>
      <c r="Q54" s="301">
        <f t="shared" si="335"/>
        <v>0</v>
      </c>
      <c r="R54" s="301">
        <f t="shared" si="335"/>
        <v>0</v>
      </c>
      <c r="S54" s="301">
        <f t="shared" si="335"/>
        <v>0</v>
      </c>
      <c r="T54" s="301">
        <f t="shared" si="335"/>
        <v>0</v>
      </c>
      <c r="U54" s="301">
        <f t="shared" si="335"/>
        <v>0</v>
      </c>
      <c r="V54" s="301">
        <f t="shared" si="335"/>
        <v>0</v>
      </c>
      <c r="W54" s="301">
        <f t="shared" si="335"/>
        <v>0</v>
      </c>
      <c r="X54" s="301">
        <f t="shared" si="335"/>
        <v>0</v>
      </c>
      <c r="Y54" s="301">
        <f t="shared" si="335"/>
        <v>0</v>
      </c>
      <c r="Z54" s="301">
        <f t="shared" si="335"/>
        <v>0</v>
      </c>
      <c r="AA54" s="301">
        <f t="shared" si="335"/>
        <v>0</v>
      </c>
      <c r="AB54" s="301">
        <f t="shared" si="335"/>
        <v>0</v>
      </c>
      <c r="AC54" s="301">
        <f t="shared" si="335"/>
        <v>0</v>
      </c>
      <c r="AD54" s="301">
        <f t="shared" si="335"/>
        <v>0</v>
      </c>
      <c r="AE54" s="301">
        <f t="shared" si="335"/>
        <v>0</v>
      </c>
      <c r="AF54" s="301">
        <f t="shared" si="335"/>
        <v>0</v>
      </c>
      <c r="AG54" s="301">
        <f t="shared" si="335"/>
        <v>0</v>
      </c>
      <c r="AH54" s="301">
        <f t="shared" si="335"/>
        <v>0</v>
      </c>
      <c r="AI54" s="301">
        <f t="shared" ref="AI54:BN54" si="336">+AI16-AI38-AI45-AI50-AI52</f>
        <v>0</v>
      </c>
      <c r="AJ54" s="301">
        <f t="shared" si="336"/>
        <v>0</v>
      </c>
      <c r="AK54" s="301">
        <f t="shared" si="336"/>
        <v>0</v>
      </c>
      <c r="AL54" s="301">
        <f t="shared" si="336"/>
        <v>0</v>
      </c>
      <c r="AM54" s="301">
        <f t="shared" si="336"/>
        <v>0</v>
      </c>
      <c r="AN54" s="301">
        <f t="shared" si="336"/>
        <v>0</v>
      </c>
      <c r="AO54" s="301">
        <f t="shared" si="336"/>
        <v>0</v>
      </c>
      <c r="AP54" s="301">
        <f t="shared" si="336"/>
        <v>0</v>
      </c>
      <c r="AQ54" s="301">
        <f t="shared" si="336"/>
        <v>0</v>
      </c>
      <c r="AR54" s="301">
        <f t="shared" si="336"/>
        <v>0</v>
      </c>
      <c r="AS54" s="301">
        <f t="shared" si="336"/>
        <v>0</v>
      </c>
      <c r="AT54" s="301">
        <f t="shared" si="336"/>
        <v>0</v>
      </c>
      <c r="AU54" s="301">
        <f t="shared" si="336"/>
        <v>0</v>
      </c>
      <c r="AV54" s="301">
        <f t="shared" si="336"/>
        <v>0</v>
      </c>
      <c r="AW54" s="301">
        <f t="shared" si="336"/>
        <v>0</v>
      </c>
      <c r="AX54" s="301">
        <f t="shared" si="336"/>
        <v>0</v>
      </c>
      <c r="AY54" s="301">
        <f t="shared" si="336"/>
        <v>0</v>
      </c>
      <c r="AZ54" s="301">
        <f t="shared" si="336"/>
        <v>0</v>
      </c>
      <c r="BA54" s="301">
        <f t="shared" si="336"/>
        <v>0</v>
      </c>
      <c r="BB54" s="301">
        <f t="shared" si="336"/>
        <v>0</v>
      </c>
      <c r="BC54" s="301">
        <f t="shared" si="336"/>
        <v>0</v>
      </c>
      <c r="BD54" s="301">
        <f t="shared" si="336"/>
        <v>0</v>
      </c>
      <c r="BE54" s="301">
        <f t="shared" si="336"/>
        <v>0</v>
      </c>
      <c r="BF54" s="301">
        <f t="shared" si="336"/>
        <v>0</v>
      </c>
      <c r="BG54" s="301">
        <f t="shared" si="336"/>
        <v>0</v>
      </c>
      <c r="BH54" s="301">
        <f t="shared" si="336"/>
        <v>0</v>
      </c>
      <c r="BI54" s="301">
        <f t="shared" si="336"/>
        <v>0</v>
      </c>
      <c r="BJ54" s="301">
        <f t="shared" si="336"/>
        <v>0</v>
      </c>
      <c r="BK54" s="301">
        <f t="shared" si="336"/>
        <v>0</v>
      </c>
      <c r="BL54" s="301">
        <f t="shared" si="336"/>
        <v>0</v>
      </c>
      <c r="BM54" s="301">
        <f t="shared" si="336"/>
        <v>0</v>
      </c>
      <c r="BN54" s="301">
        <f t="shared" si="336"/>
        <v>0</v>
      </c>
      <c r="BO54" s="301">
        <f t="shared" ref="BO54:CT54" si="337">+BO16-BO38-BO45-BO50-BO52</f>
        <v>0</v>
      </c>
      <c r="BP54" s="301">
        <f t="shared" si="337"/>
        <v>0</v>
      </c>
      <c r="BQ54" s="301">
        <f t="shared" si="337"/>
        <v>0</v>
      </c>
      <c r="BR54" s="301">
        <f t="shared" si="337"/>
        <v>0</v>
      </c>
      <c r="BS54" s="301">
        <f t="shared" si="337"/>
        <v>0</v>
      </c>
      <c r="BT54" s="301">
        <f t="shared" si="337"/>
        <v>0</v>
      </c>
      <c r="BU54" s="301">
        <f t="shared" si="337"/>
        <v>0</v>
      </c>
      <c r="BV54" s="301">
        <f t="shared" si="337"/>
        <v>0</v>
      </c>
      <c r="BW54" s="301">
        <f t="shared" si="337"/>
        <v>0</v>
      </c>
      <c r="BX54" s="301">
        <f t="shared" si="337"/>
        <v>0</v>
      </c>
      <c r="BY54" s="301">
        <f t="shared" si="337"/>
        <v>0</v>
      </c>
      <c r="BZ54" s="301">
        <f t="shared" si="337"/>
        <v>0</v>
      </c>
      <c r="CA54" s="301">
        <f t="shared" si="337"/>
        <v>0</v>
      </c>
      <c r="CB54" s="301">
        <f t="shared" si="337"/>
        <v>0</v>
      </c>
      <c r="CC54" s="301">
        <f t="shared" si="337"/>
        <v>0</v>
      </c>
      <c r="CD54" s="301">
        <f t="shared" si="337"/>
        <v>0</v>
      </c>
      <c r="CE54" s="301">
        <f t="shared" si="337"/>
        <v>0</v>
      </c>
      <c r="CF54" s="301">
        <f t="shared" si="337"/>
        <v>0</v>
      </c>
      <c r="CG54" s="301">
        <f t="shared" si="337"/>
        <v>0</v>
      </c>
      <c r="CH54" s="301">
        <f t="shared" si="337"/>
        <v>0</v>
      </c>
      <c r="CI54" s="301">
        <f t="shared" si="337"/>
        <v>0</v>
      </c>
      <c r="CJ54" s="301">
        <f t="shared" si="337"/>
        <v>0</v>
      </c>
      <c r="CK54" s="301">
        <f t="shared" si="337"/>
        <v>0</v>
      </c>
      <c r="CL54" s="301">
        <f t="shared" si="337"/>
        <v>0</v>
      </c>
      <c r="CM54" s="301">
        <f t="shared" si="337"/>
        <v>0</v>
      </c>
      <c r="CN54" s="301">
        <f t="shared" si="337"/>
        <v>0</v>
      </c>
      <c r="CO54" s="301">
        <f t="shared" si="337"/>
        <v>0</v>
      </c>
      <c r="CP54" s="301">
        <f t="shared" si="337"/>
        <v>0</v>
      </c>
      <c r="CQ54" s="301">
        <f t="shared" si="337"/>
        <v>0</v>
      </c>
      <c r="CR54" s="301">
        <f t="shared" si="337"/>
        <v>0</v>
      </c>
      <c r="CS54" s="301">
        <f t="shared" si="337"/>
        <v>0</v>
      </c>
      <c r="CT54" s="301">
        <f t="shared" si="337"/>
        <v>0</v>
      </c>
      <c r="CU54" s="301">
        <f t="shared" ref="CU54:DR54" si="338">+CU16-CU38-CU45-CU50-CU52</f>
        <v>0</v>
      </c>
      <c r="CV54" s="301">
        <f t="shared" si="338"/>
        <v>0</v>
      </c>
      <c r="CW54" s="301">
        <f t="shared" si="338"/>
        <v>0</v>
      </c>
      <c r="CX54" s="301">
        <f t="shared" si="338"/>
        <v>0</v>
      </c>
      <c r="CY54" s="301">
        <f t="shared" si="338"/>
        <v>0</v>
      </c>
      <c r="CZ54" s="301">
        <f t="shared" si="338"/>
        <v>0</v>
      </c>
      <c r="DA54" s="301">
        <f t="shared" si="338"/>
        <v>0</v>
      </c>
      <c r="DB54" s="301">
        <f t="shared" si="338"/>
        <v>0</v>
      </c>
      <c r="DC54" s="301">
        <f t="shared" si="338"/>
        <v>0</v>
      </c>
      <c r="DD54" s="301">
        <f t="shared" si="338"/>
        <v>0</v>
      </c>
      <c r="DE54" s="301">
        <f t="shared" si="338"/>
        <v>0</v>
      </c>
      <c r="DF54" s="301">
        <f t="shared" si="338"/>
        <v>0</v>
      </c>
      <c r="DG54" s="301">
        <f t="shared" si="338"/>
        <v>0</v>
      </c>
      <c r="DH54" s="301">
        <f t="shared" si="338"/>
        <v>0</v>
      </c>
      <c r="DI54" s="301">
        <f t="shared" si="338"/>
        <v>0</v>
      </c>
      <c r="DJ54" s="301">
        <f t="shared" si="338"/>
        <v>0</v>
      </c>
      <c r="DK54" s="301">
        <f t="shared" si="338"/>
        <v>0</v>
      </c>
      <c r="DL54" s="301">
        <f t="shared" si="338"/>
        <v>0</v>
      </c>
      <c r="DM54" s="301">
        <f t="shared" si="338"/>
        <v>0</v>
      </c>
      <c r="DN54" s="301">
        <f t="shared" si="338"/>
        <v>0</v>
      </c>
      <c r="DO54" s="301">
        <f t="shared" si="338"/>
        <v>0</v>
      </c>
      <c r="DP54" s="301">
        <f t="shared" si="338"/>
        <v>0</v>
      </c>
      <c r="DQ54" s="301">
        <f t="shared" si="338"/>
        <v>0</v>
      </c>
      <c r="DR54" s="301">
        <f t="shared" si="338"/>
        <v>0</v>
      </c>
      <c r="DT54" s="301">
        <f t="shared" ref="DT54:DU54" si="339">+DT16-DT38-DT45-DT50-DT52</f>
        <v>0</v>
      </c>
      <c r="DU54" s="301">
        <f t="shared" si="339"/>
        <v>0</v>
      </c>
      <c r="DV54" s="301">
        <f t="shared" ref="DV54:EC54" si="340">+DV16-DV38-DV45-DV50-DV52</f>
        <v>0</v>
      </c>
      <c r="DW54" s="301">
        <f t="shared" si="340"/>
        <v>0</v>
      </c>
      <c r="DX54" s="301">
        <f t="shared" si="340"/>
        <v>0</v>
      </c>
      <c r="DY54" s="301">
        <f t="shared" si="340"/>
        <v>0</v>
      </c>
      <c r="DZ54" s="301">
        <f t="shared" si="340"/>
        <v>0</v>
      </c>
      <c r="EA54" s="301">
        <f t="shared" si="340"/>
        <v>0</v>
      </c>
      <c r="EB54" s="301">
        <f>+EB16-EB38-EB45-EB50-EB52</f>
        <v>0</v>
      </c>
      <c r="EC54" s="301">
        <f t="shared" si="340"/>
        <v>0</v>
      </c>
      <c r="EF54" s="144"/>
      <c r="EG54" s="296"/>
    </row>
    <row r="55" thickTop="1" ht="21.5">
      <c r="A55" s="150" t="s">
        <v>1221</v>
      </c>
      <c r="B55" s="298"/>
      <c r="C55" s="302" t="str">
        <f>+IFERROR(C54/C5,"na")</f>
        <v>na</v>
      </c>
      <c r="D55" s="302" t="str">
        <f t="shared" ref="D55:O55" si="341">+IFERROR(D54/D5,"na")</f>
        <v>na</v>
      </c>
      <c r="E55" s="302" t="str">
        <f t="shared" si="341"/>
        <v>na</v>
      </c>
      <c r="F55" s="302" t="str">
        <f t="shared" si="341"/>
        <v>na</v>
      </c>
      <c r="G55" s="302" t="str">
        <f t="shared" si="341"/>
        <v>na</v>
      </c>
      <c r="H55" s="302" t="str">
        <f t="shared" si="341"/>
        <v>na</v>
      </c>
      <c r="I55" s="302" t="str">
        <f t="shared" si="341"/>
        <v>na</v>
      </c>
      <c r="J55" s="302" t="str">
        <f t="shared" si="341"/>
        <v>na</v>
      </c>
      <c r="K55" s="302" t="str">
        <f t="shared" si="341"/>
        <v>na</v>
      </c>
      <c r="L55" s="302" t="str">
        <f t="shared" si="341"/>
        <v>na</v>
      </c>
      <c r="M55" s="302" t="str">
        <f t="shared" si="341"/>
        <v>na</v>
      </c>
      <c r="N55" s="302" t="str">
        <f t="shared" si="341"/>
        <v>na</v>
      </c>
      <c r="O55" s="302" t="str">
        <f t="shared" si="341"/>
        <v>na</v>
      </c>
      <c r="P55" s="302" t="str">
        <f t="shared" ref="P55" si="342">+IFERROR(P54/P5,"na")</f>
        <v>na</v>
      </c>
      <c r="Q55" s="302" t="str">
        <f t="shared" ref="Q55" si="343">+IFERROR(Q54/Q5,"na")</f>
        <v>na</v>
      </c>
      <c r="R55" s="302" t="str">
        <f t="shared" ref="R55" si="344">+IFERROR(R54/R5,"na")</f>
        <v>na</v>
      </c>
      <c r="S55" s="302" t="str">
        <f t="shared" ref="S55" si="345">+IFERROR(S54/S5,"na")</f>
        <v>na</v>
      </c>
      <c r="T55" s="302" t="str">
        <f t="shared" ref="T55" si="346">+IFERROR(T54/T5,"na")</f>
        <v>na</v>
      </c>
      <c r="U55" s="302" t="str">
        <f t="shared" ref="U55" si="347">+IFERROR(U54/U5,"na")</f>
        <v>na</v>
      </c>
      <c r="V55" s="302" t="str">
        <f t="shared" ref="V55" si="348">+IFERROR(V54/V5,"na")</f>
        <v>na</v>
      </c>
      <c r="W55" s="302" t="str">
        <f t="shared" ref="W55" si="349">+IFERROR(W54/W5,"na")</f>
        <v>na</v>
      </c>
      <c r="X55" s="302" t="str">
        <f t="shared" ref="X55" si="350">+IFERROR(X54/X5,"na")</f>
        <v>na</v>
      </c>
      <c r="Y55" s="302" t="str">
        <f t="shared" ref="Y55" si="351">+IFERROR(Y54/Y5,"na")</f>
        <v>na</v>
      </c>
      <c r="Z55" s="302" t="str">
        <f t="shared" ref="Z55:AA55" si="352">+IFERROR(Z54/Z5,"na")</f>
        <v>na</v>
      </c>
      <c r="AA55" s="302" t="str">
        <f t="shared" si="352"/>
        <v>na</v>
      </c>
      <c r="AB55" s="302" t="str">
        <f t="shared" ref="AB55" si="353">+IFERROR(AB54/AB5,"na")</f>
        <v>na</v>
      </c>
      <c r="AC55" s="302" t="str">
        <f t="shared" ref="AC55" si="354">+IFERROR(AC54/AC5,"na")</f>
        <v>na</v>
      </c>
      <c r="AD55" s="302" t="str">
        <f t="shared" ref="AD55" si="355">+IFERROR(AD54/AD5,"na")</f>
        <v>na</v>
      </c>
      <c r="AE55" s="302" t="str">
        <f t="shared" ref="AE55" si="356">+IFERROR(AE54/AE5,"na")</f>
        <v>na</v>
      </c>
      <c r="AF55" s="302" t="str">
        <f t="shared" ref="AF55" si="357">+IFERROR(AF54/AF5,"na")</f>
        <v>na</v>
      </c>
      <c r="AG55" s="302" t="str">
        <f t="shared" ref="AG55" si="358">+IFERROR(AG54/AG5,"na")</f>
        <v>na</v>
      </c>
      <c r="AH55" s="302" t="str">
        <f t="shared" ref="AH55" si="359">+IFERROR(AH54/AH5,"na")</f>
        <v>na</v>
      </c>
      <c r="AI55" s="302" t="str">
        <f t="shared" ref="AI55" si="360">+IFERROR(AI54/AI5,"na")</f>
        <v>na</v>
      </c>
      <c r="AJ55" s="302" t="str">
        <f t="shared" ref="AJ55" si="361">+IFERROR(AJ54/AJ5,"na")</f>
        <v>na</v>
      </c>
      <c r="AK55" s="302" t="str">
        <f t="shared" ref="AK55" si="362">+IFERROR(AK54/AK5,"na")</f>
        <v>na</v>
      </c>
      <c r="AL55" s="302" t="str">
        <f t="shared" ref="AL55:AM55" si="363">+IFERROR(AL54/AL5,"na")</f>
        <v>na</v>
      </c>
      <c r="AM55" s="302" t="str">
        <f t="shared" si="363"/>
        <v>na</v>
      </c>
      <c r="AN55" s="302" t="str">
        <f t="shared" ref="AN55" si="364">+IFERROR(AN54/AN5,"na")</f>
        <v>na</v>
      </c>
      <c r="AO55" s="302" t="str">
        <f t="shared" ref="AO55" si="365">+IFERROR(AO54/AO5,"na")</f>
        <v>na</v>
      </c>
      <c r="AP55" s="302" t="str">
        <f t="shared" ref="AP55" si="366">+IFERROR(AP54/AP5,"na")</f>
        <v>na</v>
      </c>
      <c r="AQ55" s="302" t="str">
        <f t="shared" ref="AQ55" si="367">+IFERROR(AQ54/AQ5,"na")</f>
        <v>na</v>
      </c>
      <c r="AR55" s="302" t="str">
        <f t="shared" ref="AR55" si="368">+IFERROR(AR54/AR5,"na")</f>
        <v>na</v>
      </c>
      <c r="AS55" s="302" t="str">
        <f t="shared" ref="AS55" si="369">+IFERROR(AS54/AS5,"na")</f>
        <v>na</v>
      </c>
      <c r="AT55" s="302" t="str">
        <f t="shared" ref="AT55" si="370">+IFERROR(AT54/AT5,"na")</f>
        <v>na</v>
      </c>
      <c r="AU55" s="302" t="str">
        <f t="shared" ref="AU55" si="371">+IFERROR(AU54/AU5,"na")</f>
        <v>na</v>
      </c>
      <c r="AV55" s="302" t="str">
        <f t="shared" ref="AV55" si="372">+IFERROR(AV54/AV5,"na")</f>
        <v>na</v>
      </c>
      <c r="AW55" s="302" t="str">
        <f t="shared" ref="AW55" si="373">+IFERROR(AW54/AW5,"na")</f>
        <v>na</v>
      </c>
      <c r="AX55" s="302" t="str">
        <f t="shared" ref="AX55:AY55" si="374">+IFERROR(AX54/AX5,"na")</f>
        <v>na</v>
      </c>
      <c r="AY55" s="302" t="str">
        <f t="shared" si="374"/>
        <v>na</v>
      </c>
      <c r="AZ55" s="302" t="str">
        <f t="shared" ref="AZ55" si="375">+IFERROR(AZ54/AZ5,"na")</f>
        <v>na</v>
      </c>
      <c r="BA55" s="302" t="str">
        <f t="shared" ref="BA55" si="376">+IFERROR(BA54/BA5,"na")</f>
        <v>na</v>
      </c>
      <c r="BB55" s="302" t="str">
        <f t="shared" ref="BB55" si="377">+IFERROR(BB54/BB5,"na")</f>
        <v>na</v>
      </c>
      <c r="BC55" s="302" t="str">
        <f t="shared" ref="BC55" si="378">+IFERROR(BC54/BC5,"na")</f>
        <v>na</v>
      </c>
      <c r="BD55" s="302" t="str">
        <f t="shared" ref="BD55" si="379">+IFERROR(BD54/BD5,"na")</f>
        <v>na</v>
      </c>
      <c r="BE55" s="302" t="str">
        <f t="shared" ref="BE55" si="380">+IFERROR(BE54/BE5,"na")</f>
        <v>na</v>
      </c>
      <c r="BF55" s="302" t="str">
        <f t="shared" ref="BF55" si="381">+IFERROR(BF54/BF5,"na")</f>
        <v>na</v>
      </c>
      <c r="BG55" s="302" t="str">
        <f t="shared" ref="BG55" si="382">+IFERROR(BG54/BG5,"na")</f>
        <v>na</v>
      </c>
      <c r="BH55" s="302" t="str">
        <f t="shared" ref="BH55" si="383">+IFERROR(BH54/BH5,"na")</f>
        <v>na</v>
      </c>
      <c r="BI55" s="302" t="str">
        <f t="shared" ref="BI55" si="384">+IFERROR(BI54/BI5,"na")</f>
        <v>na</v>
      </c>
      <c r="BJ55" s="302" t="str">
        <f t="shared" ref="BJ55:BK55" si="385">+IFERROR(BJ54/BJ5,"na")</f>
        <v>na</v>
      </c>
      <c r="BK55" s="302" t="str">
        <f t="shared" si="385"/>
        <v>na</v>
      </c>
      <c r="BL55" s="302" t="str">
        <f t="shared" ref="BL55" si="386">+IFERROR(BL54/BL5,"na")</f>
        <v>na</v>
      </c>
      <c r="BM55" s="302" t="str">
        <f t="shared" ref="BM55" si="387">+IFERROR(BM54/BM5,"na")</f>
        <v>na</v>
      </c>
      <c r="BN55" s="302" t="str">
        <f t="shared" ref="BN55" si="388">+IFERROR(BN54/BN5,"na")</f>
        <v>na</v>
      </c>
      <c r="BO55" s="302" t="str">
        <f t="shared" ref="BO55" si="389">+IFERROR(BO54/BO5,"na")</f>
        <v>na</v>
      </c>
      <c r="BP55" s="302" t="str">
        <f t="shared" ref="BP55" si="390">+IFERROR(BP54/BP5,"na")</f>
        <v>na</v>
      </c>
      <c r="BQ55" s="302" t="str">
        <f t="shared" ref="BQ55" si="391">+IFERROR(BQ54/BQ5,"na")</f>
        <v>na</v>
      </c>
      <c r="BR55" s="302" t="str">
        <f t="shared" ref="BR55" si="392">+IFERROR(BR54/BR5,"na")</f>
        <v>na</v>
      </c>
      <c r="BS55" s="302" t="str">
        <f t="shared" ref="BS55" si="393">+IFERROR(BS54/BS5,"na")</f>
        <v>na</v>
      </c>
      <c r="BT55" s="302" t="str">
        <f t="shared" ref="BT55" si="394">+IFERROR(BT54/BT5,"na")</f>
        <v>na</v>
      </c>
      <c r="BU55" s="302" t="str">
        <f t="shared" ref="BU55" si="395">+IFERROR(BU54/BU5,"na")</f>
        <v>na</v>
      </c>
      <c r="BV55" s="302" t="str">
        <f t="shared" ref="BV55:BW55" si="396">+IFERROR(BV54/BV5,"na")</f>
        <v>na</v>
      </c>
      <c r="BW55" s="302" t="str">
        <f t="shared" si="396"/>
        <v>na</v>
      </c>
      <c r="BX55" s="302" t="str">
        <f t="shared" ref="BX55" si="397">+IFERROR(BX54/BX5,"na")</f>
        <v>na</v>
      </c>
      <c r="BY55" s="302" t="str">
        <f t="shared" ref="BY55" si="398">+IFERROR(BY54/BY5,"na")</f>
        <v>na</v>
      </c>
      <c r="BZ55" s="302" t="str">
        <f t="shared" ref="BZ55" si="399">+IFERROR(BZ54/BZ5,"na")</f>
        <v>na</v>
      </c>
      <c r="CA55" s="302" t="str">
        <f t="shared" ref="CA55" si="400">+IFERROR(CA54/CA5,"na")</f>
        <v>na</v>
      </c>
      <c r="CB55" s="302" t="str">
        <f t="shared" ref="CB55" si="401">+IFERROR(CB54/CB5,"na")</f>
        <v>na</v>
      </c>
      <c r="CC55" s="302" t="str">
        <f t="shared" ref="CC55" si="402">+IFERROR(CC54/CC5,"na")</f>
        <v>na</v>
      </c>
      <c r="CD55" s="302" t="str">
        <f t="shared" ref="CD55" si="403">+IFERROR(CD54/CD5,"na")</f>
        <v>na</v>
      </c>
      <c r="CE55" s="302" t="str">
        <f t="shared" ref="CE55" si="404">+IFERROR(CE54/CE5,"na")</f>
        <v>na</v>
      </c>
      <c r="CF55" s="302" t="str">
        <f t="shared" ref="CF55" si="405">+IFERROR(CF54/CF5,"na")</f>
        <v>na</v>
      </c>
      <c r="CG55" s="302" t="str">
        <f t="shared" ref="CG55" si="406">+IFERROR(CG54/CG5,"na")</f>
        <v>na</v>
      </c>
      <c r="CH55" s="302" t="str">
        <f t="shared" ref="CH55:CI55" si="407">+IFERROR(CH54/CH5,"na")</f>
        <v>na</v>
      </c>
      <c r="CI55" s="302" t="str">
        <f t="shared" si="407"/>
        <v>na</v>
      </c>
      <c r="CJ55" s="302" t="str">
        <f t="shared" ref="CJ55" si="408">+IFERROR(CJ54/CJ5,"na")</f>
        <v>na</v>
      </c>
      <c r="CK55" s="302" t="str">
        <f t="shared" ref="CK55" si="409">+IFERROR(CK54/CK5,"na")</f>
        <v>na</v>
      </c>
      <c r="CL55" s="302" t="str">
        <f t="shared" ref="CL55" si="410">+IFERROR(CL54/CL5,"na")</f>
        <v>na</v>
      </c>
      <c r="CM55" s="302" t="str">
        <f t="shared" ref="CM55" si="411">+IFERROR(CM54/CM5,"na")</f>
        <v>na</v>
      </c>
      <c r="CN55" s="302" t="str">
        <f t="shared" ref="CN55" si="412">+IFERROR(CN54/CN5,"na")</f>
        <v>na</v>
      </c>
      <c r="CO55" s="302" t="str">
        <f t="shared" ref="CO55" si="413">+IFERROR(CO54/CO5,"na")</f>
        <v>na</v>
      </c>
      <c r="CP55" s="302" t="str">
        <f t="shared" ref="CP55" si="414">+IFERROR(CP54/CP5,"na")</f>
        <v>na</v>
      </c>
      <c r="CQ55" s="302" t="str">
        <f t="shared" ref="CQ55" si="415">+IFERROR(CQ54/CQ5,"na")</f>
        <v>na</v>
      </c>
      <c r="CR55" s="302" t="str">
        <f t="shared" ref="CR55" si="416">+IFERROR(CR54/CR5,"na")</f>
        <v>na</v>
      </c>
      <c r="CS55" s="302" t="str">
        <f t="shared" ref="CS55" si="417">+IFERROR(CS54/CS5,"na")</f>
        <v>na</v>
      </c>
      <c r="CT55" s="302" t="str">
        <f t="shared" ref="CT55:CU55" si="418">+IFERROR(CT54/CT5,"na")</f>
        <v>na</v>
      </c>
      <c r="CU55" s="302" t="str">
        <f t="shared" si="418"/>
        <v>na</v>
      </c>
      <c r="CV55" s="302" t="str">
        <f t="shared" ref="CV55" si="419">+IFERROR(CV54/CV5,"na")</f>
        <v>na</v>
      </c>
      <c r="CW55" s="302" t="str">
        <f t="shared" ref="CW55" si="420">+IFERROR(CW54/CW5,"na")</f>
        <v>na</v>
      </c>
      <c r="CX55" s="302" t="str">
        <f t="shared" ref="CX55" si="421">+IFERROR(CX54/CX5,"na")</f>
        <v>na</v>
      </c>
      <c r="CY55" s="302" t="str">
        <f t="shared" ref="CY55" si="422">+IFERROR(CY54/CY5,"na")</f>
        <v>na</v>
      </c>
      <c r="CZ55" s="302" t="str">
        <f t="shared" ref="CZ55" si="423">+IFERROR(CZ54/CZ5,"na")</f>
        <v>na</v>
      </c>
      <c r="DA55" s="302" t="str">
        <f t="shared" ref="DA55" si="424">+IFERROR(DA54/DA5,"na")</f>
        <v>na</v>
      </c>
      <c r="DB55" s="302" t="str">
        <f t="shared" ref="DB55" si="425">+IFERROR(DB54/DB5,"na")</f>
        <v>na</v>
      </c>
      <c r="DC55" s="302" t="str">
        <f t="shared" ref="DC55" si="426">+IFERROR(DC54/DC5,"na")</f>
        <v>na</v>
      </c>
      <c r="DD55" s="302" t="str">
        <f t="shared" ref="DD55" si="427">+IFERROR(DD54/DD5,"na")</f>
        <v>na</v>
      </c>
      <c r="DE55" s="302" t="str">
        <f t="shared" ref="DE55" si="428">+IFERROR(DE54/DE5,"na")</f>
        <v>na</v>
      </c>
      <c r="DF55" s="302" t="str">
        <f t="shared" ref="DF55:DG55" si="429">+IFERROR(DF54/DF5,"na")</f>
        <v>na</v>
      </c>
      <c r="DG55" s="302" t="str">
        <f t="shared" si="429"/>
        <v>na</v>
      </c>
      <c r="DH55" s="302" t="str">
        <f t="shared" ref="DH55" si="430">+IFERROR(DH54/DH5,"na")</f>
        <v>na</v>
      </c>
      <c r="DI55" s="302" t="str">
        <f t="shared" ref="DI55" si="431">+IFERROR(DI54/DI5,"na")</f>
        <v>na</v>
      </c>
      <c r="DJ55" s="302" t="str">
        <f t="shared" ref="DJ55" si="432">+IFERROR(DJ54/DJ5,"na")</f>
        <v>na</v>
      </c>
      <c r="DK55" s="302" t="str">
        <f t="shared" ref="DK55" si="433">+IFERROR(DK54/DK5,"na")</f>
        <v>na</v>
      </c>
      <c r="DL55" s="302" t="str">
        <f t="shared" ref="DL55" si="434">+IFERROR(DL54/DL5,"na")</f>
        <v>na</v>
      </c>
      <c r="DM55" s="302" t="str">
        <f t="shared" ref="DM55" si="435">+IFERROR(DM54/DM5,"na")</f>
        <v>na</v>
      </c>
      <c r="DN55" s="302" t="str">
        <f t="shared" ref="DN55" si="436">+IFERROR(DN54/DN5,"na")</f>
        <v>na</v>
      </c>
      <c r="DO55" s="302" t="str">
        <f t="shared" ref="DO55" si="437">+IFERROR(DO54/DO5,"na")</f>
        <v>na</v>
      </c>
      <c r="DP55" s="302" t="str">
        <f t="shared" ref="DP55" si="438">+IFERROR(DP54/DP5,"na")</f>
        <v>na</v>
      </c>
      <c r="DQ55" s="302" t="str">
        <f t="shared" ref="DQ55" si="439">+IFERROR(DQ54/DQ5,"na")</f>
        <v>na</v>
      </c>
      <c r="DR55" s="302" t="str">
        <f t="shared" ref="DR55:DU55" si="440">+IFERROR(DR54/DR5,"na")</f>
        <v>na</v>
      </c>
      <c r="DT55" s="302" t="str">
        <f t="shared" si="440"/>
        <v>na</v>
      </c>
      <c r="DU55" s="302" t="str">
        <f t="shared" si="440"/>
        <v>na</v>
      </c>
      <c r="DV55" s="302" t="str">
        <f t="shared" ref="DV55:EC55" si="441">+IFERROR(DV54/DV5,"na")</f>
        <v>na</v>
      </c>
      <c r="DW55" s="302" t="str">
        <f t="shared" si="441"/>
        <v>na</v>
      </c>
      <c r="DX55" s="302" t="str">
        <f t="shared" si="441"/>
        <v>na</v>
      </c>
      <c r="DY55" s="302" t="str">
        <f t="shared" si="441"/>
        <v>na</v>
      </c>
      <c r="DZ55" s="302" t="str">
        <f t="shared" si="441"/>
        <v>na</v>
      </c>
      <c r="EA55" s="302" t="str">
        <f t="shared" si="441"/>
        <v>na</v>
      </c>
      <c r="EB55" s="302" t="str">
        <f t="shared" si="441"/>
        <v>na</v>
      </c>
      <c r="EC55" s="302" t="str">
        <f t="shared" si="441"/>
        <v>na</v>
      </c>
    </row>
    <row r="56" ht="21">
      <c r="A56" s="150" t="s">
        <v>1222</v>
      </c>
      <c r="B56" s="298"/>
    </row>
    <row r="57" ht="14.5">
      <c r="A57" s="297" t="s">
        <v>1223</v>
      </c>
      <c r="C57" s="144"/>
      <c r="D57" s="144"/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4"/>
      <c r="U57" s="144"/>
      <c r="V57" s="144"/>
      <c r="W57" s="144"/>
      <c r="X57" s="144"/>
      <c r="Y57" s="144"/>
      <c r="Z57" s="144"/>
      <c r="AA57" s="144"/>
      <c r="AB57" s="144"/>
      <c r="AC57" s="144"/>
      <c r="AD57" s="144"/>
      <c r="AE57" s="144"/>
      <c r="AF57" s="144"/>
      <c r="AG57" s="144"/>
      <c r="AH57" s="144"/>
      <c r="AI57" s="144"/>
      <c r="AJ57" s="144"/>
      <c r="AK57" s="144"/>
      <c r="AL57" s="144"/>
      <c r="AM57" s="144"/>
      <c r="AN57" s="144"/>
      <c r="AO57" s="144"/>
      <c r="AP57" s="144"/>
      <c r="AQ57" s="144"/>
      <c r="AR57" s="144"/>
      <c r="AS57" s="144"/>
      <c r="AT57" s="144"/>
      <c r="AU57" s="144"/>
      <c r="AV57" s="144"/>
      <c r="AW57" s="144"/>
      <c r="AX57" s="144"/>
      <c r="AY57" s="144"/>
      <c r="AZ57" s="144"/>
      <c r="BA57" s="144"/>
      <c r="BB57" s="144"/>
      <c r="BC57" s="144"/>
      <c r="BD57" s="144"/>
      <c r="BE57" s="144"/>
      <c r="BF57" s="144"/>
      <c r="BG57" s="144"/>
      <c r="BH57" s="144"/>
      <c r="BI57" s="144"/>
      <c r="BJ57" s="144"/>
      <c r="BK57" s="144"/>
      <c r="BL57" s="144"/>
      <c r="BM57" s="144"/>
      <c r="BN57" s="144"/>
      <c r="BO57" s="144"/>
      <c r="BP57" s="144"/>
      <c r="BQ57" s="144"/>
      <c r="BR57" s="144"/>
      <c r="BS57" s="144"/>
      <c r="BT57" s="144"/>
      <c r="BU57" s="144"/>
      <c r="BV57" s="144"/>
      <c r="BW57" s="144"/>
      <c r="BX57" s="144"/>
      <c r="BY57" s="144"/>
      <c r="BZ57" s="144"/>
      <c r="CA57" s="144"/>
      <c r="CB57" s="144"/>
      <c r="CC57" s="144"/>
      <c r="CD57" s="144"/>
      <c r="CE57" s="144"/>
      <c r="CF57" s="144"/>
      <c r="CG57" s="144"/>
      <c r="CH57" s="144"/>
      <c r="CI57" s="144"/>
      <c r="CJ57" s="144"/>
      <c r="CK57" s="144"/>
      <c r="CL57" s="144"/>
      <c r="CM57" s="144"/>
      <c r="CN57" s="144"/>
      <c r="CO57" s="144"/>
      <c r="CP57" s="144"/>
      <c r="CQ57" s="144"/>
      <c r="CR57" s="144"/>
      <c r="CS57" s="144"/>
      <c r="CT57" s="144"/>
      <c r="CU57" s="144"/>
      <c r="CV57" s="144"/>
      <c r="CW57" s="144"/>
      <c r="CX57" s="144"/>
      <c r="CY57" s="144"/>
      <c r="CZ57" s="144"/>
      <c r="DA57" s="144"/>
      <c r="DB57" s="144"/>
      <c r="DC57" s="144"/>
      <c r="DD57" s="144"/>
      <c r="DE57" s="144"/>
      <c r="DF57" s="144"/>
      <c r="DG57" s="144"/>
      <c r="DH57" s="144"/>
      <c r="DI57" s="144"/>
      <c r="DJ57" s="144"/>
      <c r="DK57" s="144"/>
      <c r="DL57" s="144"/>
      <c r="DM57" s="144"/>
      <c r="DN57" s="144"/>
      <c r="DO57" s="144"/>
      <c r="DP57" s="144"/>
      <c r="DQ57" s="144"/>
      <c r="DR57" s="144"/>
      <c r="DT57" s="144">
        <f t="shared" ref="DT57:EC58" si="442">+SUMIF($C$3:$DR$3,DT$3,$C57:$DR57)</f>
        <v>0</v>
      </c>
      <c r="DU57" s="144">
        <f t="shared" si="442"/>
        <v>0</v>
      </c>
      <c r="DV57" s="144">
        <f t="shared" si="442"/>
        <v>0</v>
      </c>
      <c r="DW57" s="144">
        <f t="shared" si="442"/>
        <v>0</v>
      </c>
      <c r="DX57" s="144">
        <f t="shared" si="442"/>
        <v>0</v>
      </c>
      <c r="DY57" s="144">
        <f t="shared" si="442"/>
        <v>0</v>
      </c>
      <c r="DZ57" s="144">
        <f t="shared" si="442"/>
        <v>0</v>
      </c>
      <c r="EA57" s="144">
        <f t="shared" si="442"/>
        <v>0</v>
      </c>
      <c r="EB57" s="144">
        <f t="shared" si="442"/>
        <v>0</v>
      </c>
      <c r="EC57" s="144">
        <f t="shared" si="442"/>
        <v>0</v>
      </c>
    </row>
    <row r="58" thickBot="1">
      <c r="A58" s="297" t="s">
        <v>1224</v>
      </c>
      <c r="C58" s="144"/>
      <c r="D58" s="144"/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44"/>
      <c r="U58" s="144"/>
      <c r="V58" s="144"/>
      <c r="W58" s="144"/>
      <c r="X58" s="144"/>
      <c r="Y58" s="144"/>
      <c r="Z58" s="144"/>
      <c r="AA58" s="144"/>
      <c r="AB58" s="144"/>
      <c r="AC58" s="144"/>
      <c r="AD58" s="144"/>
      <c r="AE58" s="144"/>
      <c r="AF58" s="144"/>
      <c r="AG58" s="144"/>
      <c r="AH58" s="144"/>
      <c r="AI58" s="144"/>
      <c r="AJ58" s="144"/>
      <c r="AK58" s="144"/>
      <c r="AL58" s="144"/>
      <c r="AM58" s="144"/>
      <c r="AN58" s="144"/>
      <c r="AO58" s="144"/>
      <c r="AP58" s="144"/>
      <c r="AQ58" s="144"/>
      <c r="AR58" s="144"/>
      <c r="AS58" s="144"/>
      <c r="AT58" s="144"/>
      <c r="AU58" s="144"/>
      <c r="AV58" s="144"/>
      <c r="AW58" s="144"/>
      <c r="AX58" s="144"/>
      <c r="AY58" s="144"/>
      <c r="AZ58" s="144"/>
      <c r="BA58" s="144"/>
      <c r="BB58" s="144"/>
      <c r="BC58" s="144"/>
      <c r="BD58" s="144"/>
      <c r="BE58" s="144"/>
      <c r="BF58" s="144"/>
      <c r="BG58" s="144"/>
      <c r="BH58" s="144"/>
      <c r="BI58" s="144"/>
      <c r="BJ58" s="144"/>
      <c r="BK58" s="144"/>
      <c r="BL58" s="144"/>
      <c r="BM58" s="144"/>
      <c r="BN58" s="144"/>
      <c r="BO58" s="144"/>
      <c r="BP58" s="144"/>
      <c r="BQ58" s="144"/>
      <c r="BR58" s="144"/>
      <c r="BS58" s="144"/>
      <c r="BT58" s="144"/>
      <c r="BU58" s="144"/>
      <c r="BV58" s="144"/>
      <c r="BW58" s="144"/>
      <c r="BX58" s="144"/>
      <c r="BY58" s="144"/>
      <c r="BZ58" s="144"/>
      <c r="CA58" s="144"/>
      <c r="CB58" s="144"/>
      <c r="CC58" s="144"/>
      <c r="CD58" s="144"/>
      <c r="CE58" s="144"/>
      <c r="CF58" s="144"/>
      <c r="CG58" s="144"/>
      <c r="CH58" s="144"/>
      <c r="CI58" s="144"/>
      <c r="CJ58" s="144"/>
      <c r="CK58" s="144"/>
      <c r="CL58" s="144"/>
      <c r="CM58" s="144"/>
      <c r="CN58" s="144"/>
      <c r="CO58" s="144"/>
      <c r="CP58" s="144"/>
      <c r="CQ58" s="144"/>
      <c r="CR58" s="144"/>
      <c r="CS58" s="144"/>
      <c r="CT58" s="144"/>
      <c r="CU58" s="144"/>
      <c r="CV58" s="144"/>
      <c r="CW58" s="144"/>
      <c r="CX58" s="144"/>
      <c r="CY58" s="144"/>
      <c r="CZ58" s="144"/>
      <c r="DA58" s="144"/>
      <c r="DB58" s="144"/>
      <c r="DC58" s="144"/>
      <c r="DD58" s="144"/>
      <c r="DE58" s="144"/>
      <c r="DF58" s="144"/>
      <c r="DG58" s="144"/>
      <c r="DH58" s="144"/>
      <c r="DI58" s="144"/>
      <c r="DJ58" s="144"/>
      <c r="DK58" s="144"/>
      <c r="DL58" s="144"/>
      <c r="DM58" s="144"/>
      <c r="DN58" s="144"/>
      <c r="DO58" s="144"/>
      <c r="DP58" s="144"/>
      <c r="DQ58" s="144"/>
      <c r="DR58" s="144"/>
      <c r="DT58" s="144">
        <f t="shared" si="442"/>
        <v>0</v>
      </c>
      <c r="DU58" s="144">
        <f t="shared" si="442"/>
        <v>0</v>
      </c>
      <c r="DV58" s="144">
        <f t="shared" si="442"/>
        <v>0</v>
      </c>
      <c r="DW58" s="144">
        <f t="shared" si="442"/>
        <v>0</v>
      </c>
      <c r="DX58" s="144">
        <f t="shared" si="442"/>
        <v>0</v>
      </c>
      <c r="DY58" s="144">
        <f t="shared" si="442"/>
        <v>0</v>
      </c>
      <c r="DZ58" s="144">
        <f t="shared" si="442"/>
        <v>0</v>
      </c>
      <c r="EA58" s="144">
        <f t="shared" si="442"/>
        <v>0</v>
      </c>
      <c r="EB58" s="144">
        <f t="shared" si="442"/>
        <v>0</v>
      </c>
      <c r="EC58" s="144">
        <f t="shared" si="442"/>
        <v>0</v>
      </c>
    </row>
    <row r="59" thickTop="1" thickBot="1" ht="18.75" customHeight="1">
      <c r="A59" s="293" t="s">
        <v>1225</v>
      </c>
      <c r="B59" s="294"/>
      <c r="C59" s="295">
        <f>+C57+C58</f>
        <v>0</v>
      </c>
      <c r="D59" s="295">
        <f t="shared" ref="D59:I59" si="443">+D57+D58</f>
        <v>0</v>
      </c>
      <c r="E59" s="295">
        <f t="shared" si="443"/>
        <v>0</v>
      </c>
      <c r="F59" s="295">
        <f t="shared" si="443"/>
        <v>0</v>
      </c>
      <c r="G59" s="295">
        <f t="shared" si="443"/>
        <v>0</v>
      </c>
      <c r="H59" s="295">
        <f t="shared" si="443"/>
        <v>0</v>
      </c>
      <c r="I59" s="295">
        <f t="shared" si="443"/>
        <v>0</v>
      </c>
      <c r="J59" s="295">
        <f t="shared" ref="J59" si="444">+J57+J58</f>
        <v>0</v>
      </c>
      <c r="K59" s="295">
        <f t="shared" ref="K59" si="445">+K57+K58</f>
        <v>0</v>
      </c>
      <c r="L59" s="295">
        <f t="shared" ref="L59" si="446">+L57+L58</f>
        <v>0</v>
      </c>
      <c r="M59" s="295">
        <f t="shared" ref="M59" si="447">+M57+M58</f>
        <v>0</v>
      </c>
      <c r="N59" s="295">
        <f t="shared" ref="N59:O59" si="448">+N57+N58</f>
        <v>0</v>
      </c>
      <c r="O59" s="295">
        <f t="shared" si="448"/>
        <v>0</v>
      </c>
      <c r="P59" s="295">
        <f t="shared" ref="P59" si="449">+P57+P58</f>
        <v>0</v>
      </c>
      <c r="Q59" s="295">
        <f t="shared" ref="Q59" si="450">+Q57+Q58</f>
        <v>0</v>
      </c>
      <c r="R59" s="295">
        <f t="shared" ref="R59" si="451">+R57+R58</f>
        <v>0</v>
      </c>
      <c r="S59" s="295">
        <f t="shared" ref="S59" si="452">+S57+S58</f>
        <v>0</v>
      </c>
      <c r="T59" s="295">
        <f t="shared" ref="T59:U59" si="453">+T57+T58</f>
        <v>0</v>
      </c>
      <c r="U59" s="295">
        <f t="shared" si="453"/>
        <v>0</v>
      </c>
      <c r="V59" s="295">
        <f t="shared" ref="V59" si="454">+V57+V58</f>
        <v>0</v>
      </c>
      <c r="W59" s="295">
        <f t="shared" ref="W59" si="455">+W57+W58</f>
        <v>0</v>
      </c>
      <c r="X59" s="295">
        <f t="shared" ref="X59" si="456">+X57+X58</f>
        <v>0</v>
      </c>
      <c r="Y59" s="295">
        <f t="shared" ref="Y59" si="457">+Y57+Y58</f>
        <v>0</v>
      </c>
      <c r="Z59" s="295">
        <f t="shared" ref="Z59:AA59" si="458">+Z57+Z58</f>
        <v>0</v>
      </c>
      <c r="AA59" s="295">
        <f t="shared" si="458"/>
        <v>0</v>
      </c>
      <c r="AB59" s="295">
        <f t="shared" ref="AB59" si="459">+AB57+AB58</f>
        <v>0</v>
      </c>
      <c r="AC59" s="295">
        <f t="shared" ref="AC59" si="460">+AC57+AC58</f>
        <v>0</v>
      </c>
      <c r="AD59" s="295">
        <f t="shared" ref="AD59" si="461">+AD57+AD58</f>
        <v>0</v>
      </c>
      <c r="AE59" s="295">
        <f t="shared" ref="AE59" si="462">+AE57+AE58</f>
        <v>0</v>
      </c>
      <c r="AF59" s="295">
        <f t="shared" ref="AF59:AG59" si="463">+AF57+AF58</f>
        <v>0</v>
      </c>
      <c r="AG59" s="295">
        <f t="shared" si="463"/>
        <v>0</v>
      </c>
      <c r="AH59" s="295">
        <f t="shared" ref="AH59" si="464">+AH57+AH58</f>
        <v>0</v>
      </c>
      <c r="AI59" s="295">
        <f t="shared" ref="AI59" si="465">+AI57+AI58</f>
        <v>0</v>
      </c>
      <c r="AJ59" s="295">
        <f t="shared" ref="AJ59" si="466">+AJ57+AJ58</f>
        <v>0</v>
      </c>
      <c r="AK59" s="295">
        <f t="shared" ref="AK59" si="467">+AK57+AK58</f>
        <v>0</v>
      </c>
      <c r="AL59" s="295">
        <f t="shared" ref="AL59:AM59" si="468">+AL57+AL58</f>
        <v>0</v>
      </c>
      <c r="AM59" s="295">
        <f t="shared" si="468"/>
        <v>0</v>
      </c>
      <c r="AN59" s="295">
        <f t="shared" ref="AN59" si="469">+AN57+AN58</f>
        <v>0</v>
      </c>
      <c r="AO59" s="295">
        <f t="shared" ref="AO59" si="470">+AO57+AO58</f>
        <v>0</v>
      </c>
      <c r="AP59" s="295">
        <f t="shared" ref="AP59" si="471">+AP57+AP58</f>
        <v>0</v>
      </c>
      <c r="AQ59" s="295">
        <f t="shared" ref="AQ59" si="472">+AQ57+AQ58</f>
        <v>0</v>
      </c>
      <c r="AR59" s="295">
        <f t="shared" ref="AR59:AS59" si="473">+AR57+AR58</f>
        <v>0</v>
      </c>
      <c r="AS59" s="295">
        <f t="shared" si="473"/>
        <v>0</v>
      </c>
      <c r="AT59" s="295">
        <f t="shared" ref="AT59" si="474">+AT57+AT58</f>
        <v>0</v>
      </c>
      <c r="AU59" s="295">
        <f t="shared" ref="AU59" si="475">+AU57+AU58</f>
        <v>0</v>
      </c>
      <c r="AV59" s="295">
        <f t="shared" ref="AV59" si="476">+AV57+AV58</f>
        <v>0</v>
      </c>
      <c r="AW59" s="295">
        <f t="shared" ref="AW59" si="477">+AW57+AW58</f>
        <v>0</v>
      </c>
      <c r="AX59" s="295">
        <f t="shared" ref="AX59:AY59" si="478">+AX57+AX58</f>
        <v>0</v>
      </c>
      <c r="AY59" s="295">
        <f t="shared" si="478"/>
        <v>0</v>
      </c>
      <c r="AZ59" s="295">
        <f t="shared" ref="AZ59" si="479">+AZ57+AZ58</f>
        <v>0</v>
      </c>
      <c r="BA59" s="295">
        <f t="shared" ref="BA59" si="480">+BA57+BA58</f>
        <v>0</v>
      </c>
      <c r="BB59" s="295">
        <f t="shared" ref="BB59" si="481">+BB57+BB58</f>
        <v>0</v>
      </c>
      <c r="BC59" s="295">
        <f t="shared" ref="BC59" si="482">+BC57+BC58</f>
        <v>0</v>
      </c>
      <c r="BD59" s="295">
        <f t="shared" ref="BD59:BE59" si="483">+BD57+BD58</f>
        <v>0</v>
      </c>
      <c r="BE59" s="295">
        <f t="shared" si="483"/>
        <v>0</v>
      </c>
      <c r="BF59" s="295">
        <f t="shared" ref="BF59" si="484">+BF57+BF58</f>
        <v>0</v>
      </c>
      <c r="BG59" s="295">
        <f t="shared" ref="BG59" si="485">+BG57+BG58</f>
        <v>0</v>
      </c>
      <c r="BH59" s="295">
        <f t="shared" ref="BH59" si="486">+BH57+BH58</f>
        <v>0</v>
      </c>
      <c r="BI59" s="295">
        <f t="shared" ref="BI59" si="487">+BI57+BI58</f>
        <v>0</v>
      </c>
      <c r="BJ59" s="295">
        <f t="shared" ref="BJ59:BK59" si="488">+BJ57+BJ58</f>
        <v>0</v>
      </c>
      <c r="BK59" s="295">
        <f t="shared" si="488"/>
        <v>0</v>
      </c>
      <c r="BL59" s="295">
        <f t="shared" ref="BL59" si="489">+BL57+BL58</f>
        <v>0</v>
      </c>
      <c r="BM59" s="295">
        <f t="shared" ref="BM59" si="490">+BM57+BM58</f>
        <v>0</v>
      </c>
      <c r="BN59" s="295">
        <f t="shared" ref="BN59" si="491">+BN57+BN58</f>
        <v>0</v>
      </c>
      <c r="BO59" s="295">
        <f t="shared" ref="BO59" si="492">+BO57+BO58</f>
        <v>0</v>
      </c>
      <c r="BP59" s="295">
        <f t="shared" ref="BP59:BQ59" si="493">+BP57+BP58</f>
        <v>0</v>
      </c>
      <c r="BQ59" s="295">
        <f t="shared" si="493"/>
        <v>0</v>
      </c>
      <c r="BR59" s="295">
        <f t="shared" ref="BR59" si="494">+BR57+BR58</f>
        <v>0</v>
      </c>
      <c r="BS59" s="295">
        <f t="shared" ref="BS59" si="495">+BS57+BS58</f>
        <v>0</v>
      </c>
      <c r="BT59" s="295">
        <f t="shared" ref="BT59" si="496">+BT57+BT58</f>
        <v>0</v>
      </c>
      <c r="BU59" s="295">
        <f t="shared" ref="BU59" si="497">+BU57+BU58</f>
        <v>0</v>
      </c>
      <c r="BV59" s="295">
        <f t="shared" ref="BV59:BW59" si="498">+BV57+BV58</f>
        <v>0</v>
      </c>
      <c r="BW59" s="295">
        <f t="shared" si="498"/>
        <v>0</v>
      </c>
      <c r="BX59" s="295">
        <f t="shared" ref="BX59" si="499">+BX57+BX58</f>
        <v>0</v>
      </c>
      <c r="BY59" s="295">
        <f t="shared" ref="BY59" si="500">+BY57+BY58</f>
        <v>0</v>
      </c>
      <c r="BZ59" s="295">
        <f t="shared" ref="BZ59" si="501">+BZ57+BZ58</f>
        <v>0</v>
      </c>
      <c r="CA59" s="295">
        <f t="shared" ref="CA59" si="502">+CA57+CA58</f>
        <v>0</v>
      </c>
      <c r="CB59" s="295">
        <f t="shared" ref="CB59:CC59" si="503">+CB57+CB58</f>
        <v>0</v>
      </c>
      <c r="CC59" s="295">
        <f t="shared" si="503"/>
        <v>0</v>
      </c>
      <c r="CD59" s="295">
        <f t="shared" ref="CD59" si="504">+CD57+CD58</f>
        <v>0</v>
      </c>
      <c r="CE59" s="295">
        <f t="shared" ref="CE59" si="505">+CE57+CE58</f>
        <v>0</v>
      </c>
      <c r="CF59" s="295">
        <f t="shared" ref="CF59" si="506">+CF57+CF58</f>
        <v>0</v>
      </c>
      <c r="CG59" s="295">
        <f t="shared" ref="CG59" si="507">+CG57+CG58</f>
        <v>0</v>
      </c>
      <c r="CH59" s="295">
        <f t="shared" ref="CH59:CI59" si="508">+CH57+CH58</f>
        <v>0</v>
      </c>
      <c r="CI59" s="295">
        <f t="shared" si="508"/>
        <v>0</v>
      </c>
      <c r="CJ59" s="295">
        <f t="shared" ref="CJ59" si="509">+CJ57+CJ58</f>
        <v>0</v>
      </c>
      <c r="CK59" s="295">
        <f t="shared" ref="CK59" si="510">+CK57+CK58</f>
        <v>0</v>
      </c>
      <c r="CL59" s="295">
        <f t="shared" ref="CL59" si="511">+CL57+CL58</f>
        <v>0</v>
      </c>
      <c r="CM59" s="295">
        <f t="shared" ref="CM59" si="512">+CM57+CM58</f>
        <v>0</v>
      </c>
      <c r="CN59" s="295">
        <f t="shared" ref="CN59:CO59" si="513">+CN57+CN58</f>
        <v>0</v>
      </c>
      <c r="CO59" s="295">
        <f t="shared" si="513"/>
        <v>0</v>
      </c>
      <c r="CP59" s="295">
        <f t="shared" ref="CP59" si="514">+CP57+CP58</f>
        <v>0</v>
      </c>
      <c r="CQ59" s="295">
        <f t="shared" ref="CQ59" si="515">+CQ57+CQ58</f>
        <v>0</v>
      </c>
      <c r="CR59" s="295">
        <f t="shared" ref="CR59" si="516">+CR57+CR58</f>
        <v>0</v>
      </c>
      <c r="CS59" s="295">
        <f t="shared" ref="CS59" si="517">+CS57+CS58</f>
        <v>0</v>
      </c>
      <c r="CT59" s="295">
        <f t="shared" ref="CT59:CU59" si="518">+CT57+CT58</f>
        <v>0</v>
      </c>
      <c r="CU59" s="295">
        <f t="shared" si="518"/>
        <v>0</v>
      </c>
      <c r="CV59" s="295">
        <f t="shared" ref="CV59" si="519">+CV57+CV58</f>
        <v>0</v>
      </c>
      <c r="CW59" s="295">
        <f t="shared" ref="CW59" si="520">+CW57+CW58</f>
        <v>0</v>
      </c>
      <c r="CX59" s="295">
        <f t="shared" ref="CX59" si="521">+CX57+CX58</f>
        <v>0</v>
      </c>
      <c r="CY59" s="295">
        <f t="shared" ref="CY59" si="522">+CY57+CY58</f>
        <v>0</v>
      </c>
      <c r="CZ59" s="295">
        <f t="shared" ref="CZ59:DA59" si="523">+CZ57+CZ58</f>
        <v>0</v>
      </c>
      <c r="DA59" s="295">
        <f t="shared" si="523"/>
        <v>0</v>
      </c>
      <c r="DB59" s="295">
        <f t="shared" ref="DB59" si="524">+DB57+DB58</f>
        <v>0</v>
      </c>
      <c r="DC59" s="295">
        <f t="shared" ref="DC59" si="525">+DC57+DC58</f>
        <v>0</v>
      </c>
      <c r="DD59" s="295">
        <f t="shared" ref="DD59" si="526">+DD57+DD58</f>
        <v>0</v>
      </c>
      <c r="DE59" s="295">
        <f t="shared" ref="DE59" si="527">+DE57+DE58</f>
        <v>0</v>
      </c>
      <c r="DF59" s="295">
        <f t="shared" ref="DF59:DG59" si="528">+DF57+DF58</f>
        <v>0</v>
      </c>
      <c r="DG59" s="295">
        <f t="shared" si="528"/>
        <v>0</v>
      </c>
      <c r="DH59" s="295">
        <f t="shared" ref="DH59" si="529">+DH57+DH58</f>
        <v>0</v>
      </c>
      <c r="DI59" s="295">
        <f t="shared" ref="DI59" si="530">+DI57+DI58</f>
        <v>0</v>
      </c>
      <c r="DJ59" s="295">
        <f t="shared" ref="DJ59" si="531">+DJ57+DJ58</f>
        <v>0</v>
      </c>
      <c r="DK59" s="295">
        <f t="shared" ref="DK59" si="532">+DK57+DK58</f>
        <v>0</v>
      </c>
      <c r="DL59" s="295">
        <f t="shared" ref="DL59:DM59" si="533">+DL57+DL58</f>
        <v>0</v>
      </c>
      <c r="DM59" s="295">
        <f t="shared" si="533"/>
        <v>0</v>
      </c>
      <c r="DN59" s="295">
        <f t="shared" ref="DN59" si="534">+DN57+DN58</f>
        <v>0</v>
      </c>
      <c r="DO59" s="295">
        <f t="shared" ref="DO59" si="535">+DO57+DO58</f>
        <v>0</v>
      </c>
      <c r="DP59" s="295">
        <f t="shared" ref="DP59" si="536">+DP57+DP58</f>
        <v>0</v>
      </c>
      <c r="DQ59" s="295">
        <f t="shared" ref="DQ59" si="537">+DQ57+DQ58</f>
        <v>0</v>
      </c>
      <c r="DR59" s="295">
        <f t="shared" ref="DR59:DU59" si="538">+DR57+DR58</f>
        <v>0</v>
      </c>
      <c r="DT59" s="295">
        <f t="shared" si="538"/>
        <v>0</v>
      </c>
      <c r="DU59" s="295">
        <f t="shared" si="538"/>
        <v>0</v>
      </c>
      <c r="DV59" s="295">
        <f t="shared" ref="DV59:EC59" si="539">+DV57+DV58</f>
        <v>0</v>
      </c>
      <c r="DW59" s="295">
        <f t="shared" si="539"/>
        <v>0</v>
      </c>
      <c r="DX59" s="295">
        <f t="shared" si="539"/>
        <v>0</v>
      </c>
      <c r="DY59" s="295">
        <f t="shared" si="539"/>
        <v>0</v>
      </c>
      <c r="DZ59" s="295">
        <f t="shared" si="539"/>
        <v>0</v>
      </c>
      <c r="EA59" s="295">
        <f t="shared" si="539"/>
        <v>0</v>
      </c>
      <c r="EB59" s="295">
        <f t="shared" si="539"/>
        <v>0</v>
      </c>
      <c r="EC59" s="295">
        <f t="shared" si="539"/>
        <v>0</v>
      </c>
    </row>
    <row r="60" thickTop="1" ht="19">
      <c r="A60" s="150"/>
      <c r="B60" s="292"/>
    </row>
    <row r="61" thickBot="1" ht="20.25" customHeight="1">
      <c r="A61" s="150"/>
      <c r="B61" s="292"/>
    </row>
    <row r="62" thickTop="1" thickBot="1" ht="19.5">
      <c r="A62" s="299" t="s">
        <v>1226</v>
      </c>
      <c r="B62" s="300"/>
      <c r="C62" s="301">
        <f>+C54-C59</f>
        <v>0</v>
      </c>
      <c r="D62" s="301">
        <f t="shared" ref="D62:BO62" si="540">+D54-D59</f>
        <v>0</v>
      </c>
      <c r="E62" s="301">
        <f t="shared" si="540"/>
        <v>0</v>
      </c>
      <c r="F62" s="301">
        <f t="shared" si="540"/>
        <v>0</v>
      </c>
      <c r="G62" s="301">
        <f t="shared" si="540"/>
        <v>0</v>
      </c>
      <c r="H62" s="301">
        <f t="shared" si="540"/>
        <v>0</v>
      </c>
      <c r="I62" s="301">
        <f t="shared" si="540"/>
        <v>0</v>
      </c>
      <c r="J62" s="301">
        <f t="shared" si="540"/>
        <v>0</v>
      </c>
      <c r="K62" s="301">
        <f t="shared" si="540"/>
        <v>0</v>
      </c>
      <c r="L62" s="301">
        <f t="shared" si="540"/>
        <v>0</v>
      </c>
      <c r="M62" s="301">
        <f t="shared" si="540"/>
        <v>0</v>
      </c>
      <c r="N62" s="301">
        <f t="shared" si="540"/>
        <v>0</v>
      </c>
      <c r="O62" s="301">
        <f t="shared" si="540"/>
        <v>0</v>
      </c>
      <c r="P62" s="301">
        <f t="shared" si="540"/>
        <v>0</v>
      </c>
      <c r="Q62" s="301">
        <f t="shared" si="540"/>
        <v>0</v>
      </c>
      <c r="R62" s="301">
        <f t="shared" si="540"/>
        <v>0</v>
      </c>
      <c r="S62" s="301">
        <f t="shared" si="540"/>
        <v>0</v>
      </c>
      <c r="T62" s="301">
        <f t="shared" si="540"/>
        <v>0</v>
      </c>
      <c r="U62" s="301">
        <f t="shared" si="540"/>
        <v>0</v>
      </c>
      <c r="V62" s="301">
        <f t="shared" si="540"/>
        <v>0</v>
      </c>
      <c r="W62" s="301">
        <f t="shared" si="540"/>
        <v>0</v>
      </c>
      <c r="X62" s="301">
        <f t="shared" si="540"/>
        <v>0</v>
      </c>
      <c r="Y62" s="301">
        <f t="shared" si="540"/>
        <v>0</v>
      </c>
      <c r="Z62" s="301">
        <f t="shared" si="540"/>
        <v>0</v>
      </c>
      <c r="AA62" s="301">
        <f t="shared" si="540"/>
        <v>0</v>
      </c>
      <c r="AB62" s="301">
        <f t="shared" si="540"/>
        <v>0</v>
      </c>
      <c r="AC62" s="301">
        <f t="shared" si="540"/>
        <v>0</v>
      </c>
      <c r="AD62" s="301">
        <f t="shared" si="540"/>
        <v>0</v>
      </c>
      <c r="AE62" s="301">
        <f t="shared" si="540"/>
        <v>0</v>
      </c>
      <c r="AF62" s="301">
        <f t="shared" si="540"/>
        <v>0</v>
      </c>
      <c r="AG62" s="301">
        <f t="shared" si="540"/>
        <v>0</v>
      </c>
      <c r="AH62" s="301">
        <f t="shared" si="540"/>
        <v>0</v>
      </c>
      <c r="AI62" s="301">
        <f t="shared" si="540"/>
        <v>0</v>
      </c>
      <c r="AJ62" s="301">
        <f t="shared" si="540"/>
        <v>0</v>
      </c>
      <c r="AK62" s="301">
        <f t="shared" si="540"/>
        <v>0</v>
      </c>
      <c r="AL62" s="301">
        <f t="shared" si="540"/>
        <v>0</v>
      </c>
      <c r="AM62" s="301">
        <f t="shared" si="540"/>
        <v>0</v>
      </c>
      <c r="AN62" s="301">
        <f t="shared" si="540"/>
        <v>0</v>
      </c>
      <c r="AO62" s="301">
        <f t="shared" si="540"/>
        <v>0</v>
      </c>
      <c r="AP62" s="301">
        <f t="shared" si="540"/>
        <v>0</v>
      </c>
      <c r="AQ62" s="301">
        <f t="shared" si="540"/>
        <v>0</v>
      </c>
      <c r="AR62" s="301">
        <f t="shared" si="540"/>
        <v>0</v>
      </c>
      <c r="AS62" s="301">
        <f t="shared" si="540"/>
        <v>0</v>
      </c>
      <c r="AT62" s="301">
        <f t="shared" si="540"/>
        <v>0</v>
      </c>
      <c r="AU62" s="301">
        <f t="shared" si="540"/>
        <v>0</v>
      </c>
      <c r="AV62" s="301">
        <f t="shared" si="540"/>
        <v>0</v>
      </c>
      <c r="AW62" s="301">
        <f t="shared" si="540"/>
        <v>0</v>
      </c>
      <c r="AX62" s="301">
        <f t="shared" si="540"/>
        <v>0</v>
      </c>
      <c r="AY62" s="301">
        <f t="shared" si="540"/>
        <v>0</v>
      </c>
      <c r="AZ62" s="301">
        <f t="shared" si="540"/>
        <v>0</v>
      </c>
      <c r="BA62" s="301">
        <f t="shared" si="540"/>
        <v>0</v>
      </c>
      <c r="BB62" s="301">
        <f t="shared" si="540"/>
        <v>0</v>
      </c>
      <c r="BC62" s="301">
        <f t="shared" si="540"/>
        <v>0</v>
      </c>
      <c r="BD62" s="301">
        <f t="shared" si="540"/>
        <v>0</v>
      </c>
      <c r="BE62" s="301">
        <f t="shared" si="540"/>
        <v>0</v>
      </c>
      <c r="BF62" s="301">
        <f t="shared" si="540"/>
        <v>0</v>
      </c>
      <c r="BG62" s="301">
        <f t="shared" si="540"/>
        <v>0</v>
      </c>
      <c r="BH62" s="301">
        <f t="shared" si="540"/>
        <v>0</v>
      </c>
      <c r="BI62" s="301">
        <f t="shared" si="540"/>
        <v>0</v>
      </c>
      <c r="BJ62" s="301">
        <f t="shared" si="540"/>
        <v>0</v>
      </c>
      <c r="BK62" s="301">
        <f t="shared" si="540"/>
        <v>0</v>
      </c>
      <c r="BL62" s="301">
        <f t="shared" si="540"/>
        <v>0</v>
      </c>
      <c r="BM62" s="301">
        <f t="shared" si="540"/>
        <v>0</v>
      </c>
      <c r="BN62" s="301">
        <f t="shared" si="540"/>
        <v>0</v>
      </c>
      <c r="BO62" s="301">
        <f t="shared" si="540"/>
        <v>0</v>
      </c>
      <c r="BP62" s="301">
        <f t="shared" ref="BP62:DU62" si="541">+BP54-BP59</f>
        <v>0</v>
      </c>
      <c r="BQ62" s="301">
        <f t="shared" si="541"/>
        <v>0</v>
      </c>
      <c r="BR62" s="301">
        <f t="shared" si="541"/>
        <v>0</v>
      </c>
      <c r="BS62" s="301">
        <f t="shared" si="541"/>
        <v>0</v>
      </c>
      <c r="BT62" s="301">
        <f t="shared" si="541"/>
        <v>0</v>
      </c>
      <c r="BU62" s="301">
        <f t="shared" si="541"/>
        <v>0</v>
      </c>
      <c r="BV62" s="301">
        <f t="shared" si="541"/>
        <v>0</v>
      </c>
      <c r="BW62" s="301">
        <f t="shared" si="541"/>
        <v>0</v>
      </c>
      <c r="BX62" s="301">
        <f t="shared" si="541"/>
        <v>0</v>
      </c>
      <c r="BY62" s="301">
        <f t="shared" si="541"/>
        <v>0</v>
      </c>
      <c r="BZ62" s="301">
        <f t="shared" si="541"/>
        <v>0</v>
      </c>
      <c r="CA62" s="301">
        <f t="shared" si="541"/>
        <v>0</v>
      </c>
      <c r="CB62" s="301">
        <f t="shared" si="541"/>
        <v>0</v>
      </c>
      <c r="CC62" s="301">
        <f t="shared" si="541"/>
        <v>0</v>
      </c>
      <c r="CD62" s="301">
        <f t="shared" si="541"/>
        <v>0</v>
      </c>
      <c r="CE62" s="301">
        <f t="shared" si="541"/>
        <v>0</v>
      </c>
      <c r="CF62" s="301">
        <f t="shared" si="541"/>
        <v>0</v>
      </c>
      <c r="CG62" s="301">
        <f t="shared" si="541"/>
        <v>0</v>
      </c>
      <c r="CH62" s="301">
        <f t="shared" si="541"/>
        <v>0</v>
      </c>
      <c r="CI62" s="301">
        <f t="shared" si="541"/>
        <v>0</v>
      </c>
      <c r="CJ62" s="301">
        <f t="shared" si="541"/>
        <v>0</v>
      </c>
      <c r="CK62" s="301">
        <f t="shared" si="541"/>
        <v>0</v>
      </c>
      <c r="CL62" s="301">
        <f t="shared" si="541"/>
        <v>0</v>
      </c>
      <c r="CM62" s="301">
        <f t="shared" si="541"/>
        <v>0</v>
      </c>
      <c r="CN62" s="301">
        <f t="shared" si="541"/>
        <v>0</v>
      </c>
      <c r="CO62" s="301">
        <f t="shared" si="541"/>
        <v>0</v>
      </c>
      <c r="CP62" s="301">
        <f t="shared" si="541"/>
        <v>0</v>
      </c>
      <c r="CQ62" s="301">
        <f t="shared" si="541"/>
        <v>0</v>
      </c>
      <c r="CR62" s="301">
        <f t="shared" si="541"/>
        <v>0</v>
      </c>
      <c r="CS62" s="301">
        <f t="shared" si="541"/>
        <v>0</v>
      </c>
      <c r="CT62" s="301">
        <f t="shared" si="541"/>
        <v>0</v>
      </c>
      <c r="CU62" s="301">
        <f t="shared" si="541"/>
        <v>0</v>
      </c>
      <c r="CV62" s="301">
        <f t="shared" si="541"/>
        <v>0</v>
      </c>
      <c r="CW62" s="301">
        <f t="shared" si="541"/>
        <v>0</v>
      </c>
      <c r="CX62" s="301">
        <f t="shared" si="541"/>
        <v>0</v>
      </c>
      <c r="CY62" s="301">
        <f t="shared" si="541"/>
        <v>0</v>
      </c>
      <c r="CZ62" s="301">
        <f t="shared" si="541"/>
        <v>0</v>
      </c>
      <c r="DA62" s="301">
        <f t="shared" si="541"/>
        <v>0</v>
      </c>
      <c r="DB62" s="301">
        <f t="shared" si="541"/>
        <v>0</v>
      </c>
      <c r="DC62" s="301">
        <f t="shared" si="541"/>
        <v>0</v>
      </c>
      <c r="DD62" s="301">
        <f t="shared" si="541"/>
        <v>0</v>
      </c>
      <c r="DE62" s="301">
        <f t="shared" si="541"/>
        <v>0</v>
      </c>
      <c r="DF62" s="301">
        <f t="shared" si="541"/>
        <v>0</v>
      </c>
      <c r="DG62" s="301">
        <f t="shared" si="541"/>
        <v>0</v>
      </c>
      <c r="DH62" s="301">
        <f t="shared" si="541"/>
        <v>0</v>
      </c>
      <c r="DI62" s="301">
        <f t="shared" si="541"/>
        <v>0</v>
      </c>
      <c r="DJ62" s="301">
        <f t="shared" si="541"/>
        <v>0</v>
      </c>
      <c r="DK62" s="301">
        <f t="shared" si="541"/>
        <v>0</v>
      </c>
      <c r="DL62" s="301">
        <f t="shared" si="541"/>
        <v>0</v>
      </c>
      <c r="DM62" s="301">
        <f t="shared" si="541"/>
        <v>0</v>
      </c>
      <c r="DN62" s="301">
        <f t="shared" si="541"/>
        <v>0</v>
      </c>
      <c r="DO62" s="301">
        <f t="shared" si="541"/>
        <v>0</v>
      </c>
      <c r="DP62" s="301">
        <f t="shared" si="541"/>
        <v>0</v>
      </c>
      <c r="DQ62" s="301">
        <f t="shared" si="541"/>
        <v>0</v>
      </c>
      <c r="DR62" s="301">
        <f t="shared" si="541"/>
        <v>0</v>
      </c>
      <c r="DT62" s="301">
        <f t="shared" si="541"/>
        <v>0</v>
      </c>
      <c r="DU62" s="301">
        <f t="shared" si="541"/>
        <v>0</v>
      </c>
      <c r="DV62" s="301">
        <f t="shared" ref="DV62:EC62" si="542">+DV54-DV59</f>
        <v>0</v>
      </c>
      <c r="DW62" s="301">
        <f t="shared" si="542"/>
        <v>0</v>
      </c>
      <c r="DX62" s="301">
        <f t="shared" si="542"/>
        <v>0</v>
      </c>
      <c r="DY62" s="301">
        <f t="shared" si="542"/>
        <v>0</v>
      </c>
      <c r="DZ62" s="301">
        <f t="shared" si="542"/>
        <v>0</v>
      </c>
      <c r="EA62" s="301">
        <f t="shared" si="542"/>
        <v>0</v>
      </c>
      <c r="EB62" s="301">
        <f t="shared" si="542"/>
        <v>0</v>
      </c>
      <c r="EC62" s="301">
        <f t="shared" si="542"/>
        <v>0</v>
      </c>
    </row>
    <row r="63" thickTop="1" ht="19">
      <c r="A63" s="150"/>
      <c r="B63" s="304"/>
    </row>
    <row r="64" ht="18.5">
      <c r="A64" s="150" t="s">
        <v>1227</v>
      </c>
      <c r="B64" s="304"/>
    </row>
    <row r="65" ht="14.5">
      <c r="A65" s="297" t="s">
        <v>1228</v>
      </c>
      <c r="C65" s="144"/>
      <c r="D65" s="144"/>
      <c r="E65" s="144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44"/>
      <c r="Q65" s="144"/>
      <c r="R65" s="144"/>
      <c r="S65" s="144"/>
      <c r="T65" s="144"/>
      <c r="U65" s="144"/>
      <c r="V65" s="144"/>
      <c r="W65" s="144"/>
      <c r="X65" s="144"/>
      <c r="Y65" s="144"/>
      <c r="Z65" s="144"/>
      <c r="AA65" s="144"/>
      <c r="AB65" s="144"/>
      <c r="AC65" s="144"/>
      <c r="AD65" s="144"/>
      <c r="AE65" s="144"/>
      <c r="AF65" s="144"/>
      <c r="AG65" s="144"/>
      <c r="AH65" s="144"/>
      <c r="AI65" s="144"/>
      <c r="AJ65" s="144"/>
      <c r="AK65" s="144"/>
      <c r="AL65" s="144"/>
      <c r="AM65" s="144"/>
      <c r="AN65" s="144"/>
      <c r="AO65" s="144"/>
      <c r="AP65" s="144"/>
      <c r="AQ65" s="144"/>
      <c r="AR65" s="144"/>
      <c r="AS65" s="144"/>
      <c r="AT65" s="144"/>
      <c r="AU65" s="144"/>
      <c r="AV65" s="144"/>
      <c r="AW65" s="144"/>
      <c r="AX65" s="144"/>
      <c r="AY65" s="144"/>
      <c r="AZ65" s="144"/>
      <c r="BA65" s="144"/>
      <c r="BB65" s="144"/>
      <c r="BC65" s="144"/>
      <c r="BD65" s="144"/>
      <c r="BE65" s="144"/>
      <c r="BF65" s="144"/>
      <c r="BG65" s="144"/>
      <c r="BH65" s="144"/>
      <c r="BI65" s="144"/>
      <c r="BJ65" s="144"/>
      <c r="BK65" s="144"/>
      <c r="BL65" s="144"/>
      <c r="BM65" s="144"/>
      <c r="BN65" s="144"/>
      <c r="BO65" s="144"/>
      <c r="BP65" s="144"/>
      <c r="BQ65" s="144"/>
      <c r="BR65" s="144"/>
      <c r="BS65" s="144"/>
      <c r="BT65" s="144"/>
      <c r="BU65" s="144"/>
      <c r="BV65" s="144"/>
      <c r="BW65" s="144"/>
      <c r="BX65" s="144"/>
      <c r="BY65" s="144"/>
      <c r="BZ65" s="144"/>
      <c r="CA65" s="144"/>
      <c r="CB65" s="144"/>
      <c r="CC65" s="144"/>
      <c r="CD65" s="144"/>
      <c r="CE65" s="144"/>
      <c r="CF65" s="144"/>
      <c r="CG65" s="144"/>
      <c r="CH65" s="144"/>
      <c r="CI65" s="144"/>
      <c r="CJ65" s="144"/>
      <c r="CK65" s="144"/>
      <c r="CL65" s="144"/>
      <c r="CM65" s="144"/>
      <c r="CN65" s="144"/>
      <c r="CO65" s="144"/>
      <c r="CP65" s="144"/>
      <c r="CQ65" s="144"/>
      <c r="CR65" s="144"/>
      <c r="CS65" s="144"/>
      <c r="CT65" s="144"/>
      <c r="CU65" s="144"/>
      <c r="CV65" s="144"/>
      <c r="CW65" s="144"/>
      <c r="CX65" s="144"/>
      <c r="CY65" s="144"/>
      <c r="CZ65" s="144"/>
      <c r="DA65" s="144"/>
      <c r="DB65" s="144"/>
      <c r="DC65" s="144"/>
      <c r="DD65" s="144"/>
      <c r="DE65" s="144"/>
      <c r="DF65" s="144"/>
      <c r="DG65" s="144"/>
      <c r="DH65" s="144"/>
      <c r="DI65" s="144"/>
      <c r="DJ65" s="144"/>
      <c r="DK65" s="144"/>
      <c r="DL65" s="144"/>
      <c r="DM65" s="144"/>
      <c r="DN65" s="144"/>
      <c r="DO65" s="144"/>
      <c r="DP65" s="144"/>
      <c r="DQ65" s="144"/>
      <c r="DR65" s="144"/>
      <c r="DT65" s="144">
        <f t="shared" ref="DT65:EC66" si="543">+SUMIF($C$3:$DR$3,DT$3,$C65:$DR65)</f>
        <v>0</v>
      </c>
      <c r="DU65" s="144">
        <f t="shared" si="543"/>
        <v>0</v>
      </c>
      <c r="DV65" s="144">
        <f t="shared" si="543"/>
        <v>0</v>
      </c>
      <c r="DW65" s="144">
        <f t="shared" si="543"/>
        <v>0</v>
      </c>
      <c r="DX65" s="144">
        <f t="shared" si="543"/>
        <v>0</v>
      </c>
      <c r="DY65" s="144">
        <f t="shared" si="543"/>
        <v>0</v>
      </c>
      <c r="DZ65" s="144">
        <f t="shared" si="543"/>
        <v>0</v>
      </c>
      <c r="EA65" s="144">
        <f t="shared" si="543"/>
        <v>0</v>
      </c>
      <c r="EB65" s="144">
        <f t="shared" si="543"/>
        <v>0</v>
      </c>
      <c r="EC65" s="144">
        <f t="shared" si="543"/>
        <v>0</v>
      </c>
    </row>
    <row r="66" thickBot="1">
      <c r="A66" s="297" t="s">
        <v>1229</v>
      </c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4"/>
      <c r="R66" s="144"/>
      <c r="S66" s="144"/>
      <c r="T66" s="144"/>
      <c r="U66" s="144"/>
      <c r="V66" s="144"/>
      <c r="W66" s="144"/>
      <c r="X66" s="144"/>
      <c r="Y66" s="144"/>
      <c r="Z66" s="144"/>
      <c r="AA66" s="144"/>
      <c r="AB66" s="144"/>
      <c r="AC66" s="144"/>
      <c r="AD66" s="144"/>
      <c r="AE66" s="144"/>
      <c r="AF66" s="144"/>
      <c r="AG66" s="144"/>
      <c r="AH66" s="144"/>
      <c r="AI66" s="144"/>
      <c r="AJ66" s="144"/>
      <c r="AK66" s="144"/>
      <c r="AL66" s="144"/>
      <c r="AM66" s="144"/>
      <c r="AN66" s="144"/>
      <c r="AO66" s="144"/>
      <c r="AP66" s="144"/>
      <c r="AQ66" s="144"/>
      <c r="AR66" s="144"/>
      <c r="AS66" s="144"/>
      <c r="AT66" s="144"/>
      <c r="AU66" s="144"/>
      <c r="AV66" s="144"/>
      <c r="AW66" s="144"/>
      <c r="AX66" s="144"/>
      <c r="AY66" s="144"/>
      <c r="AZ66" s="144"/>
      <c r="BA66" s="144"/>
      <c r="BB66" s="144"/>
      <c r="BC66" s="144"/>
      <c r="BD66" s="144"/>
      <c r="BE66" s="144"/>
      <c r="BF66" s="144"/>
      <c r="BG66" s="144"/>
      <c r="BH66" s="144"/>
      <c r="BI66" s="144"/>
      <c r="BJ66" s="144"/>
      <c r="BK66" s="144"/>
      <c r="BL66" s="144"/>
      <c r="BM66" s="144"/>
      <c r="BN66" s="144"/>
      <c r="BO66" s="144"/>
      <c r="BP66" s="144"/>
      <c r="BQ66" s="144"/>
      <c r="BR66" s="144"/>
      <c r="BS66" s="144"/>
      <c r="BT66" s="144"/>
      <c r="BU66" s="144"/>
      <c r="BV66" s="144"/>
      <c r="BW66" s="144"/>
      <c r="BX66" s="144"/>
      <c r="BY66" s="144"/>
      <c r="BZ66" s="144"/>
      <c r="CA66" s="144"/>
      <c r="CB66" s="144"/>
      <c r="CC66" s="144"/>
      <c r="CD66" s="144"/>
      <c r="CE66" s="144"/>
      <c r="CF66" s="144"/>
      <c r="CG66" s="144"/>
      <c r="CH66" s="144"/>
      <c r="CI66" s="144"/>
      <c r="CJ66" s="144"/>
      <c r="CK66" s="144"/>
      <c r="CL66" s="144"/>
      <c r="CM66" s="144"/>
      <c r="CN66" s="144"/>
      <c r="CO66" s="144"/>
      <c r="CP66" s="144"/>
      <c r="CQ66" s="144"/>
      <c r="CR66" s="144"/>
      <c r="CS66" s="144"/>
      <c r="CT66" s="144"/>
      <c r="CU66" s="144"/>
      <c r="CV66" s="144"/>
      <c r="CW66" s="144"/>
      <c r="CX66" s="144"/>
      <c r="CY66" s="144"/>
      <c r="CZ66" s="144"/>
      <c r="DA66" s="144"/>
      <c r="DB66" s="144"/>
      <c r="DC66" s="144"/>
      <c r="DD66" s="144"/>
      <c r="DE66" s="144"/>
      <c r="DF66" s="144"/>
      <c r="DG66" s="144"/>
      <c r="DH66" s="144"/>
      <c r="DI66" s="144"/>
      <c r="DJ66" s="144"/>
      <c r="DK66" s="144"/>
      <c r="DL66" s="144"/>
      <c r="DM66" s="144"/>
      <c r="DN66" s="144"/>
      <c r="DO66" s="144"/>
      <c r="DP66" s="144"/>
      <c r="DQ66" s="144"/>
      <c r="DR66" s="144"/>
      <c r="DT66" s="144">
        <f t="shared" si="543"/>
        <v>0</v>
      </c>
      <c r="DU66" s="144">
        <f t="shared" si="543"/>
        <v>0</v>
      </c>
      <c r="DV66" s="144">
        <f t="shared" si="543"/>
        <v>0</v>
      </c>
      <c r="DW66" s="144">
        <f t="shared" si="543"/>
        <v>0</v>
      </c>
      <c r="DX66" s="144">
        <f t="shared" si="543"/>
        <v>0</v>
      </c>
      <c r="DY66" s="144">
        <f t="shared" si="543"/>
        <v>0</v>
      </c>
      <c r="DZ66" s="144">
        <f t="shared" si="543"/>
        <v>0</v>
      </c>
      <c r="EA66" s="144">
        <f t="shared" si="543"/>
        <v>0</v>
      </c>
      <c r="EB66" s="144">
        <f t="shared" si="543"/>
        <v>0</v>
      </c>
      <c r="EC66" s="144">
        <f t="shared" si="543"/>
        <v>0</v>
      </c>
    </row>
    <row r="67" thickTop="1" thickBot="1" ht="18.75" customHeight="1">
      <c r="A67" s="293" t="s">
        <v>1230</v>
      </c>
      <c r="B67" s="294"/>
      <c r="C67" s="295">
        <f>+C65+C66</f>
        <v>0</v>
      </c>
      <c r="D67" s="295">
        <f t="shared" ref="D67:I67" si="544">+D65+D66</f>
        <v>0</v>
      </c>
      <c r="E67" s="295">
        <f t="shared" si="544"/>
        <v>0</v>
      </c>
      <c r="F67" s="295">
        <f t="shared" si="544"/>
        <v>0</v>
      </c>
      <c r="G67" s="295">
        <f t="shared" si="544"/>
        <v>0</v>
      </c>
      <c r="H67" s="295">
        <f t="shared" si="544"/>
        <v>0</v>
      </c>
      <c r="I67" s="295">
        <f t="shared" si="544"/>
        <v>0</v>
      </c>
      <c r="J67" s="295">
        <f t="shared" ref="J67" si="545">+J65+J66</f>
        <v>0</v>
      </c>
      <c r="K67" s="295">
        <f t="shared" ref="K67" si="546">+K65+K66</f>
        <v>0</v>
      </c>
      <c r="L67" s="295">
        <f t="shared" ref="L67" si="547">+L65+L66</f>
        <v>0</v>
      </c>
      <c r="M67" s="295">
        <f t="shared" ref="M67" si="548">+M65+M66</f>
        <v>0</v>
      </c>
      <c r="N67" s="295">
        <f t="shared" ref="N67:O67" si="549">+N65+N66</f>
        <v>0</v>
      </c>
      <c r="O67" s="295">
        <f t="shared" si="549"/>
        <v>0</v>
      </c>
      <c r="P67" s="295">
        <f t="shared" ref="P67" si="550">+P65+P66</f>
        <v>0</v>
      </c>
      <c r="Q67" s="295">
        <f t="shared" ref="Q67" si="551">+Q65+Q66</f>
        <v>0</v>
      </c>
      <c r="R67" s="295">
        <f t="shared" ref="R67" si="552">+R65+R66</f>
        <v>0</v>
      </c>
      <c r="S67" s="295">
        <f t="shared" ref="S67" si="553">+S65+S66</f>
        <v>0</v>
      </c>
      <c r="T67" s="295">
        <f t="shared" ref="T67:U67" si="554">+T65+T66</f>
        <v>0</v>
      </c>
      <c r="U67" s="295">
        <f t="shared" si="554"/>
        <v>0</v>
      </c>
      <c r="V67" s="295">
        <f t="shared" ref="V67" si="555">+V65+V66</f>
        <v>0</v>
      </c>
      <c r="W67" s="295">
        <f t="shared" ref="W67" si="556">+W65+W66</f>
        <v>0</v>
      </c>
      <c r="X67" s="295">
        <f t="shared" ref="X67" si="557">+X65+X66</f>
        <v>0</v>
      </c>
      <c r="Y67" s="295">
        <f t="shared" ref="Y67" si="558">+Y65+Y66</f>
        <v>0</v>
      </c>
      <c r="Z67" s="295">
        <f t="shared" ref="Z67:AA67" si="559">+Z65+Z66</f>
        <v>0</v>
      </c>
      <c r="AA67" s="295">
        <f t="shared" si="559"/>
        <v>0</v>
      </c>
      <c r="AB67" s="295">
        <f t="shared" ref="AB67" si="560">+AB65+AB66</f>
        <v>0</v>
      </c>
      <c r="AC67" s="295">
        <f t="shared" ref="AC67" si="561">+AC65+AC66</f>
        <v>0</v>
      </c>
      <c r="AD67" s="295">
        <f t="shared" ref="AD67" si="562">+AD65+AD66</f>
        <v>0</v>
      </c>
      <c r="AE67" s="295">
        <f t="shared" ref="AE67" si="563">+AE65+AE66</f>
        <v>0</v>
      </c>
      <c r="AF67" s="295">
        <f t="shared" ref="AF67:AG67" si="564">+AF65+AF66</f>
        <v>0</v>
      </c>
      <c r="AG67" s="295">
        <f t="shared" si="564"/>
        <v>0</v>
      </c>
      <c r="AH67" s="295">
        <f t="shared" ref="AH67" si="565">+AH65+AH66</f>
        <v>0</v>
      </c>
      <c r="AI67" s="295">
        <f t="shared" ref="AI67" si="566">+AI65+AI66</f>
        <v>0</v>
      </c>
      <c r="AJ67" s="295">
        <f t="shared" ref="AJ67" si="567">+AJ65+AJ66</f>
        <v>0</v>
      </c>
      <c r="AK67" s="295">
        <f t="shared" ref="AK67" si="568">+AK65+AK66</f>
        <v>0</v>
      </c>
      <c r="AL67" s="295">
        <f t="shared" ref="AL67:AM67" si="569">+AL65+AL66</f>
        <v>0</v>
      </c>
      <c r="AM67" s="295">
        <f t="shared" si="569"/>
        <v>0</v>
      </c>
      <c r="AN67" s="295">
        <f t="shared" ref="AN67" si="570">+AN65+AN66</f>
        <v>0</v>
      </c>
      <c r="AO67" s="295">
        <f t="shared" ref="AO67" si="571">+AO65+AO66</f>
        <v>0</v>
      </c>
      <c r="AP67" s="295">
        <f t="shared" ref="AP67" si="572">+AP65+AP66</f>
        <v>0</v>
      </c>
      <c r="AQ67" s="295">
        <f t="shared" ref="AQ67" si="573">+AQ65+AQ66</f>
        <v>0</v>
      </c>
      <c r="AR67" s="295">
        <f t="shared" ref="AR67:AS67" si="574">+AR65+AR66</f>
        <v>0</v>
      </c>
      <c r="AS67" s="295">
        <f t="shared" si="574"/>
        <v>0</v>
      </c>
      <c r="AT67" s="295">
        <f t="shared" ref="AT67" si="575">+AT65+AT66</f>
        <v>0</v>
      </c>
      <c r="AU67" s="295">
        <f t="shared" ref="AU67" si="576">+AU65+AU66</f>
        <v>0</v>
      </c>
      <c r="AV67" s="295">
        <f t="shared" ref="AV67" si="577">+AV65+AV66</f>
        <v>0</v>
      </c>
      <c r="AW67" s="295">
        <f t="shared" ref="AW67" si="578">+AW65+AW66</f>
        <v>0</v>
      </c>
      <c r="AX67" s="295">
        <f t="shared" ref="AX67:AY67" si="579">+AX65+AX66</f>
        <v>0</v>
      </c>
      <c r="AY67" s="295">
        <f t="shared" si="579"/>
        <v>0</v>
      </c>
      <c r="AZ67" s="295">
        <f t="shared" ref="AZ67" si="580">+AZ65+AZ66</f>
        <v>0</v>
      </c>
      <c r="BA67" s="295">
        <f t="shared" ref="BA67" si="581">+BA65+BA66</f>
        <v>0</v>
      </c>
      <c r="BB67" s="295">
        <f t="shared" ref="BB67" si="582">+BB65+BB66</f>
        <v>0</v>
      </c>
      <c r="BC67" s="295">
        <f t="shared" ref="BC67" si="583">+BC65+BC66</f>
        <v>0</v>
      </c>
      <c r="BD67" s="295">
        <f t="shared" ref="BD67:BE67" si="584">+BD65+BD66</f>
        <v>0</v>
      </c>
      <c r="BE67" s="295">
        <f t="shared" si="584"/>
        <v>0</v>
      </c>
      <c r="BF67" s="295">
        <f t="shared" ref="BF67" si="585">+BF65+BF66</f>
        <v>0</v>
      </c>
      <c r="BG67" s="295">
        <f t="shared" ref="BG67" si="586">+BG65+BG66</f>
        <v>0</v>
      </c>
      <c r="BH67" s="295">
        <f t="shared" ref="BH67" si="587">+BH65+BH66</f>
        <v>0</v>
      </c>
      <c r="BI67" s="295">
        <f t="shared" ref="BI67" si="588">+BI65+BI66</f>
        <v>0</v>
      </c>
      <c r="BJ67" s="295">
        <f t="shared" ref="BJ67:BK67" si="589">+BJ65+BJ66</f>
        <v>0</v>
      </c>
      <c r="BK67" s="295">
        <f t="shared" si="589"/>
        <v>0</v>
      </c>
      <c r="BL67" s="295">
        <f t="shared" ref="BL67" si="590">+BL65+BL66</f>
        <v>0</v>
      </c>
      <c r="BM67" s="295">
        <f t="shared" ref="BM67" si="591">+BM65+BM66</f>
        <v>0</v>
      </c>
      <c r="BN67" s="295">
        <f t="shared" ref="BN67" si="592">+BN65+BN66</f>
        <v>0</v>
      </c>
      <c r="BO67" s="295">
        <f t="shared" ref="BO67" si="593">+BO65+BO66</f>
        <v>0</v>
      </c>
      <c r="BP67" s="295">
        <f t="shared" ref="BP67:BQ67" si="594">+BP65+BP66</f>
        <v>0</v>
      </c>
      <c r="BQ67" s="295">
        <f t="shared" si="594"/>
        <v>0</v>
      </c>
      <c r="BR67" s="295">
        <f t="shared" ref="BR67" si="595">+BR65+BR66</f>
        <v>0</v>
      </c>
      <c r="BS67" s="295">
        <f t="shared" ref="BS67" si="596">+BS65+BS66</f>
        <v>0</v>
      </c>
      <c r="BT67" s="295">
        <f t="shared" ref="BT67" si="597">+BT65+BT66</f>
        <v>0</v>
      </c>
      <c r="BU67" s="295">
        <f t="shared" ref="BU67" si="598">+BU65+BU66</f>
        <v>0</v>
      </c>
      <c r="BV67" s="295">
        <f t="shared" ref="BV67:BW67" si="599">+BV65+BV66</f>
        <v>0</v>
      </c>
      <c r="BW67" s="295">
        <f t="shared" si="599"/>
        <v>0</v>
      </c>
      <c r="BX67" s="295">
        <f t="shared" ref="BX67" si="600">+BX65+BX66</f>
        <v>0</v>
      </c>
      <c r="BY67" s="295">
        <f t="shared" ref="BY67" si="601">+BY65+BY66</f>
        <v>0</v>
      </c>
      <c r="BZ67" s="295">
        <f t="shared" ref="BZ67" si="602">+BZ65+BZ66</f>
        <v>0</v>
      </c>
      <c r="CA67" s="295">
        <f t="shared" ref="CA67" si="603">+CA65+CA66</f>
        <v>0</v>
      </c>
      <c r="CB67" s="295">
        <f t="shared" ref="CB67:CC67" si="604">+CB65+CB66</f>
        <v>0</v>
      </c>
      <c r="CC67" s="295">
        <f t="shared" si="604"/>
        <v>0</v>
      </c>
      <c r="CD67" s="295">
        <f t="shared" ref="CD67" si="605">+CD65+CD66</f>
        <v>0</v>
      </c>
      <c r="CE67" s="295">
        <f t="shared" ref="CE67" si="606">+CE65+CE66</f>
        <v>0</v>
      </c>
      <c r="CF67" s="295">
        <f t="shared" ref="CF67" si="607">+CF65+CF66</f>
        <v>0</v>
      </c>
      <c r="CG67" s="295">
        <f t="shared" ref="CG67" si="608">+CG65+CG66</f>
        <v>0</v>
      </c>
      <c r="CH67" s="295">
        <f t="shared" ref="CH67:CI67" si="609">+CH65+CH66</f>
        <v>0</v>
      </c>
      <c r="CI67" s="295">
        <f t="shared" si="609"/>
        <v>0</v>
      </c>
      <c r="CJ67" s="295">
        <f t="shared" ref="CJ67" si="610">+CJ65+CJ66</f>
        <v>0</v>
      </c>
      <c r="CK67" s="295">
        <f t="shared" ref="CK67" si="611">+CK65+CK66</f>
        <v>0</v>
      </c>
      <c r="CL67" s="295">
        <f t="shared" ref="CL67" si="612">+CL65+CL66</f>
        <v>0</v>
      </c>
      <c r="CM67" s="295">
        <f t="shared" ref="CM67" si="613">+CM65+CM66</f>
        <v>0</v>
      </c>
      <c r="CN67" s="295">
        <f t="shared" ref="CN67:CO67" si="614">+CN65+CN66</f>
        <v>0</v>
      </c>
      <c r="CO67" s="295">
        <f t="shared" si="614"/>
        <v>0</v>
      </c>
      <c r="CP67" s="295">
        <f t="shared" ref="CP67" si="615">+CP65+CP66</f>
        <v>0</v>
      </c>
      <c r="CQ67" s="295">
        <f t="shared" ref="CQ67" si="616">+CQ65+CQ66</f>
        <v>0</v>
      </c>
      <c r="CR67" s="295">
        <f t="shared" ref="CR67" si="617">+CR65+CR66</f>
        <v>0</v>
      </c>
      <c r="CS67" s="295">
        <f t="shared" ref="CS67" si="618">+CS65+CS66</f>
        <v>0</v>
      </c>
      <c r="CT67" s="295">
        <f t="shared" ref="CT67:CU67" si="619">+CT65+CT66</f>
        <v>0</v>
      </c>
      <c r="CU67" s="295">
        <f t="shared" si="619"/>
        <v>0</v>
      </c>
      <c r="CV67" s="295">
        <f t="shared" ref="CV67" si="620">+CV65+CV66</f>
        <v>0</v>
      </c>
      <c r="CW67" s="295">
        <f t="shared" ref="CW67" si="621">+CW65+CW66</f>
        <v>0</v>
      </c>
      <c r="CX67" s="295">
        <f t="shared" ref="CX67" si="622">+CX65+CX66</f>
        <v>0</v>
      </c>
      <c r="CY67" s="295">
        <f t="shared" ref="CY67" si="623">+CY65+CY66</f>
        <v>0</v>
      </c>
      <c r="CZ67" s="295">
        <f t="shared" ref="CZ67:DA67" si="624">+CZ65+CZ66</f>
        <v>0</v>
      </c>
      <c r="DA67" s="295">
        <f t="shared" si="624"/>
        <v>0</v>
      </c>
      <c r="DB67" s="295">
        <f t="shared" ref="DB67" si="625">+DB65+DB66</f>
        <v>0</v>
      </c>
      <c r="DC67" s="295">
        <f t="shared" ref="DC67" si="626">+DC65+DC66</f>
        <v>0</v>
      </c>
      <c r="DD67" s="295">
        <f t="shared" ref="DD67" si="627">+DD65+DD66</f>
        <v>0</v>
      </c>
      <c r="DE67" s="295">
        <f t="shared" ref="DE67" si="628">+DE65+DE66</f>
        <v>0</v>
      </c>
      <c r="DF67" s="295">
        <f t="shared" ref="DF67:DG67" si="629">+DF65+DF66</f>
        <v>0</v>
      </c>
      <c r="DG67" s="295">
        <f t="shared" si="629"/>
        <v>0</v>
      </c>
      <c r="DH67" s="295">
        <f t="shared" ref="DH67" si="630">+DH65+DH66</f>
        <v>0</v>
      </c>
      <c r="DI67" s="295">
        <f t="shared" ref="DI67" si="631">+DI65+DI66</f>
        <v>0</v>
      </c>
      <c r="DJ67" s="295">
        <f t="shared" ref="DJ67" si="632">+DJ65+DJ66</f>
        <v>0</v>
      </c>
      <c r="DK67" s="295">
        <f t="shared" ref="DK67" si="633">+DK65+DK66</f>
        <v>0</v>
      </c>
      <c r="DL67" s="295">
        <f t="shared" ref="DL67:DM67" si="634">+DL65+DL66</f>
        <v>0</v>
      </c>
      <c r="DM67" s="295">
        <f t="shared" si="634"/>
        <v>0</v>
      </c>
      <c r="DN67" s="295">
        <f t="shared" ref="DN67" si="635">+DN65+DN66</f>
        <v>0</v>
      </c>
      <c r="DO67" s="295">
        <f t="shared" ref="DO67" si="636">+DO65+DO66</f>
        <v>0</v>
      </c>
      <c r="DP67" s="295">
        <f t="shared" ref="DP67" si="637">+DP65+DP66</f>
        <v>0</v>
      </c>
      <c r="DQ67" s="295">
        <f t="shared" ref="DQ67" si="638">+DQ65+DQ66</f>
        <v>0</v>
      </c>
      <c r="DR67" s="295">
        <f t="shared" ref="DR67:DU67" si="639">+DR65+DR66</f>
        <v>0</v>
      </c>
      <c r="DT67" s="295">
        <f t="shared" si="639"/>
        <v>0</v>
      </c>
      <c r="DU67" s="295">
        <f t="shared" si="639"/>
        <v>0</v>
      </c>
      <c r="DV67" s="295">
        <f t="shared" ref="DV67:EC67" si="640">+DV65+DV66</f>
        <v>0</v>
      </c>
      <c r="DW67" s="295">
        <f t="shared" si="640"/>
        <v>0</v>
      </c>
      <c r="DX67" s="295">
        <f t="shared" si="640"/>
        <v>0</v>
      </c>
      <c r="DY67" s="295">
        <f t="shared" si="640"/>
        <v>0</v>
      </c>
      <c r="DZ67" s="295">
        <f t="shared" si="640"/>
        <v>0</v>
      </c>
      <c r="EA67" s="295">
        <f t="shared" si="640"/>
        <v>0</v>
      </c>
      <c r="EB67" s="295">
        <f t="shared" si="640"/>
        <v>0</v>
      </c>
      <c r="EC67" s="295">
        <f t="shared" si="640"/>
        <v>0</v>
      </c>
    </row>
    <row r="68" thickTop="1" thickBot="1" ht="19.5">
      <c r="A68" s="150"/>
      <c r="B68" s="292"/>
    </row>
    <row r="69" thickTop="1" thickBot="1" ht="19.5">
      <c r="A69" s="299" t="s">
        <v>966</v>
      </c>
      <c r="B69" s="300"/>
      <c r="C69" s="301">
        <f t="shared" ref="C69:AH69" si="641">+C62-C67</f>
        <v>0</v>
      </c>
      <c r="D69" s="301">
        <f t="shared" si="641"/>
        <v>0</v>
      </c>
      <c r="E69" s="301">
        <f t="shared" si="641"/>
        <v>0</v>
      </c>
      <c r="F69" s="301">
        <f t="shared" si="641"/>
        <v>0</v>
      </c>
      <c r="G69" s="301">
        <f t="shared" si="641"/>
        <v>0</v>
      </c>
      <c r="H69" s="301">
        <f t="shared" si="641"/>
        <v>0</v>
      </c>
      <c r="I69" s="301">
        <f t="shared" si="641"/>
        <v>0</v>
      </c>
      <c r="J69" s="301">
        <f t="shared" si="641"/>
        <v>0</v>
      </c>
      <c r="K69" s="301">
        <f t="shared" si="641"/>
        <v>0</v>
      </c>
      <c r="L69" s="301">
        <f t="shared" si="641"/>
        <v>0</v>
      </c>
      <c r="M69" s="301">
        <f t="shared" si="641"/>
        <v>0</v>
      </c>
      <c r="N69" s="301">
        <f t="shared" si="641"/>
        <v>0</v>
      </c>
      <c r="O69" s="301">
        <f t="shared" si="641"/>
        <v>0</v>
      </c>
      <c r="P69" s="301">
        <f t="shared" si="641"/>
        <v>0</v>
      </c>
      <c r="Q69" s="301">
        <f t="shared" si="641"/>
        <v>0</v>
      </c>
      <c r="R69" s="301">
        <f t="shared" si="641"/>
        <v>0</v>
      </c>
      <c r="S69" s="301">
        <f t="shared" si="641"/>
        <v>0</v>
      </c>
      <c r="T69" s="301">
        <f t="shared" si="641"/>
        <v>0</v>
      </c>
      <c r="U69" s="301">
        <f t="shared" si="641"/>
        <v>0</v>
      </c>
      <c r="V69" s="301">
        <f t="shared" si="641"/>
        <v>0</v>
      </c>
      <c r="W69" s="301">
        <f t="shared" si="641"/>
        <v>0</v>
      </c>
      <c r="X69" s="301">
        <f t="shared" si="641"/>
        <v>0</v>
      </c>
      <c r="Y69" s="301">
        <f t="shared" si="641"/>
        <v>0</v>
      </c>
      <c r="Z69" s="301">
        <f t="shared" si="641"/>
        <v>0</v>
      </c>
      <c r="AA69" s="301">
        <f t="shared" si="641"/>
        <v>0</v>
      </c>
      <c r="AB69" s="301">
        <f t="shared" si="641"/>
        <v>0</v>
      </c>
      <c r="AC69" s="301">
        <f t="shared" si="641"/>
        <v>0</v>
      </c>
      <c r="AD69" s="301">
        <f t="shared" si="641"/>
        <v>0</v>
      </c>
      <c r="AE69" s="301">
        <f t="shared" si="641"/>
        <v>0</v>
      </c>
      <c r="AF69" s="301">
        <f t="shared" si="641"/>
        <v>0</v>
      </c>
      <c r="AG69" s="301">
        <f t="shared" si="641"/>
        <v>0</v>
      </c>
      <c r="AH69" s="301">
        <f t="shared" si="641"/>
        <v>0</v>
      </c>
      <c r="AI69" s="301">
        <f t="shared" ref="AI69:BN69" si="642">+AI62-AI67</f>
        <v>0</v>
      </c>
      <c r="AJ69" s="301">
        <f t="shared" si="642"/>
        <v>0</v>
      </c>
      <c r="AK69" s="301">
        <f t="shared" si="642"/>
        <v>0</v>
      </c>
      <c r="AL69" s="301">
        <f t="shared" si="642"/>
        <v>0</v>
      </c>
      <c r="AM69" s="301">
        <f t="shared" si="642"/>
        <v>0</v>
      </c>
      <c r="AN69" s="301">
        <f t="shared" si="642"/>
        <v>0</v>
      </c>
      <c r="AO69" s="301">
        <f t="shared" si="642"/>
        <v>0</v>
      </c>
      <c r="AP69" s="301">
        <f t="shared" si="642"/>
        <v>0</v>
      </c>
      <c r="AQ69" s="301">
        <f t="shared" si="642"/>
        <v>0</v>
      </c>
      <c r="AR69" s="301">
        <f t="shared" si="642"/>
        <v>0</v>
      </c>
      <c r="AS69" s="301">
        <f t="shared" si="642"/>
        <v>0</v>
      </c>
      <c r="AT69" s="301">
        <f t="shared" si="642"/>
        <v>0</v>
      </c>
      <c r="AU69" s="301">
        <f t="shared" si="642"/>
        <v>0</v>
      </c>
      <c r="AV69" s="301">
        <f t="shared" si="642"/>
        <v>0</v>
      </c>
      <c r="AW69" s="301">
        <f t="shared" si="642"/>
        <v>0</v>
      </c>
      <c r="AX69" s="301">
        <f t="shared" si="642"/>
        <v>0</v>
      </c>
      <c r="AY69" s="301">
        <f t="shared" si="642"/>
        <v>0</v>
      </c>
      <c r="AZ69" s="301">
        <f t="shared" si="642"/>
        <v>0</v>
      </c>
      <c r="BA69" s="301">
        <f t="shared" si="642"/>
        <v>0</v>
      </c>
      <c r="BB69" s="301">
        <f t="shared" si="642"/>
        <v>0</v>
      </c>
      <c r="BC69" s="301">
        <f t="shared" si="642"/>
        <v>0</v>
      </c>
      <c r="BD69" s="301">
        <f t="shared" si="642"/>
        <v>0</v>
      </c>
      <c r="BE69" s="301">
        <f t="shared" si="642"/>
        <v>0</v>
      </c>
      <c r="BF69" s="301">
        <f t="shared" si="642"/>
        <v>0</v>
      </c>
      <c r="BG69" s="301">
        <f t="shared" si="642"/>
        <v>0</v>
      </c>
      <c r="BH69" s="301">
        <f t="shared" si="642"/>
        <v>0</v>
      </c>
      <c r="BI69" s="301">
        <f t="shared" si="642"/>
        <v>0</v>
      </c>
      <c r="BJ69" s="301">
        <f t="shared" si="642"/>
        <v>0</v>
      </c>
      <c r="BK69" s="301">
        <f t="shared" si="642"/>
        <v>0</v>
      </c>
      <c r="BL69" s="301">
        <f t="shared" si="642"/>
        <v>0</v>
      </c>
      <c r="BM69" s="301">
        <f t="shared" si="642"/>
        <v>0</v>
      </c>
      <c r="BN69" s="301">
        <f t="shared" si="642"/>
        <v>0</v>
      </c>
      <c r="BO69" s="301">
        <f t="shared" ref="BO69:CT69" si="643">+BO62-BO67</f>
        <v>0</v>
      </c>
      <c r="BP69" s="301">
        <f t="shared" si="643"/>
        <v>0</v>
      </c>
      <c r="BQ69" s="301">
        <f t="shared" si="643"/>
        <v>0</v>
      </c>
      <c r="BR69" s="301">
        <f t="shared" si="643"/>
        <v>0</v>
      </c>
      <c r="BS69" s="301">
        <f t="shared" si="643"/>
        <v>0</v>
      </c>
      <c r="BT69" s="301">
        <f t="shared" si="643"/>
        <v>0</v>
      </c>
      <c r="BU69" s="301">
        <f t="shared" si="643"/>
        <v>0</v>
      </c>
      <c r="BV69" s="301">
        <f t="shared" si="643"/>
        <v>0</v>
      </c>
      <c r="BW69" s="301">
        <f t="shared" si="643"/>
        <v>0</v>
      </c>
      <c r="BX69" s="301">
        <f t="shared" si="643"/>
        <v>0</v>
      </c>
      <c r="BY69" s="301">
        <f t="shared" si="643"/>
        <v>0</v>
      </c>
      <c r="BZ69" s="301">
        <f t="shared" si="643"/>
        <v>0</v>
      </c>
      <c r="CA69" s="301">
        <f t="shared" si="643"/>
        <v>0</v>
      </c>
      <c r="CB69" s="301">
        <f t="shared" si="643"/>
        <v>0</v>
      </c>
      <c r="CC69" s="301">
        <f t="shared" si="643"/>
        <v>0</v>
      </c>
      <c r="CD69" s="301">
        <f t="shared" si="643"/>
        <v>0</v>
      </c>
      <c r="CE69" s="301">
        <f t="shared" si="643"/>
        <v>0</v>
      </c>
      <c r="CF69" s="301">
        <f t="shared" si="643"/>
        <v>0</v>
      </c>
      <c r="CG69" s="301">
        <f t="shared" si="643"/>
        <v>0</v>
      </c>
      <c r="CH69" s="301">
        <f t="shared" si="643"/>
        <v>0</v>
      </c>
      <c r="CI69" s="301">
        <f t="shared" si="643"/>
        <v>0</v>
      </c>
      <c r="CJ69" s="301">
        <f t="shared" si="643"/>
        <v>0</v>
      </c>
      <c r="CK69" s="301">
        <f t="shared" si="643"/>
        <v>0</v>
      </c>
      <c r="CL69" s="301">
        <f t="shared" si="643"/>
        <v>0</v>
      </c>
      <c r="CM69" s="301">
        <f t="shared" si="643"/>
        <v>0</v>
      </c>
      <c r="CN69" s="301">
        <f t="shared" si="643"/>
        <v>0</v>
      </c>
      <c r="CO69" s="301">
        <f t="shared" si="643"/>
        <v>0</v>
      </c>
      <c r="CP69" s="301">
        <f t="shared" si="643"/>
        <v>0</v>
      </c>
      <c r="CQ69" s="301">
        <f t="shared" si="643"/>
        <v>0</v>
      </c>
      <c r="CR69" s="301">
        <f t="shared" si="643"/>
        <v>0</v>
      </c>
      <c r="CS69" s="301">
        <f t="shared" si="643"/>
        <v>0</v>
      </c>
      <c r="CT69" s="301">
        <f t="shared" si="643"/>
        <v>0</v>
      </c>
      <c r="CU69" s="301">
        <f t="shared" ref="CU69:DQ69" si="644">+CU62-CU67</f>
        <v>0</v>
      </c>
      <c r="CV69" s="301">
        <f t="shared" si="644"/>
        <v>0</v>
      </c>
      <c r="CW69" s="301">
        <f t="shared" si="644"/>
        <v>0</v>
      </c>
      <c r="CX69" s="301">
        <f t="shared" si="644"/>
        <v>0</v>
      </c>
      <c r="CY69" s="301">
        <f t="shared" si="644"/>
        <v>0</v>
      </c>
      <c r="CZ69" s="301">
        <f t="shared" si="644"/>
        <v>0</v>
      </c>
      <c r="DA69" s="301">
        <f t="shared" si="644"/>
        <v>0</v>
      </c>
      <c r="DB69" s="301">
        <f t="shared" si="644"/>
        <v>0</v>
      </c>
      <c r="DC69" s="301">
        <f t="shared" si="644"/>
        <v>0</v>
      </c>
      <c r="DD69" s="301">
        <f t="shared" si="644"/>
        <v>0</v>
      </c>
      <c r="DE69" s="301">
        <f t="shared" si="644"/>
        <v>0</v>
      </c>
      <c r="DF69" s="301">
        <f t="shared" si="644"/>
        <v>0</v>
      </c>
      <c r="DG69" s="301">
        <f t="shared" si="644"/>
        <v>0</v>
      </c>
      <c r="DH69" s="301">
        <f t="shared" si="644"/>
        <v>0</v>
      </c>
      <c r="DI69" s="301">
        <f t="shared" si="644"/>
        <v>0</v>
      </c>
      <c r="DJ69" s="301">
        <f t="shared" si="644"/>
        <v>0</v>
      </c>
      <c r="DK69" s="301">
        <f t="shared" si="644"/>
        <v>0</v>
      </c>
      <c r="DL69" s="301">
        <f t="shared" si="644"/>
        <v>0</v>
      </c>
      <c r="DM69" s="301">
        <f t="shared" si="644"/>
        <v>0</v>
      </c>
      <c r="DN69" s="301">
        <f t="shared" si="644"/>
        <v>0</v>
      </c>
      <c r="DO69" s="301">
        <f t="shared" si="644"/>
        <v>0</v>
      </c>
      <c r="DP69" s="301">
        <f t="shared" si="644"/>
        <v>0</v>
      </c>
      <c r="DQ69" s="301">
        <f t="shared" si="644"/>
        <v>0</v>
      </c>
      <c r="DR69" s="301">
        <f>+DR62-DR67</f>
        <v>0</v>
      </c>
      <c r="DT69" s="301">
        <f>+DT62-DT67</f>
        <v>0</v>
      </c>
      <c r="DU69" s="301">
        <f>+DU62-DU67</f>
        <v>0</v>
      </c>
      <c r="DV69" s="301">
        <f t="shared" ref="DV69:EC69" si="645">+DV62-DV67</f>
        <v>0</v>
      </c>
      <c r="DW69" s="301">
        <f t="shared" si="645"/>
        <v>0</v>
      </c>
      <c r="DX69" s="301">
        <f t="shared" si="645"/>
        <v>0</v>
      </c>
      <c r="DY69" s="301">
        <f t="shared" si="645"/>
        <v>0</v>
      </c>
      <c r="DZ69" s="301">
        <f t="shared" si="645"/>
        <v>0</v>
      </c>
      <c r="EA69" s="301">
        <f t="shared" si="645"/>
        <v>0</v>
      </c>
      <c r="EB69" s="301">
        <f t="shared" si="645"/>
        <v>0</v>
      </c>
      <c r="EC69" s="301">
        <f t="shared" si="645"/>
        <v>0</v>
      </c>
    </row>
    <row r="70" thickTop="1" ht="21.5">
      <c r="A70" s="150"/>
      <c r="B70" s="298"/>
    </row>
    <row r="71" ht="18.5">
      <c r="A71" s="150"/>
      <c r="B71" s="292"/>
    </row>
    <row r="72" ht="18.5">
      <c r="A72" s="150"/>
      <c r="B72" s="292"/>
    </row>
    <row r="73" ht="14.5">
      <c r="A73" s="292"/>
      <c r="B73" s="292"/>
    </row>
    <row r="74" ht="14.5">
      <c r="A74" s="292"/>
      <c r="B74" s="292"/>
    </row>
    <row r="75" ht="14.5">
      <c r="A75" s="292"/>
      <c r="B75" s="292"/>
    </row>
    <row r="76" ht="14.5">
      <c r="A76" s="292"/>
      <c r="B76" s="292"/>
    </row>
    <row r="77" ht="14.5">
      <c r="A77" s="292"/>
      <c r="B77" s="292"/>
    </row>
    <row r="78" ht="14.5">
      <c r="A78" s="292"/>
      <c r="B78" s="292"/>
    </row>
  </sheetData>
  <hyperlinks>
    <hyperlink ref="A1" location="Input!A1" display="MENU"/>
  </hyperlinks>
  <pageSetup r:id="rId1" paperSize="9" orientation="portrait"/>
</worksheet>
</file>

<file path=xl/worksheets/sheet33.xml><?xml version="1.0" encoding="utf-8"?>
<worksheet xmlns:r="http://schemas.openxmlformats.org/officeDocument/2006/relationships" xmlns="http://schemas.openxmlformats.org/spreadsheetml/2006/main">
  <sheetPr>
    <tabColor rgb="FF92D050"/>
  </sheetPr>
  <sheetViews>
    <sheetView showGridLines="0" zoomScaleNormal="100" zoomScalePageLayoutView="89" workbookViewId="0">
      <pane activePane="bottomRight" state="frozen" topLeftCell="B21" xSplit="1" ySplit="2"/>
      <selection pane="topRight" activeCell="B1" sqref="B1"/>
      <selection pane="bottomLeft" activeCell="A3" sqref="A3"/>
      <selection pane="bottomRight" activeCell="B21" sqref="B21"/>
    </sheetView>
  </sheetViews>
  <sheetFormatPr defaultColWidth="8.855469" defaultRowHeight="15" outlineLevelCol="1"/>
  <cols>
    <col min="1" max="1" width="54.42578" customWidth="1"/>
    <col min="3" max="3" width="12.85547" customWidth="1" outlineLevel="1"/>
    <col min="4" max="5" width="12.57031" customWidth="1" outlineLevel="1"/>
    <col min="6" max="7" width="14" customWidth="1" outlineLevel="1"/>
    <col min="8" max="10" width="12.85547" customWidth="1" outlineLevel="1"/>
    <col min="11" max="14" width="12.57031" customWidth="1" outlineLevel="1"/>
    <col min="15" max="15" width="14.42578" customWidth="1" outlineLevel="1"/>
    <col min="16" max="19" width="12.57031" customWidth="1" outlineLevel="1"/>
    <col min="20" max="20" width="14" customWidth="1" outlineLevel="1"/>
    <col min="21" max="24" width="12.57031" customWidth="1" outlineLevel="1"/>
    <col min="25" max="25" width="12.85547" customWidth="1" outlineLevel="1"/>
    <col min="26" max="47" width="12.57031" customWidth="1" outlineLevel="1"/>
    <col min="48" max="52" width="12" customWidth="1" outlineLevel="1"/>
    <col min="53" max="55" width="12.85547" customWidth="1" outlineLevel="1"/>
    <col min="56" max="56" width="14.42578" customWidth="1" outlineLevel="1"/>
    <col min="57" max="60" width="12.85547" customWidth="1" outlineLevel="1"/>
    <col min="61" max="61" width="14.42578" customWidth="1" outlineLevel="1"/>
    <col min="62" max="67" width="12.85547" customWidth="1" outlineLevel="1"/>
    <col min="68" max="68" width="14.42578" customWidth="1" outlineLevel="1"/>
    <col min="69" max="71" width="12.85547" customWidth="1" outlineLevel="1"/>
    <col min="72" max="114" width="12.57031" customWidth="1" outlineLevel="1"/>
    <col min="115" max="122" width="14" customWidth="1" outlineLevel="1"/>
    <col min="124" max="128" width="12.85547" bestFit="1" customWidth="1"/>
    <col min="129" max="133" width="14" bestFit="1" customWidth="1"/>
  </cols>
  <sheetData>
    <row r="1" ht="14.5">
      <c r="A1" s="79" t="s">
        <v>38</v>
      </c>
      <c r="B1" s="143" t="s">
        <v>887</v>
      </c>
      <c r="C1" s="143">
        <f>+'SP-mese'!D3</f>
        <v>2025</v>
      </c>
      <c r="D1" s="143">
        <f>+'SP-mese'!E3</f>
        <v>2025</v>
      </c>
      <c r="E1" s="143">
        <f>+'SP-mese'!F3</f>
        <v>2025</v>
      </c>
      <c r="F1" s="143">
        <f>+'SP-mese'!G3</f>
        <v>2026</v>
      </c>
      <c r="G1" s="143">
        <f>+'SP-mese'!H3</f>
        <v>2026</v>
      </c>
      <c r="H1" s="143">
        <f>+'SP-mese'!I3</f>
        <v>2026</v>
      </c>
      <c r="I1" s="143">
        <f>+'SP-mese'!J3</f>
        <v>2026</v>
      </c>
      <c r="J1" s="143">
        <f>+'SP-mese'!K3</f>
        <v>2026</v>
      </c>
      <c r="K1" s="143">
        <f>+'SP-mese'!L3</f>
        <v>2026</v>
      </c>
      <c r="L1" s="143">
        <f>+'SP-mese'!M3</f>
        <v>2026</v>
      </c>
      <c r="M1" s="143">
        <f>+'SP-mese'!N3</f>
        <v>2026</v>
      </c>
      <c r="N1" s="143">
        <f>+'SP-mese'!O3</f>
        <v>2026</v>
      </c>
      <c r="O1" s="143">
        <f>+'SP-mese'!P3</f>
        <v>2026</v>
      </c>
      <c r="P1" s="143">
        <f>+'SP-mese'!Q3</f>
        <v>2026</v>
      </c>
      <c r="Q1" s="143">
        <f>+'SP-mese'!R3</f>
        <v>2026</v>
      </c>
      <c r="R1" s="143">
        <f>+'SP-mese'!S3</f>
        <v>2027</v>
      </c>
      <c r="S1" s="143">
        <f>+'SP-mese'!T3</f>
        <v>2027</v>
      </c>
      <c r="T1" s="143">
        <f>+'SP-mese'!U3</f>
        <v>2027</v>
      </c>
      <c r="U1" s="143">
        <f>+'SP-mese'!V3</f>
        <v>2027</v>
      </c>
      <c r="V1" s="143">
        <f>+'SP-mese'!W3</f>
        <v>2027</v>
      </c>
      <c r="W1" s="143">
        <f>+'SP-mese'!X3</f>
        <v>2027</v>
      </c>
      <c r="X1" s="143">
        <f>+'SP-mese'!Y3</f>
        <v>2027</v>
      </c>
      <c r="Y1" s="143">
        <f>+'SP-mese'!Z3</f>
        <v>2027</v>
      </c>
      <c r="Z1" s="143">
        <f>+'SP-mese'!AA3</f>
        <v>2027</v>
      </c>
      <c r="AA1" s="143">
        <f>+'SP-mese'!AB3</f>
        <v>2027</v>
      </c>
      <c r="AB1" s="143">
        <f>+'SP-mese'!AC3</f>
        <v>2027</v>
      </c>
      <c r="AC1" s="143">
        <f>+'SP-mese'!AD3</f>
        <v>2027</v>
      </c>
      <c r="AD1" s="143">
        <f>+'SP-mese'!AE3</f>
        <v>2028</v>
      </c>
      <c r="AE1" s="143">
        <f>+'SP-mese'!AF3</f>
        <v>2028</v>
      </c>
      <c r="AF1" s="143">
        <f>+'SP-mese'!AG3</f>
        <v>2028</v>
      </c>
      <c r="AG1" s="143">
        <f>+'SP-mese'!AH3</f>
        <v>2028</v>
      </c>
      <c r="AH1" s="143">
        <f>+'SP-mese'!AI3</f>
        <v>2028</v>
      </c>
      <c r="AI1" s="143">
        <f>+'SP-mese'!AJ3</f>
        <v>2028</v>
      </c>
      <c r="AJ1" s="143">
        <f>+'SP-mese'!AK3</f>
        <v>2028</v>
      </c>
      <c r="AK1" s="143">
        <f>+'SP-mese'!AL3</f>
        <v>2028</v>
      </c>
      <c r="AL1" s="143">
        <f>+'SP-mese'!AM3</f>
        <v>2028</v>
      </c>
      <c r="AM1" s="143">
        <f>+'SP-mese'!AN3</f>
        <v>2028</v>
      </c>
      <c r="AN1" s="143">
        <f>+'SP-mese'!AO3</f>
        <v>2028</v>
      </c>
      <c r="AO1" s="143">
        <f>+'SP-mese'!AP3</f>
        <v>2028</v>
      </c>
      <c r="AP1" s="143">
        <f>+'SP-mese'!AQ3</f>
        <v>2029</v>
      </c>
      <c r="AQ1" s="143">
        <f>+'SP-mese'!AR3</f>
        <v>2029</v>
      </c>
      <c r="AR1" s="143">
        <f>+'SP-mese'!AS3</f>
        <v>2029</v>
      </c>
      <c r="AS1" s="143">
        <f>+'SP-mese'!AT3</f>
        <v>2029</v>
      </c>
      <c r="AT1" s="143">
        <f>+'SP-mese'!AU3</f>
        <v>2029</v>
      </c>
      <c r="AU1" s="143">
        <f>+'SP-mese'!AV3</f>
        <v>2029</v>
      </c>
      <c r="AV1" s="143">
        <f>+'SP-mese'!AW3</f>
        <v>2029</v>
      </c>
      <c r="AW1" s="143">
        <f>+'SP-mese'!AX3</f>
        <v>2029</v>
      </c>
      <c r="AX1" s="143">
        <f>+'SP-mese'!AY3</f>
        <v>2029</v>
      </c>
      <c r="AY1" s="143">
        <f>+'SP-mese'!AZ3</f>
        <v>2029</v>
      </c>
      <c r="AZ1" s="143">
        <f>+'SP-mese'!BA3</f>
        <v>2029</v>
      </c>
      <c r="BA1" s="143">
        <f>+'SP-mese'!BB3</f>
        <v>2029</v>
      </c>
      <c r="BB1" s="143">
        <f>+'SP-mese'!BC3</f>
        <v>2030</v>
      </c>
      <c r="BC1" s="143">
        <f>+'SP-mese'!BD3</f>
        <v>2030</v>
      </c>
      <c r="BD1" s="143">
        <f>+'SP-mese'!BE3</f>
        <v>2030</v>
      </c>
      <c r="BE1" s="143">
        <f>+'SP-mese'!BF3</f>
        <v>2030</v>
      </c>
      <c r="BF1" s="143">
        <f>+'SP-mese'!BG3</f>
        <v>2030</v>
      </c>
      <c r="BG1" s="143">
        <f>+'SP-mese'!BH3</f>
        <v>2030</v>
      </c>
      <c r="BH1" s="143">
        <f>+'SP-mese'!BI3</f>
        <v>2030</v>
      </c>
      <c r="BI1" s="143">
        <f>+'SP-mese'!BJ3</f>
        <v>2030</v>
      </c>
      <c r="BJ1" s="143">
        <f>+'SP-mese'!BK3</f>
        <v>2030</v>
      </c>
      <c r="BK1" s="143">
        <f>+'SP-mese'!BL3</f>
        <v>2030</v>
      </c>
      <c r="BL1" s="143">
        <f>+'SP-mese'!BM3</f>
        <v>2030</v>
      </c>
      <c r="BM1" s="143">
        <f>+'SP-mese'!BN3</f>
        <v>2030</v>
      </c>
      <c r="BN1" s="143">
        <f>+'SP-mese'!BO3</f>
        <v>2031</v>
      </c>
      <c r="BO1" s="143">
        <f>+'SP-mese'!BP3</f>
        <v>2031</v>
      </c>
      <c r="BP1" s="143">
        <f>+'SP-mese'!BQ3</f>
        <v>2031</v>
      </c>
      <c r="BQ1" s="143">
        <f>+'SP-mese'!BR3</f>
        <v>2031</v>
      </c>
      <c r="BR1" s="143">
        <f>+'SP-mese'!BS3</f>
        <v>2031</v>
      </c>
      <c r="BS1" s="143">
        <f>+'SP-mese'!BT3</f>
        <v>2031</v>
      </c>
      <c r="BT1" s="143">
        <f>+'SP-mese'!BU3</f>
        <v>2031</v>
      </c>
      <c r="BU1" s="143">
        <f>+'SP-mese'!BV3</f>
        <v>2031</v>
      </c>
      <c r="BV1" s="143">
        <f>+'SP-mese'!BW3</f>
        <v>2031</v>
      </c>
      <c r="BW1" s="143">
        <f>+'SP-mese'!BX3</f>
        <v>2031</v>
      </c>
      <c r="BX1" s="143">
        <f>+'SP-mese'!BY3</f>
        <v>2031</v>
      </c>
      <c r="BY1" s="143">
        <f>+'SP-mese'!BZ3</f>
        <v>2031</v>
      </c>
      <c r="BZ1" s="143">
        <f>+'SP-mese'!CA3</f>
        <v>2032</v>
      </c>
      <c r="CA1" s="143">
        <f>+'SP-mese'!CB3</f>
        <v>2032</v>
      </c>
      <c r="CB1" s="143">
        <f>+'SP-mese'!CC3</f>
        <v>2032</v>
      </c>
      <c r="CC1" s="143">
        <f>+'SP-mese'!CD3</f>
        <v>2032</v>
      </c>
      <c r="CD1" s="143">
        <f>+'SP-mese'!CE3</f>
        <v>2032</v>
      </c>
      <c r="CE1" s="143">
        <f>+'SP-mese'!CF3</f>
        <v>2032</v>
      </c>
      <c r="CF1" s="143">
        <f>+'SP-mese'!CG3</f>
        <v>2032</v>
      </c>
      <c r="CG1" s="143">
        <f>+'SP-mese'!CH3</f>
        <v>2032</v>
      </c>
      <c r="CH1" s="143">
        <f>+'SP-mese'!CI3</f>
        <v>2032</v>
      </c>
      <c r="CI1" s="143">
        <f>+'SP-mese'!CJ3</f>
        <v>2032</v>
      </c>
      <c r="CJ1" s="143">
        <f>+'SP-mese'!CK3</f>
        <v>2032</v>
      </c>
      <c r="CK1" s="143">
        <f>+'SP-mese'!CL3</f>
        <v>2032</v>
      </c>
      <c r="CL1" s="143">
        <f>+'SP-mese'!CM3</f>
        <v>2033</v>
      </c>
      <c r="CM1" s="143">
        <f>+'SP-mese'!CN3</f>
        <v>2033</v>
      </c>
      <c r="CN1" s="143">
        <f>+'SP-mese'!CO3</f>
        <v>2033</v>
      </c>
      <c r="CO1" s="143">
        <f>+'SP-mese'!CP3</f>
        <v>2033</v>
      </c>
      <c r="CP1" s="143">
        <f>+'SP-mese'!CQ3</f>
        <v>2033</v>
      </c>
      <c r="CQ1" s="143">
        <f>+'SP-mese'!CR3</f>
        <v>2033</v>
      </c>
      <c r="CR1" s="143">
        <f>+'SP-mese'!CS3</f>
        <v>2033</v>
      </c>
      <c r="CS1" s="143">
        <f>+'SP-mese'!CT3</f>
        <v>2033</v>
      </c>
      <c r="CT1" s="143">
        <f>+'SP-mese'!CU3</f>
        <v>2033</v>
      </c>
      <c r="CU1" s="143">
        <f>+'SP-mese'!CV3</f>
        <v>2033</v>
      </c>
      <c r="CV1" s="143">
        <f>+'SP-mese'!CW3</f>
        <v>2033</v>
      </c>
      <c r="CW1" s="143">
        <f>+'SP-mese'!CX3</f>
        <v>2033</v>
      </c>
      <c r="CX1" s="143">
        <f>+'SP-mese'!CY3</f>
        <v>2034</v>
      </c>
      <c r="CY1" s="143">
        <f>+'SP-mese'!CZ3</f>
        <v>2034</v>
      </c>
      <c r="CZ1" s="143">
        <f>+'SP-mese'!DA3</f>
        <v>2034</v>
      </c>
      <c r="DA1" s="143">
        <f>+'SP-mese'!DB3</f>
        <v>2034</v>
      </c>
      <c r="DB1" s="143">
        <f>+'SP-mese'!DC3</f>
        <v>2034</v>
      </c>
      <c r="DC1" s="143">
        <f>+'SP-mese'!DD3</f>
        <v>2034</v>
      </c>
      <c r="DD1" s="143">
        <f>+'SP-mese'!DE3</f>
        <v>2034</v>
      </c>
      <c r="DE1" s="143">
        <f>+'SP-mese'!DF3</f>
        <v>2034</v>
      </c>
      <c r="DF1" s="143">
        <f>+'SP-mese'!DG3</f>
        <v>2034</v>
      </c>
      <c r="DG1" s="143">
        <f>+'SP-mese'!DH3</f>
        <v>2034</v>
      </c>
      <c r="DH1" s="143">
        <f>+'SP-mese'!DI3</f>
        <v>2034</v>
      </c>
      <c r="DI1" s="143">
        <f>+'SP-mese'!DJ3</f>
        <v>2034</v>
      </c>
      <c r="DJ1" s="143">
        <f>+'SP-mese'!DK3</f>
        <v>2035</v>
      </c>
      <c r="DK1" s="143">
        <f>+'SP-mese'!DL3</f>
        <v>2035</v>
      </c>
      <c r="DL1" s="143">
        <f>+'SP-mese'!DM3</f>
        <v>2035</v>
      </c>
      <c r="DM1" s="143">
        <f>+'SP-mese'!DN3</f>
        <v>2035</v>
      </c>
      <c r="DN1" s="143">
        <f>+'SP-mese'!DO3</f>
        <v>2035</v>
      </c>
      <c r="DO1" s="143">
        <f>+'SP-mese'!DP3</f>
        <v>2035</v>
      </c>
      <c r="DP1" s="143">
        <f>+'SP-mese'!DQ3</f>
        <v>2035</v>
      </c>
      <c r="DQ1" s="143">
        <f>+'SP-mese'!DR3</f>
        <v>2035</v>
      </c>
      <c r="DR1" s="143">
        <f>+'SP-mese'!DS3</f>
        <v>2035</v>
      </c>
      <c r="DT1" s="143">
        <f>+'CE-mese'!DT3</f>
        <v>2025</v>
      </c>
      <c r="DU1" s="143">
        <f>+'CE-mese'!DU3</f>
        <v>2026</v>
      </c>
      <c r="DV1" s="143">
        <f>+'CE-mese'!DV3</f>
        <v>2027</v>
      </c>
      <c r="DW1" s="143">
        <f>+'CE-mese'!DW3</f>
        <v>2028</v>
      </c>
      <c r="DX1" s="143">
        <f>+'CE-mese'!DX3</f>
        <v>2029</v>
      </c>
      <c r="DY1" s="143">
        <f>+'CE-mese'!DY3</f>
        <v>2030</v>
      </c>
      <c r="DZ1" s="143">
        <f>+'CE-mese'!DZ3</f>
        <v>2031</v>
      </c>
      <c r="EA1" s="143">
        <f>+'CE-mese'!EA3</f>
        <v>2032</v>
      </c>
      <c r="EB1" s="143">
        <f>+'CE-mese'!EB3</f>
        <v>2033</v>
      </c>
      <c r="EC1" s="143">
        <f>+'CE-mese'!EC3</f>
        <v>2034</v>
      </c>
    </row>
    <row r="2" ht="21">
      <c r="A2" s="298" t="s">
        <v>1231</v>
      </c>
      <c r="B2" s="282" t="s">
        <v>888</v>
      </c>
      <c r="C2" s="282">
        <f>+'SP-mese'!D4</f>
        <v>10</v>
      </c>
      <c r="D2" s="282">
        <f>+'SP-mese'!E4</f>
        <v>11</v>
      </c>
      <c r="E2" s="282">
        <f>+'SP-mese'!F4</f>
        <v>12</v>
      </c>
      <c r="F2" s="282">
        <f>+'SP-mese'!G4</f>
        <v>1</v>
      </c>
      <c r="G2" s="282">
        <f>+'SP-mese'!H4</f>
        <v>2</v>
      </c>
      <c r="H2" s="282">
        <f>+'SP-mese'!I4</f>
        <v>3</v>
      </c>
      <c r="I2" s="282">
        <f>+'SP-mese'!J4</f>
        <v>4</v>
      </c>
      <c r="J2" s="282">
        <f>+'SP-mese'!K4</f>
        <v>5</v>
      </c>
      <c r="K2" s="282">
        <f>+'SP-mese'!L4</f>
        <v>6</v>
      </c>
      <c r="L2" s="282">
        <f>+'SP-mese'!M4</f>
        <v>7</v>
      </c>
      <c r="M2" s="282">
        <f>+'SP-mese'!N4</f>
        <v>8</v>
      </c>
      <c r="N2" s="282">
        <f>+'SP-mese'!O4</f>
        <v>9</v>
      </c>
      <c r="O2" s="282">
        <f>+'SP-mese'!P4</f>
        <v>10</v>
      </c>
      <c r="P2" s="282">
        <f>+'SP-mese'!Q4</f>
        <v>11</v>
      </c>
      <c r="Q2" s="282">
        <f>+'SP-mese'!R4</f>
        <v>12</v>
      </c>
      <c r="R2" s="282">
        <f>+'SP-mese'!S4</f>
        <v>1</v>
      </c>
      <c r="S2" s="282">
        <f>+'SP-mese'!T4</f>
        <v>2</v>
      </c>
      <c r="T2" s="282">
        <f>+'SP-mese'!U4</f>
        <v>3</v>
      </c>
      <c r="U2" s="282">
        <f>+'SP-mese'!V4</f>
        <v>4</v>
      </c>
      <c r="V2" s="282">
        <f>+'SP-mese'!W4</f>
        <v>5</v>
      </c>
      <c r="W2" s="282">
        <f>+'SP-mese'!X4</f>
        <v>6</v>
      </c>
      <c r="X2" s="282">
        <f>+'SP-mese'!Y4</f>
        <v>7</v>
      </c>
      <c r="Y2" s="282">
        <f>+'SP-mese'!Z4</f>
        <v>8</v>
      </c>
      <c r="Z2" s="282">
        <f>+'SP-mese'!AA4</f>
        <v>9</v>
      </c>
      <c r="AA2" s="282">
        <f>+'SP-mese'!AB4</f>
        <v>10</v>
      </c>
      <c r="AB2" s="282">
        <f>+'SP-mese'!AC4</f>
        <v>11</v>
      </c>
      <c r="AC2" s="282">
        <f>+'SP-mese'!AD4</f>
        <v>12</v>
      </c>
      <c r="AD2" s="282">
        <f>+'SP-mese'!AE4</f>
        <v>1</v>
      </c>
      <c r="AE2" s="282">
        <f>+'SP-mese'!AF4</f>
        <v>2</v>
      </c>
      <c r="AF2" s="282">
        <f>+'SP-mese'!AG4</f>
        <v>3</v>
      </c>
      <c r="AG2" s="282">
        <f>+'SP-mese'!AH4</f>
        <v>4</v>
      </c>
      <c r="AH2" s="282">
        <f>+'SP-mese'!AI4</f>
        <v>5</v>
      </c>
      <c r="AI2" s="282">
        <f>+'SP-mese'!AJ4</f>
        <v>6</v>
      </c>
      <c r="AJ2" s="282">
        <f>+'SP-mese'!AK4</f>
        <v>7</v>
      </c>
      <c r="AK2" s="282">
        <f>+'SP-mese'!AL4</f>
        <v>8</v>
      </c>
      <c r="AL2" s="282">
        <f>+'SP-mese'!AM4</f>
        <v>9</v>
      </c>
      <c r="AM2" s="282">
        <f>+'SP-mese'!AN4</f>
        <v>10</v>
      </c>
      <c r="AN2" s="282">
        <f>+'SP-mese'!AO4</f>
        <v>11</v>
      </c>
      <c r="AO2" s="282">
        <f>+'SP-mese'!AP4</f>
        <v>12</v>
      </c>
      <c r="AP2" s="282">
        <f>+'SP-mese'!AQ4</f>
        <v>1</v>
      </c>
      <c r="AQ2" s="282">
        <f>+'SP-mese'!AR4</f>
        <v>2</v>
      </c>
      <c r="AR2" s="282">
        <f>+'SP-mese'!AS4</f>
        <v>3</v>
      </c>
      <c r="AS2" s="282">
        <f>+'SP-mese'!AT4</f>
        <v>4</v>
      </c>
      <c r="AT2" s="282">
        <f>+'SP-mese'!AU4</f>
        <v>5</v>
      </c>
      <c r="AU2" s="282">
        <f>+'SP-mese'!AV4</f>
        <v>6</v>
      </c>
      <c r="AV2" s="282">
        <f>+'SP-mese'!AW4</f>
        <v>7</v>
      </c>
      <c r="AW2" s="282">
        <f>+'SP-mese'!AX4</f>
        <v>8</v>
      </c>
      <c r="AX2" s="282">
        <f>+'SP-mese'!AY4</f>
        <v>9</v>
      </c>
      <c r="AY2" s="282">
        <f>+'SP-mese'!AZ4</f>
        <v>10</v>
      </c>
      <c r="AZ2" s="282">
        <f>+'SP-mese'!BA4</f>
        <v>11</v>
      </c>
      <c r="BA2" s="282">
        <f>+'SP-mese'!BB4</f>
        <v>12</v>
      </c>
      <c r="BB2" s="282">
        <f>+'SP-mese'!BC4</f>
        <v>1</v>
      </c>
      <c r="BC2" s="282">
        <f>+'SP-mese'!BD4</f>
        <v>2</v>
      </c>
      <c r="BD2" s="282">
        <f>+'SP-mese'!BE4</f>
        <v>3</v>
      </c>
      <c r="BE2" s="282">
        <f>+'SP-mese'!BF4</f>
        <v>4</v>
      </c>
      <c r="BF2" s="282">
        <f>+'SP-mese'!BG4</f>
        <v>5</v>
      </c>
      <c r="BG2" s="282">
        <f>+'SP-mese'!BH4</f>
        <v>6</v>
      </c>
      <c r="BH2" s="282">
        <f>+'SP-mese'!BI4</f>
        <v>7</v>
      </c>
      <c r="BI2" s="282">
        <f>+'SP-mese'!BJ4</f>
        <v>8</v>
      </c>
      <c r="BJ2" s="282">
        <f>+'SP-mese'!BK4</f>
        <v>9</v>
      </c>
      <c r="BK2" s="282">
        <f>+'SP-mese'!BL4</f>
        <v>10</v>
      </c>
      <c r="BL2" s="282">
        <f>+'SP-mese'!BM4</f>
        <v>11</v>
      </c>
      <c r="BM2" s="282">
        <f>+'SP-mese'!BN4</f>
        <v>12</v>
      </c>
      <c r="BN2" s="282">
        <f>+'SP-mese'!BO4</f>
        <v>1</v>
      </c>
      <c r="BO2" s="282">
        <f>+'SP-mese'!BP4</f>
        <v>2</v>
      </c>
      <c r="BP2" s="282">
        <f>+'SP-mese'!BQ4</f>
        <v>3</v>
      </c>
      <c r="BQ2" s="282">
        <f>+'SP-mese'!BR4</f>
        <v>4</v>
      </c>
      <c r="BR2" s="282">
        <f>+'SP-mese'!BS4</f>
        <v>5</v>
      </c>
      <c r="BS2" s="282">
        <f>+'SP-mese'!BT4</f>
        <v>6</v>
      </c>
      <c r="BT2" s="282">
        <f>+'SP-mese'!BU4</f>
        <v>7</v>
      </c>
      <c r="BU2" s="282">
        <f>+'SP-mese'!BV4</f>
        <v>8</v>
      </c>
      <c r="BV2" s="282">
        <f>+'SP-mese'!BW4</f>
        <v>9</v>
      </c>
      <c r="BW2" s="282">
        <f>+'SP-mese'!BX4</f>
        <v>10</v>
      </c>
      <c r="BX2" s="282">
        <f>+'SP-mese'!BY4</f>
        <v>11</v>
      </c>
      <c r="BY2" s="282">
        <f>+'SP-mese'!BZ4</f>
        <v>12</v>
      </c>
      <c r="BZ2" s="282">
        <f>+'SP-mese'!CA4</f>
        <v>1</v>
      </c>
      <c r="CA2" s="282">
        <f>+'SP-mese'!CB4</f>
        <v>2</v>
      </c>
      <c r="CB2" s="282">
        <f>+'SP-mese'!CC4</f>
        <v>3</v>
      </c>
      <c r="CC2" s="282">
        <f>+'SP-mese'!CD4</f>
        <v>4</v>
      </c>
      <c r="CD2" s="282">
        <f>+'SP-mese'!CE4</f>
        <v>5</v>
      </c>
      <c r="CE2" s="282">
        <f>+'SP-mese'!CF4</f>
        <v>6</v>
      </c>
      <c r="CF2" s="282">
        <f>+'SP-mese'!CG4</f>
        <v>7</v>
      </c>
      <c r="CG2" s="282">
        <f>+'SP-mese'!CH4</f>
        <v>8</v>
      </c>
      <c r="CH2" s="282">
        <f>+'SP-mese'!CI4</f>
        <v>9</v>
      </c>
      <c r="CI2" s="282">
        <f>+'SP-mese'!CJ4</f>
        <v>10</v>
      </c>
      <c r="CJ2" s="282">
        <f>+'SP-mese'!CK4</f>
        <v>11</v>
      </c>
      <c r="CK2" s="282">
        <f>+'SP-mese'!CL4</f>
        <v>12</v>
      </c>
      <c r="CL2" s="282">
        <f>+'SP-mese'!CM4</f>
        <v>1</v>
      </c>
      <c r="CM2" s="282">
        <f>+'SP-mese'!CN4</f>
        <v>2</v>
      </c>
      <c r="CN2" s="282">
        <f>+'SP-mese'!CO4</f>
        <v>3</v>
      </c>
      <c r="CO2" s="282">
        <f>+'SP-mese'!CP4</f>
        <v>4</v>
      </c>
      <c r="CP2" s="282">
        <f>+'SP-mese'!CQ4</f>
        <v>5</v>
      </c>
      <c r="CQ2" s="282">
        <f>+'SP-mese'!CR4</f>
        <v>6</v>
      </c>
      <c r="CR2" s="282">
        <f>+'SP-mese'!CS4</f>
        <v>7</v>
      </c>
      <c r="CS2" s="282">
        <f>+'SP-mese'!CT4</f>
        <v>8</v>
      </c>
      <c r="CT2" s="282">
        <f>+'SP-mese'!CU4</f>
        <v>9</v>
      </c>
      <c r="CU2" s="282">
        <f>+'SP-mese'!CV4</f>
        <v>10</v>
      </c>
      <c r="CV2" s="282">
        <f>+'SP-mese'!CW4</f>
        <v>11</v>
      </c>
      <c r="CW2" s="282">
        <f>+'SP-mese'!CX4</f>
        <v>12</v>
      </c>
      <c r="CX2" s="282">
        <f>+'SP-mese'!CY4</f>
        <v>1</v>
      </c>
      <c r="CY2" s="282">
        <f>+'SP-mese'!CZ4</f>
        <v>2</v>
      </c>
      <c r="CZ2" s="282">
        <f>+'SP-mese'!DA4</f>
        <v>3</v>
      </c>
      <c r="DA2" s="282">
        <f>+'SP-mese'!DB4</f>
        <v>4</v>
      </c>
      <c r="DB2" s="282">
        <f>+'SP-mese'!DC4</f>
        <v>5</v>
      </c>
      <c r="DC2" s="282">
        <f>+'SP-mese'!DD4</f>
        <v>6</v>
      </c>
      <c r="DD2" s="282">
        <f>+'SP-mese'!DE4</f>
        <v>7</v>
      </c>
      <c r="DE2" s="282">
        <f>+'SP-mese'!DF4</f>
        <v>8</v>
      </c>
      <c r="DF2" s="282">
        <f>+'SP-mese'!DG4</f>
        <v>9</v>
      </c>
      <c r="DG2" s="282">
        <f>+'SP-mese'!DH4</f>
        <v>10</v>
      </c>
      <c r="DH2" s="282">
        <f>+'SP-mese'!DI4</f>
        <v>11</v>
      </c>
      <c r="DI2" s="282">
        <f>+'SP-mese'!DJ4</f>
        <v>12</v>
      </c>
      <c r="DJ2" s="282">
        <f>+'SP-mese'!DK4</f>
        <v>1</v>
      </c>
      <c r="DK2" s="282">
        <f>+'SP-mese'!DL4</f>
        <v>2</v>
      </c>
      <c r="DL2" s="282">
        <f>+'SP-mese'!DM4</f>
        <v>3</v>
      </c>
      <c r="DM2" s="282">
        <f>+'SP-mese'!DN4</f>
        <v>4</v>
      </c>
      <c r="DN2" s="282">
        <f>+'SP-mese'!DO4</f>
        <v>5</v>
      </c>
      <c r="DO2" s="282">
        <f>+'SP-mese'!DP4</f>
        <v>6</v>
      </c>
      <c r="DP2" s="282">
        <f>+'SP-mese'!DQ4</f>
        <v>7</v>
      </c>
      <c r="DQ2" s="282">
        <f>+'SP-mese'!DR4</f>
        <v>8</v>
      </c>
      <c r="DR2" s="282">
        <f>+'SP-mese'!DS4</f>
        <v>9</v>
      </c>
    </row>
    <row r="3" ht="31">
      <c r="A3" s="308" t="s">
        <v>1232</v>
      </c>
    </row>
    <row r="4" thickBot="1"/>
    <row r="5" thickTop="1" thickBot="1" ht="15.5">
      <c r="A5" s="301" t="s">
        <v>1233</v>
      </c>
      <c r="B5" s="301"/>
      <c r="C5" s="301">
        <f>+'CE-mese'!C69</f>
        <v>0</v>
      </c>
      <c r="D5" s="301">
        <f>+'CE-mese'!D69</f>
        <v>0</v>
      </c>
      <c r="E5" s="301">
        <f>+'CE-mese'!E69</f>
        <v>0</v>
      </c>
      <c r="F5" s="301">
        <f>+'CE-mese'!F69</f>
        <v>0</v>
      </c>
      <c r="G5" s="301">
        <f>+'CE-mese'!G69</f>
        <v>0</v>
      </c>
      <c r="H5" s="301">
        <f>+'CE-mese'!H69</f>
        <v>0</v>
      </c>
      <c r="I5" s="301">
        <f>+'CE-mese'!I69</f>
        <v>0</v>
      </c>
      <c r="J5" s="301">
        <f>+'CE-mese'!J69</f>
        <v>0</v>
      </c>
      <c r="K5" s="301">
        <f>+'CE-mese'!K69</f>
        <v>0</v>
      </c>
      <c r="L5" s="301">
        <f>+'CE-mese'!L69</f>
        <v>0</v>
      </c>
      <c r="M5" s="301">
        <f>+'CE-mese'!M69</f>
        <v>0</v>
      </c>
      <c r="N5" s="301">
        <f>+'CE-mese'!N69</f>
        <v>0</v>
      </c>
      <c r="O5" s="301">
        <f>+'CE-mese'!O69</f>
        <v>0</v>
      </c>
      <c r="P5" s="301">
        <f>+'CE-mese'!P69</f>
        <v>0</v>
      </c>
      <c r="Q5" s="301">
        <f>+'CE-mese'!Q69</f>
        <v>0</v>
      </c>
      <c r="R5" s="301">
        <f>+'CE-mese'!R69</f>
        <v>0</v>
      </c>
      <c r="S5" s="301">
        <f>+'CE-mese'!S69</f>
        <v>0</v>
      </c>
      <c r="T5" s="301">
        <f>+'CE-mese'!T69</f>
        <v>0</v>
      </c>
      <c r="U5" s="301">
        <f>+'CE-mese'!U69</f>
        <v>0</v>
      </c>
      <c r="V5" s="301">
        <f>+'CE-mese'!V69</f>
        <v>0</v>
      </c>
      <c r="W5" s="301">
        <f>+'CE-mese'!W69</f>
        <v>0</v>
      </c>
      <c r="X5" s="301">
        <f>+'CE-mese'!X69</f>
        <v>0</v>
      </c>
      <c r="Y5" s="301">
        <f>+'CE-mese'!Y69</f>
        <v>0</v>
      </c>
      <c r="Z5" s="301">
        <f>+'CE-mese'!Z69</f>
        <v>0</v>
      </c>
      <c r="AA5" s="301">
        <f>+'CE-mese'!AA69</f>
        <v>0</v>
      </c>
      <c r="AB5" s="301">
        <f>+'CE-mese'!AB69</f>
        <v>0</v>
      </c>
      <c r="AC5" s="301">
        <f>+'CE-mese'!AC69</f>
        <v>0</v>
      </c>
      <c r="AD5" s="301">
        <f>+'CE-mese'!AD69</f>
        <v>0</v>
      </c>
      <c r="AE5" s="301">
        <f>+'CE-mese'!AE69</f>
        <v>0</v>
      </c>
      <c r="AF5" s="301">
        <f>+'CE-mese'!AF69</f>
        <v>0</v>
      </c>
      <c r="AG5" s="301">
        <f>+'CE-mese'!AG69</f>
        <v>0</v>
      </c>
      <c r="AH5" s="301">
        <f>+'CE-mese'!AH69</f>
        <v>0</v>
      </c>
      <c r="AI5" s="301">
        <f>+'CE-mese'!AI69</f>
        <v>0</v>
      </c>
      <c r="AJ5" s="301">
        <f>+'CE-mese'!AJ69</f>
        <v>0</v>
      </c>
      <c r="AK5" s="301">
        <f>+'CE-mese'!AK69</f>
        <v>0</v>
      </c>
      <c r="AL5" s="301">
        <f>+'CE-mese'!AL69</f>
        <v>0</v>
      </c>
      <c r="AM5" s="301">
        <f>+'CE-mese'!AM69</f>
        <v>0</v>
      </c>
      <c r="AN5" s="301">
        <f>+'CE-mese'!AN69</f>
        <v>0</v>
      </c>
      <c r="AO5" s="301">
        <f>+'CE-mese'!AO69</f>
        <v>0</v>
      </c>
      <c r="AP5" s="301">
        <f>+'CE-mese'!AP69</f>
        <v>0</v>
      </c>
      <c r="AQ5" s="301">
        <f>+'CE-mese'!AQ69</f>
        <v>0</v>
      </c>
      <c r="AR5" s="301">
        <f>+'CE-mese'!AR69</f>
        <v>0</v>
      </c>
      <c r="AS5" s="301">
        <f>+'CE-mese'!AS69</f>
        <v>0</v>
      </c>
      <c r="AT5" s="301">
        <f>+'CE-mese'!AT69</f>
        <v>0</v>
      </c>
      <c r="AU5" s="301">
        <f>+'CE-mese'!AU69</f>
        <v>0</v>
      </c>
      <c r="AV5" s="301">
        <f>+'CE-mese'!AV69</f>
        <v>0</v>
      </c>
      <c r="AW5" s="301">
        <f>+'CE-mese'!AW69</f>
        <v>0</v>
      </c>
      <c r="AX5" s="301">
        <f>+'CE-mese'!AX69</f>
        <v>0</v>
      </c>
      <c r="AY5" s="301">
        <f>+'CE-mese'!AY69</f>
        <v>0</v>
      </c>
      <c r="AZ5" s="301">
        <f>+'CE-mese'!AZ69</f>
        <v>0</v>
      </c>
      <c r="BA5" s="301">
        <f>+'CE-mese'!BA69</f>
        <v>0</v>
      </c>
      <c r="BB5" s="301">
        <f>+'CE-mese'!BB69</f>
        <v>0</v>
      </c>
      <c r="BC5" s="301">
        <f>+'CE-mese'!BC69</f>
        <v>0</v>
      </c>
      <c r="BD5" s="301">
        <f>+'CE-mese'!BD69</f>
        <v>0</v>
      </c>
      <c r="BE5" s="301">
        <f>+'CE-mese'!BE69</f>
        <v>0</v>
      </c>
      <c r="BF5" s="301">
        <f>+'CE-mese'!BF69</f>
        <v>0</v>
      </c>
      <c r="BG5" s="301">
        <f>+'CE-mese'!BG69</f>
        <v>0</v>
      </c>
      <c r="BH5" s="301">
        <f>+'CE-mese'!BH69</f>
        <v>0</v>
      </c>
      <c r="BI5" s="301">
        <f>+'CE-mese'!BI69</f>
        <v>0</v>
      </c>
      <c r="BJ5" s="301">
        <f>+'CE-mese'!BJ69</f>
        <v>0</v>
      </c>
      <c r="BK5" s="301">
        <f>+'CE-mese'!BK69</f>
        <v>0</v>
      </c>
      <c r="BL5" s="301">
        <f>+'CE-mese'!BL69</f>
        <v>0</v>
      </c>
      <c r="BM5" s="301">
        <f>+'CE-mese'!BM69</f>
        <v>0</v>
      </c>
      <c r="BN5" s="301">
        <f>+'CE-mese'!BN69</f>
        <v>0</v>
      </c>
      <c r="BO5" s="301">
        <f>+'CE-mese'!BO69</f>
        <v>0</v>
      </c>
      <c r="BP5" s="301">
        <f>+'CE-mese'!BP69</f>
        <v>0</v>
      </c>
      <c r="BQ5" s="301">
        <f>+'CE-mese'!BQ69</f>
        <v>0</v>
      </c>
      <c r="BR5" s="301">
        <f>+'CE-mese'!BR69</f>
        <v>0</v>
      </c>
      <c r="BS5" s="301">
        <f>+'CE-mese'!BS69</f>
        <v>0</v>
      </c>
      <c r="BT5" s="301">
        <f>+'CE-mese'!BT69</f>
        <v>0</v>
      </c>
      <c r="BU5" s="301">
        <f>+'CE-mese'!BU69</f>
        <v>0</v>
      </c>
      <c r="BV5" s="301">
        <f>+'CE-mese'!BV69</f>
        <v>0</v>
      </c>
      <c r="BW5" s="301">
        <f>+'CE-mese'!BW69</f>
        <v>0</v>
      </c>
      <c r="BX5" s="301">
        <f>+'CE-mese'!BX69</f>
        <v>0</v>
      </c>
      <c r="BY5" s="301">
        <f>+'CE-mese'!BY69</f>
        <v>0</v>
      </c>
      <c r="BZ5" s="301">
        <f>+'CE-mese'!BZ69</f>
        <v>0</v>
      </c>
      <c r="CA5" s="301">
        <f>+'CE-mese'!CA69</f>
        <v>0</v>
      </c>
      <c r="CB5" s="301">
        <f>+'CE-mese'!CB69</f>
        <v>0</v>
      </c>
      <c r="CC5" s="301">
        <f>+'CE-mese'!CC69</f>
        <v>0</v>
      </c>
      <c r="CD5" s="301">
        <f>+'CE-mese'!CD69</f>
        <v>0</v>
      </c>
      <c r="CE5" s="301">
        <f>+'CE-mese'!CE69</f>
        <v>0</v>
      </c>
      <c r="CF5" s="301">
        <f>+'CE-mese'!CF69</f>
        <v>0</v>
      </c>
      <c r="CG5" s="301">
        <f>+'CE-mese'!CG69</f>
        <v>0</v>
      </c>
      <c r="CH5" s="301">
        <f>+'CE-mese'!CH69</f>
        <v>0</v>
      </c>
      <c r="CI5" s="301">
        <f>+'CE-mese'!CI69</f>
        <v>0</v>
      </c>
      <c r="CJ5" s="301">
        <f>+'CE-mese'!CJ69</f>
        <v>0</v>
      </c>
      <c r="CK5" s="301">
        <f>+'CE-mese'!CK69</f>
        <v>0</v>
      </c>
      <c r="CL5" s="301">
        <f>+'CE-mese'!CL69</f>
        <v>0</v>
      </c>
      <c r="CM5" s="301">
        <f>+'CE-mese'!CM69</f>
        <v>0</v>
      </c>
      <c r="CN5" s="301">
        <f>+'CE-mese'!CN69</f>
        <v>0</v>
      </c>
      <c r="CO5" s="301">
        <f>+'CE-mese'!CO69</f>
        <v>0</v>
      </c>
      <c r="CP5" s="301">
        <f>+'CE-mese'!CP69</f>
        <v>0</v>
      </c>
      <c r="CQ5" s="301">
        <f>+'CE-mese'!CQ69</f>
        <v>0</v>
      </c>
      <c r="CR5" s="301">
        <f>+'CE-mese'!CR69</f>
        <v>0</v>
      </c>
      <c r="CS5" s="301">
        <f>+'CE-mese'!CS69</f>
        <v>0</v>
      </c>
      <c r="CT5" s="301">
        <f>+'CE-mese'!CT69</f>
        <v>0</v>
      </c>
      <c r="CU5" s="301">
        <f>+'CE-mese'!CU69</f>
        <v>0</v>
      </c>
      <c r="CV5" s="301">
        <f>+'CE-mese'!CV69</f>
        <v>0</v>
      </c>
      <c r="CW5" s="301">
        <f>+'CE-mese'!CW69</f>
        <v>0</v>
      </c>
      <c r="CX5" s="301">
        <f>+'CE-mese'!CX69</f>
        <v>0</v>
      </c>
      <c r="CY5" s="301">
        <f>+'CE-mese'!CY69</f>
        <v>0</v>
      </c>
      <c r="CZ5" s="301">
        <f>+'CE-mese'!CZ69</f>
        <v>0</v>
      </c>
      <c r="DA5" s="301">
        <f>+'CE-mese'!DA69</f>
        <v>0</v>
      </c>
      <c r="DB5" s="301">
        <f>+'CE-mese'!DB69</f>
        <v>0</v>
      </c>
      <c r="DC5" s="301">
        <f>+'CE-mese'!DC69</f>
        <v>0</v>
      </c>
      <c r="DD5" s="301">
        <f>+'CE-mese'!DD69</f>
        <v>0</v>
      </c>
      <c r="DE5" s="301">
        <f>+'CE-mese'!DE69</f>
        <v>0</v>
      </c>
      <c r="DF5" s="301">
        <f>+'CE-mese'!DF69</f>
        <v>0</v>
      </c>
      <c r="DG5" s="301">
        <f>+'CE-mese'!DG69</f>
        <v>0</v>
      </c>
      <c r="DH5" s="301">
        <f>+'CE-mese'!DH69</f>
        <v>0</v>
      </c>
      <c r="DI5" s="301">
        <f>+'CE-mese'!DI69</f>
        <v>0</v>
      </c>
      <c r="DJ5" s="301">
        <f>+'CE-mese'!DJ69</f>
        <v>0</v>
      </c>
      <c r="DK5" s="301">
        <f>+'CE-mese'!DK69</f>
        <v>0</v>
      </c>
      <c r="DL5" s="301">
        <f>+'CE-mese'!DL69</f>
        <v>0</v>
      </c>
      <c r="DM5" s="301">
        <f>+'CE-mese'!DM69</f>
        <v>0</v>
      </c>
      <c r="DN5" s="301">
        <f>+'CE-mese'!DN69</f>
        <v>0</v>
      </c>
      <c r="DO5" s="301">
        <f>+'CE-mese'!DO69</f>
        <v>0</v>
      </c>
      <c r="DP5" s="301">
        <f>+'CE-mese'!DP69</f>
        <v>0</v>
      </c>
      <c r="DQ5" s="301">
        <f>+'CE-mese'!DQ69</f>
        <v>0</v>
      </c>
      <c r="DR5" s="301">
        <f>+'CE-mese'!DR69</f>
        <v>0</v>
      </c>
      <c r="DT5" s="301">
        <f>+SUMIF($C$1:$DR$1,DT$1,$C5:$DR5)</f>
        <v>0</v>
      </c>
      <c r="DU5" s="301">
        <f t="shared" ref="DU5:EC7" si="0">+SUMIF($C$1:$DR$1,DU$1,$C5:$DR5)</f>
        <v>0</v>
      </c>
      <c r="DV5" s="301">
        <f t="shared" si="0"/>
        <v>0</v>
      </c>
      <c r="DW5" s="301">
        <f t="shared" si="0"/>
        <v>0</v>
      </c>
      <c r="DX5" s="301">
        <f t="shared" si="0"/>
        <v>0</v>
      </c>
      <c r="DY5" s="301">
        <f t="shared" si="0"/>
        <v>0</v>
      </c>
      <c r="DZ5" s="301">
        <f t="shared" si="0"/>
        <v>0</v>
      </c>
      <c r="EA5" s="301">
        <f t="shared" si="0"/>
        <v>0</v>
      </c>
      <c r="EB5" s="301">
        <f t="shared" si="0"/>
        <v>0</v>
      </c>
      <c r="EC5" s="301">
        <f t="shared" si="0"/>
        <v>0</v>
      </c>
    </row>
    <row r="6" thickTop="1">
      <c r="A6" t="s">
        <v>1234</v>
      </c>
      <c r="C6" s="144">
        <f>+'CE-mese'!C67</f>
        <v>0</v>
      </c>
      <c r="D6" s="144">
        <f>+'CE-mese'!D67</f>
        <v>0</v>
      </c>
      <c r="E6" s="144">
        <f>+'CE-mese'!E67</f>
        <v>0</v>
      </c>
      <c r="F6" s="144">
        <f>+'CE-mese'!F67</f>
        <v>0</v>
      </c>
      <c r="G6" s="144">
        <f>+'CE-mese'!G67</f>
        <v>0</v>
      </c>
      <c r="H6" s="144">
        <f>+'CE-mese'!H67</f>
        <v>0</v>
      </c>
      <c r="I6" s="144">
        <f>+'CE-mese'!I67</f>
        <v>0</v>
      </c>
      <c r="J6" s="144">
        <f>+'CE-mese'!J67</f>
        <v>0</v>
      </c>
      <c r="K6" s="144">
        <f>+'CE-mese'!K67</f>
        <v>0</v>
      </c>
      <c r="L6" s="144">
        <f>+'CE-mese'!L67</f>
        <v>0</v>
      </c>
      <c r="M6" s="144">
        <f>+'CE-mese'!M67</f>
        <v>0</v>
      </c>
      <c r="N6" s="144">
        <f>+'CE-mese'!N67</f>
        <v>0</v>
      </c>
      <c r="O6" s="144">
        <f>+'CE-mese'!O67</f>
        <v>0</v>
      </c>
      <c r="P6" s="144">
        <f>+'CE-mese'!P67</f>
        <v>0</v>
      </c>
      <c r="Q6" s="144">
        <f>+'CE-mese'!Q67</f>
        <v>0</v>
      </c>
      <c r="R6" s="144">
        <f>+'CE-mese'!R67</f>
        <v>0</v>
      </c>
      <c r="S6" s="144">
        <f>+'CE-mese'!S67</f>
        <v>0</v>
      </c>
      <c r="T6" s="144">
        <f>+'CE-mese'!T67</f>
        <v>0</v>
      </c>
      <c r="U6" s="144">
        <f>+'CE-mese'!U67</f>
        <v>0</v>
      </c>
      <c r="V6" s="144">
        <f>+'CE-mese'!V67</f>
        <v>0</v>
      </c>
      <c r="W6" s="144">
        <f>+'CE-mese'!W67</f>
        <v>0</v>
      </c>
      <c r="X6" s="144">
        <f>+'CE-mese'!X67</f>
        <v>0</v>
      </c>
      <c r="Y6" s="144">
        <f>+'CE-mese'!Y67</f>
        <v>0</v>
      </c>
      <c r="Z6" s="144">
        <f>+'CE-mese'!Z67</f>
        <v>0</v>
      </c>
      <c r="AA6" s="144">
        <f>+'CE-mese'!AA67</f>
        <v>0</v>
      </c>
      <c r="AB6" s="144">
        <f>+'CE-mese'!AB67</f>
        <v>0</v>
      </c>
      <c r="AC6" s="144">
        <f>+'CE-mese'!AC67</f>
        <v>0</v>
      </c>
      <c r="AD6" s="144">
        <f>+'CE-mese'!AD67</f>
        <v>0</v>
      </c>
      <c r="AE6" s="144">
        <f>+'CE-mese'!AE67</f>
        <v>0</v>
      </c>
      <c r="AF6" s="144">
        <f>+'CE-mese'!AF67</f>
        <v>0</v>
      </c>
      <c r="AG6" s="144">
        <f>+'CE-mese'!AG67</f>
        <v>0</v>
      </c>
      <c r="AH6" s="144">
        <f>+'CE-mese'!AH67</f>
        <v>0</v>
      </c>
      <c r="AI6" s="144">
        <f>+'CE-mese'!AI67</f>
        <v>0</v>
      </c>
      <c r="AJ6" s="144">
        <f>+'CE-mese'!AJ67</f>
        <v>0</v>
      </c>
      <c r="AK6" s="144">
        <f>+'CE-mese'!AK67</f>
        <v>0</v>
      </c>
      <c r="AL6" s="144">
        <f>+'CE-mese'!AL67</f>
        <v>0</v>
      </c>
      <c r="AM6" s="144">
        <f>+'CE-mese'!AM67</f>
        <v>0</v>
      </c>
      <c r="AN6" s="144">
        <f>+'CE-mese'!AN67</f>
        <v>0</v>
      </c>
      <c r="AO6" s="144">
        <f>+'CE-mese'!AO67</f>
        <v>0</v>
      </c>
      <c r="AP6" s="144">
        <f>+'CE-mese'!AP67</f>
        <v>0</v>
      </c>
      <c r="AQ6" s="144">
        <f>+'CE-mese'!AQ67</f>
        <v>0</v>
      </c>
      <c r="AR6" s="144">
        <f>+'CE-mese'!AR67</f>
        <v>0</v>
      </c>
      <c r="AS6" s="144">
        <f>+'CE-mese'!AS67</f>
        <v>0</v>
      </c>
      <c r="AT6" s="144">
        <f>+'CE-mese'!AT67</f>
        <v>0</v>
      </c>
      <c r="AU6" s="144">
        <f>+'CE-mese'!AU67</f>
        <v>0</v>
      </c>
      <c r="AV6" s="144">
        <f>+'CE-mese'!AV67</f>
        <v>0</v>
      </c>
      <c r="AW6" s="144">
        <f>+'CE-mese'!AW67</f>
        <v>0</v>
      </c>
      <c r="AX6" s="144">
        <f>+'CE-mese'!AX67</f>
        <v>0</v>
      </c>
      <c r="AY6" s="144">
        <f>+'CE-mese'!AY67</f>
        <v>0</v>
      </c>
      <c r="AZ6" s="144">
        <f>+'CE-mese'!AZ67</f>
        <v>0</v>
      </c>
      <c r="BA6" s="144">
        <f>+'CE-mese'!BA67</f>
        <v>0</v>
      </c>
      <c r="BB6" s="144">
        <f>+'CE-mese'!BB67</f>
        <v>0</v>
      </c>
      <c r="BC6" s="144">
        <f>+'CE-mese'!BC67</f>
        <v>0</v>
      </c>
      <c r="BD6" s="144">
        <f>+'CE-mese'!BD67</f>
        <v>0</v>
      </c>
      <c r="BE6" s="144">
        <f>+'CE-mese'!BE67</f>
        <v>0</v>
      </c>
      <c r="BF6" s="144">
        <f>+'CE-mese'!BF67</f>
        <v>0</v>
      </c>
      <c r="BG6" s="144">
        <f>+'CE-mese'!BG67</f>
        <v>0</v>
      </c>
      <c r="BH6" s="144">
        <f>+'CE-mese'!BH67</f>
        <v>0</v>
      </c>
      <c r="BI6" s="144">
        <f>+'CE-mese'!BI67</f>
        <v>0</v>
      </c>
      <c r="BJ6" s="144">
        <f>+'CE-mese'!BJ67</f>
        <v>0</v>
      </c>
      <c r="BK6" s="144">
        <f>+'CE-mese'!BK67</f>
        <v>0</v>
      </c>
      <c r="BL6" s="144">
        <f>+'CE-mese'!BL67</f>
        <v>0</v>
      </c>
      <c r="BM6" s="144">
        <f>+'CE-mese'!BM67</f>
        <v>0</v>
      </c>
      <c r="BN6" s="144">
        <f>+'CE-mese'!BN67</f>
        <v>0</v>
      </c>
      <c r="BO6" s="144">
        <f>+'CE-mese'!BO67</f>
        <v>0</v>
      </c>
      <c r="BP6" s="144">
        <f>+'CE-mese'!BP67</f>
        <v>0</v>
      </c>
      <c r="BQ6" s="144">
        <f>+'CE-mese'!BQ67</f>
        <v>0</v>
      </c>
      <c r="BR6" s="144">
        <f>+'CE-mese'!BR67</f>
        <v>0</v>
      </c>
      <c r="BS6" s="144">
        <f>+'CE-mese'!BS67</f>
        <v>0</v>
      </c>
      <c r="BT6" s="144">
        <f>+'CE-mese'!BT67</f>
        <v>0</v>
      </c>
      <c r="BU6" s="144">
        <f>+'CE-mese'!BU67</f>
        <v>0</v>
      </c>
      <c r="BV6" s="144">
        <f>+'CE-mese'!BV67</f>
        <v>0</v>
      </c>
      <c r="BW6" s="144">
        <f>+'CE-mese'!BW67</f>
        <v>0</v>
      </c>
      <c r="BX6" s="144">
        <f>+'CE-mese'!BX67</f>
        <v>0</v>
      </c>
      <c r="BY6" s="144">
        <f>+'CE-mese'!BY67</f>
        <v>0</v>
      </c>
      <c r="BZ6" s="144">
        <f>+'CE-mese'!BZ67</f>
        <v>0</v>
      </c>
      <c r="CA6" s="144">
        <f>+'CE-mese'!CA67</f>
        <v>0</v>
      </c>
      <c r="CB6" s="144">
        <f>+'CE-mese'!CB67</f>
        <v>0</v>
      </c>
      <c r="CC6" s="144">
        <f>+'CE-mese'!CC67</f>
        <v>0</v>
      </c>
      <c r="CD6" s="144">
        <f>+'CE-mese'!CD67</f>
        <v>0</v>
      </c>
      <c r="CE6" s="144">
        <f>+'CE-mese'!CE67</f>
        <v>0</v>
      </c>
      <c r="CF6" s="144">
        <f>+'CE-mese'!CF67</f>
        <v>0</v>
      </c>
      <c r="CG6" s="144">
        <f>+'CE-mese'!CG67</f>
        <v>0</v>
      </c>
      <c r="CH6" s="144">
        <f>+'CE-mese'!CH67</f>
        <v>0</v>
      </c>
      <c r="CI6" s="144">
        <f>+'CE-mese'!CI67</f>
        <v>0</v>
      </c>
      <c r="CJ6" s="144">
        <f>+'CE-mese'!CJ67</f>
        <v>0</v>
      </c>
      <c r="CK6" s="144">
        <f>+'CE-mese'!CK67</f>
        <v>0</v>
      </c>
      <c r="CL6" s="144">
        <f>+'CE-mese'!CL67</f>
        <v>0</v>
      </c>
      <c r="CM6" s="144">
        <f>+'CE-mese'!CM67</f>
        <v>0</v>
      </c>
      <c r="CN6" s="144">
        <f>+'CE-mese'!CN67</f>
        <v>0</v>
      </c>
      <c r="CO6" s="144">
        <f>+'CE-mese'!CO67</f>
        <v>0</v>
      </c>
      <c r="CP6" s="144">
        <f>+'CE-mese'!CP67</f>
        <v>0</v>
      </c>
      <c r="CQ6" s="144">
        <f>+'CE-mese'!CQ67</f>
        <v>0</v>
      </c>
      <c r="CR6" s="144">
        <f>+'CE-mese'!CR67</f>
        <v>0</v>
      </c>
      <c r="CS6" s="144">
        <f>+'CE-mese'!CS67</f>
        <v>0</v>
      </c>
      <c r="CT6" s="144">
        <f>+'CE-mese'!CT67</f>
        <v>0</v>
      </c>
      <c r="CU6" s="144">
        <f>+'CE-mese'!CU67</f>
        <v>0</v>
      </c>
      <c r="CV6" s="144">
        <f>+'CE-mese'!CV67</f>
        <v>0</v>
      </c>
      <c r="CW6" s="144">
        <f>+'CE-mese'!CW67</f>
        <v>0</v>
      </c>
      <c r="CX6" s="144">
        <f>+'CE-mese'!CX67</f>
        <v>0</v>
      </c>
      <c r="CY6" s="144">
        <f>+'CE-mese'!CY67</f>
        <v>0</v>
      </c>
      <c r="CZ6" s="144">
        <f>+'CE-mese'!CZ67</f>
        <v>0</v>
      </c>
      <c r="DA6" s="144">
        <f>+'CE-mese'!DA67</f>
        <v>0</v>
      </c>
      <c r="DB6" s="144">
        <f>+'CE-mese'!DB67</f>
        <v>0</v>
      </c>
      <c r="DC6" s="144">
        <f>+'CE-mese'!DC67</f>
        <v>0</v>
      </c>
      <c r="DD6" s="144">
        <f>+'CE-mese'!DD67</f>
        <v>0</v>
      </c>
      <c r="DE6" s="144">
        <f>+'CE-mese'!DE67</f>
        <v>0</v>
      </c>
      <c r="DF6" s="144">
        <f>+'CE-mese'!DF67</f>
        <v>0</v>
      </c>
      <c r="DG6" s="144">
        <f>+'CE-mese'!DG67</f>
        <v>0</v>
      </c>
      <c r="DH6" s="144">
        <f>+'CE-mese'!DH67</f>
        <v>0</v>
      </c>
      <c r="DI6" s="144">
        <f>+'CE-mese'!DI67</f>
        <v>0</v>
      </c>
      <c r="DJ6" s="144">
        <f>+'CE-mese'!DJ67</f>
        <v>0</v>
      </c>
      <c r="DK6" s="144">
        <f>+'CE-mese'!DK67</f>
        <v>0</v>
      </c>
      <c r="DL6" s="144">
        <f>+'CE-mese'!DL67</f>
        <v>0</v>
      </c>
      <c r="DM6" s="144">
        <f>+'CE-mese'!DM67</f>
        <v>0</v>
      </c>
      <c r="DN6" s="144">
        <f>+'CE-mese'!DN67</f>
        <v>0</v>
      </c>
      <c r="DO6" s="144">
        <f>+'CE-mese'!DO67</f>
        <v>0</v>
      </c>
      <c r="DP6" s="144">
        <f>+'CE-mese'!DP67</f>
        <v>0</v>
      </c>
      <c r="DQ6" s="144">
        <f>+'CE-mese'!DQ67</f>
        <v>0</v>
      </c>
      <c r="DR6" s="144">
        <f>+'CE-mese'!DR67</f>
        <v>0</v>
      </c>
      <c r="DT6" s="144">
        <f>+SUMIF($C$1:$DR$1,DT$1,$C6:$DR6)</f>
        <v>0</v>
      </c>
      <c r="DU6" s="144">
        <f t="shared" si="0"/>
        <v>0</v>
      </c>
      <c r="DV6" s="144">
        <f t="shared" si="0"/>
        <v>0</v>
      </c>
      <c r="DW6" s="144">
        <f t="shared" si="0"/>
        <v>0</v>
      </c>
      <c r="DX6" s="144">
        <f t="shared" si="0"/>
        <v>0</v>
      </c>
      <c r="DY6" s="144">
        <f t="shared" si="0"/>
        <v>0</v>
      </c>
      <c r="DZ6" s="144">
        <f t="shared" si="0"/>
        <v>0</v>
      </c>
      <c r="EA6" s="144">
        <f t="shared" si="0"/>
        <v>0</v>
      </c>
      <c r="EB6" s="144">
        <f t="shared" si="0"/>
        <v>0</v>
      </c>
      <c r="EC6" s="144">
        <f t="shared" si="0"/>
        <v>0</v>
      </c>
    </row>
    <row r="7" ht="14.5">
      <c r="A7" t="s">
        <v>1235</v>
      </c>
      <c r="C7" s="144">
        <f>+'CE-mese'!C59</f>
        <v>0</v>
      </c>
      <c r="D7" s="144">
        <f>+'CE-mese'!D59</f>
        <v>0</v>
      </c>
      <c r="E7" s="144">
        <f>+'CE-mese'!E59</f>
        <v>0</v>
      </c>
      <c r="F7" s="144">
        <f>+'CE-mese'!F59</f>
        <v>0</v>
      </c>
      <c r="G7" s="144">
        <f>+'CE-mese'!G59</f>
        <v>0</v>
      </c>
      <c r="H7" s="144">
        <f>+'CE-mese'!H59</f>
        <v>0</v>
      </c>
      <c r="I7" s="144">
        <f>+'CE-mese'!I59</f>
        <v>0</v>
      </c>
      <c r="J7" s="144">
        <f>+'CE-mese'!J59</f>
        <v>0</v>
      </c>
      <c r="K7" s="144">
        <f>+'CE-mese'!K59</f>
        <v>0</v>
      </c>
      <c r="L7" s="144">
        <f>+'CE-mese'!L59</f>
        <v>0</v>
      </c>
      <c r="M7" s="144">
        <f>+'CE-mese'!M59</f>
        <v>0</v>
      </c>
      <c r="N7" s="144">
        <f>+'CE-mese'!N59</f>
        <v>0</v>
      </c>
      <c r="O7" s="144">
        <f>+'CE-mese'!O59</f>
        <v>0</v>
      </c>
      <c r="P7" s="144">
        <f>+'CE-mese'!P59</f>
        <v>0</v>
      </c>
      <c r="Q7" s="144">
        <f>+'CE-mese'!Q59</f>
        <v>0</v>
      </c>
      <c r="R7" s="144">
        <f>+'CE-mese'!R59</f>
        <v>0</v>
      </c>
      <c r="S7" s="144">
        <f>+'CE-mese'!S59</f>
        <v>0</v>
      </c>
      <c r="T7" s="144">
        <f>+'CE-mese'!T59</f>
        <v>0</v>
      </c>
      <c r="U7" s="144">
        <f>+'CE-mese'!U59</f>
        <v>0</v>
      </c>
      <c r="V7" s="144">
        <f>+'CE-mese'!V59</f>
        <v>0</v>
      </c>
      <c r="W7" s="144">
        <f>+'CE-mese'!W59</f>
        <v>0</v>
      </c>
      <c r="X7" s="144">
        <f>+'CE-mese'!X59</f>
        <v>0</v>
      </c>
      <c r="Y7" s="144">
        <f>+'CE-mese'!Y59</f>
        <v>0</v>
      </c>
      <c r="Z7" s="144">
        <f>+'CE-mese'!Z59</f>
        <v>0</v>
      </c>
      <c r="AA7" s="144">
        <f>+'CE-mese'!AA59</f>
        <v>0</v>
      </c>
      <c r="AB7" s="144">
        <f>+'CE-mese'!AB59</f>
        <v>0</v>
      </c>
      <c r="AC7" s="144">
        <f>+'CE-mese'!AC59</f>
        <v>0</v>
      </c>
      <c r="AD7" s="144">
        <f>+'CE-mese'!AD59</f>
        <v>0</v>
      </c>
      <c r="AE7" s="144">
        <f>+'CE-mese'!AE59</f>
        <v>0</v>
      </c>
      <c r="AF7" s="144">
        <f>+'CE-mese'!AF59</f>
        <v>0</v>
      </c>
      <c r="AG7" s="144">
        <f>+'CE-mese'!AG59</f>
        <v>0</v>
      </c>
      <c r="AH7" s="144">
        <f>+'CE-mese'!AH59</f>
        <v>0</v>
      </c>
      <c r="AI7" s="144">
        <f>+'CE-mese'!AI59</f>
        <v>0</v>
      </c>
      <c r="AJ7" s="144">
        <f>+'CE-mese'!AJ59</f>
        <v>0</v>
      </c>
      <c r="AK7" s="144">
        <f>+'CE-mese'!AK59</f>
        <v>0</v>
      </c>
      <c r="AL7" s="144">
        <f>+'CE-mese'!AL59</f>
        <v>0</v>
      </c>
      <c r="AM7" s="144">
        <f>+'CE-mese'!AM59</f>
        <v>0</v>
      </c>
      <c r="AN7" s="144">
        <f>+'CE-mese'!AN59</f>
        <v>0</v>
      </c>
      <c r="AO7" s="144">
        <f>+'CE-mese'!AO59</f>
        <v>0</v>
      </c>
      <c r="AP7" s="144">
        <f>+'CE-mese'!AP59</f>
        <v>0</v>
      </c>
      <c r="AQ7" s="144">
        <f>+'CE-mese'!AQ59</f>
        <v>0</v>
      </c>
      <c r="AR7" s="144">
        <f>+'CE-mese'!AR59</f>
        <v>0</v>
      </c>
      <c r="AS7" s="144">
        <f>+'CE-mese'!AS59</f>
        <v>0</v>
      </c>
      <c r="AT7" s="144">
        <f>+'CE-mese'!AT59</f>
        <v>0</v>
      </c>
      <c r="AU7" s="144">
        <f>+'CE-mese'!AU59</f>
        <v>0</v>
      </c>
      <c r="AV7" s="144">
        <f>+'CE-mese'!AV59</f>
        <v>0</v>
      </c>
      <c r="AW7" s="144">
        <f>+'CE-mese'!AW59</f>
        <v>0</v>
      </c>
      <c r="AX7" s="144">
        <f>+'CE-mese'!AX59</f>
        <v>0</v>
      </c>
      <c r="AY7" s="144">
        <f>+'CE-mese'!AY59</f>
        <v>0</v>
      </c>
      <c r="AZ7" s="144">
        <f>+'CE-mese'!AZ59</f>
        <v>0</v>
      </c>
      <c r="BA7" s="144">
        <f>+'CE-mese'!BA59</f>
        <v>0</v>
      </c>
      <c r="BB7" s="144">
        <f>+'CE-mese'!BB59</f>
        <v>0</v>
      </c>
      <c r="BC7" s="144">
        <f>+'CE-mese'!BC59</f>
        <v>0</v>
      </c>
      <c r="BD7" s="144">
        <f>+'CE-mese'!BD59</f>
        <v>0</v>
      </c>
      <c r="BE7" s="144">
        <f>+'CE-mese'!BE59</f>
        <v>0</v>
      </c>
      <c r="BF7" s="144">
        <f>+'CE-mese'!BF59</f>
        <v>0</v>
      </c>
      <c r="BG7" s="144">
        <f>+'CE-mese'!BG59</f>
        <v>0</v>
      </c>
      <c r="BH7" s="144">
        <f>+'CE-mese'!BH59</f>
        <v>0</v>
      </c>
      <c r="BI7" s="144">
        <f>+'CE-mese'!BI59</f>
        <v>0</v>
      </c>
      <c r="BJ7" s="144">
        <f>+'CE-mese'!BJ59</f>
        <v>0</v>
      </c>
      <c r="BK7" s="144">
        <f>+'CE-mese'!BK59</f>
        <v>0</v>
      </c>
      <c r="BL7" s="144">
        <f>+'CE-mese'!BL59</f>
        <v>0</v>
      </c>
      <c r="BM7" s="144">
        <f>+'CE-mese'!BM59</f>
        <v>0</v>
      </c>
      <c r="BN7" s="144">
        <f>+'CE-mese'!BN59</f>
        <v>0</v>
      </c>
      <c r="BO7" s="144">
        <f>+'CE-mese'!BO59</f>
        <v>0</v>
      </c>
      <c r="BP7" s="144">
        <f>+'CE-mese'!BP59</f>
        <v>0</v>
      </c>
      <c r="BQ7" s="144">
        <f>+'CE-mese'!BQ59</f>
        <v>0</v>
      </c>
      <c r="BR7" s="144">
        <f>+'CE-mese'!BR59</f>
        <v>0</v>
      </c>
      <c r="BS7" s="144">
        <f>+'CE-mese'!BS59</f>
        <v>0</v>
      </c>
      <c r="BT7" s="144">
        <f>+'CE-mese'!BT59</f>
        <v>0</v>
      </c>
      <c r="BU7" s="144">
        <f>+'CE-mese'!BU59</f>
        <v>0</v>
      </c>
      <c r="BV7" s="144">
        <f>+'CE-mese'!BV59</f>
        <v>0</v>
      </c>
      <c r="BW7" s="144">
        <f>+'CE-mese'!BW59</f>
        <v>0</v>
      </c>
      <c r="BX7" s="144">
        <f>+'CE-mese'!BX59</f>
        <v>0</v>
      </c>
      <c r="BY7" s="144">
        <f>+'CE-mese'!BY59</f>
        <v>0</v>
      </c>
      <c r="BZ7" s="144">
        <f>+'CE-mese'!BZ59</f>
        <v>0</v>
      </c>
      <c r="CA7" s="144">
        <f>+'CE-mese'!CA59</f>
        <v>0</v>
      </c>
      <c r="CB7" s="144">
        <f>+'CE-mese'!CB59</f>
        <v>0</v>
      </c>
      <c r="CC7" s="144">
        <f>+'CE-mese'!CC59</f>
        <v>0</v>
      </c>
      <c r="CD7" s="144">
        <f>+'CE-mese'!CD59</f>
        <v>0</v>
      </c>
      <c r="CE7" s="144">
        <f>+'CE-mese'!CE59</f>
        <v>0</v>
      </c>
      <c r="CF7" s="144">
        <f>+'CE-mese'!CF59</f>
        <v>0</v>
      </c>
      <c r="CG7" s="144">
        <f>+'CE-mese'!CG59</f>
        <v>0</v>
      </c>
      <c r="CH7" s="144">
        <f>+'CE-mese'!CH59</f>
        <v>0</v>
      </c>
      <c r="CI7" s="144">
        <f>+'CE-mese'!CI59</f>
        <v>0</v>
      </c>
      <c r="CJ7" s="144">
        <f>+'CE-mese'!CJ59</f>
        <v>0</v>
      </c>
      <c r="CK7" s="144">
        <f>+'CE-mese'!CK59</f>
        <v>0</v>
      </c>
      <c r="CL7" s="144">
        <f>+'CE-mese'!CL59</f>
        <v>0</v>
      </c>
      <c r="CM7" s="144">
        <f>+'CE-mese'!CM59</f>
        <v>0</v>
      </c>
      <c r="CN7" s="144">
        <f>+'CE-mese'!CN59</f>
        <v>0</v>
      </c>
      <c r="CO7" s="144">
        <f>+'CE-mese'!CO59</f>
        <v>0</v>
      </c>
      <c r="CP7" s="144">
        <f>+'CE-mese'!CP59</f>
        <v>0</v>
      </c>
      <c r="CQ7" s="144">
        <f>+'CE-mese'!CQ59</f>
        <v>0</v>
      </c>
      <c r="CR7" s="144">
        <f>+'CE-mese'!CR59</f>
        <v>0</v>
      </c>
      <c r="CS7" s="144">
        <f>+'CE-mese'!CS59</f>
        <v>0</v>
      </c>
      <c r="CT7" s="144">
        <f>+'CE-mese'!CT59</f>
        <v>0</v>
      </c>
      <c r="CU7" s="144">
        <f>+'CE-mese'!CU59</f>
        <v>0</v>
      </c>
      <c r="CV7" s="144">
        <f>+'CE-mese'!CV59</f>
        <v>0</v>
      </c>
      <c r="CW7" s="144">
        <f>+'CE-mese'!CW59</f>
        <v>0</v>
      </c>
      <c r="CX7" s="144">
        <f>+'CE-mese'!CX59</f>
        <v>0</v>
      </c>
      <c r="CY7" s="144">
        <f>+'CE-mese'!CY59</f>
        <v>0</v>
      </c>
      <c r="CZ7" s="144">
        <f>+'CE-mese'!CZ59</f>
        <v>0</v>
      </c>
      <c r="DA7" s="144">
        <f>+'CE-mese'!DA59</f>
        <v>0</v>
      </c>
      <c r="DB7" s="144">
        <f>+'CE-mese'!DB59</f>
        <v>0</v>
      </c>
      <c r="DC7" s="144">
        <f>+'CE-mese'!DC59</f>
        <v>0</v>
      </c>
      <c r="DD7" s="144">
        <f>+'CE-mese'!DD59</f>
        <v>0</v>
      </c>
      <c r="DE7" s="144">
        <f>+'CE-mese'!DE59</f>
        <v>0</v>
      </c>
      <c r="DF7" s="144">
        <f>+'CE-mese'!DF59</f>
        <v>0</v>
      </c>
      <c r="DG7" s="144">
        <f>+'CE-mese'!DG59</f>
        <v>0</v>
      </c>
      <c r="DH7" s="144">
        <f>+'CE-mese'!DH59</f>
        <v>0</v>
      </c>
      <c r="DI7" s="144">
        <f>+'CE-mese'!DI59</f>
        <v>0</v>
      </c>
      <c r="DJ7" s="144">
        <f>+'CE-mese'!DJ59</f>
        <v>0</v>
      </c>
      <c r="DK7" s="144">
        <f>+'CE-mese'!DK59</f>
        <v>0</v>
      </c>
      <c r="DL7" s="144">
        <f>+'CE-mese'!DL59</f>
        <v>0</v>
      </c>
      <c r="DM7" s="144">
        <f>+'CE-mese'!DM59</f>
        <v>0</v>
      </c>
      <c r="DN7" s="144">
        <f>+'CE-mese'!DN59</f>
        <v>0</v>
      </c>
      <c r="DO7" s="144">
        <f>+'CE-mese'!DO59</f>
        <v>0</v>
      </c>
      <c r="DP7" s="144">
        <f>+'CE-mese'!DP59</f>
        <v>0</v>
      </c>
      <c r="DQ7" s="144">
        <f>+'CE-mese'!DQ59</f>
        <v>0</v>
      </c>
      <c r="DR7" s="144">
        <f>+'CE-mese'!DR59</f>
        <v>0</v>
      </c>
      <c r="DT7" s="144">
        <f>+SUMIF($C$1:$DR$1,DT$1,$C7:$DR7)</f>
        <v>0</v>
      </c>
      <c r="DU7" s="144">
        <f t="shared" si="0"/>
        <v>0</v>
      </c>
      <c r="DV7" s="144">
        <f t="shared" si="0"/>
        <v>0</v>
      </c>
      <c r="DW7" s="144">
        <f t="shared" si="0"/>
        <v>0</v>
      </c>
      <c r="DX7" s="144">
        <f t="shared" si="0"/>
        <v>0</v>
      </c>
      <c r="DY7" s="144">
        <f t="shared" si="0"/>
        <v>0</v>
      </c>
      <c r="DZ7" s="144">
        <f t="shared" si="0"/>
        <v>0</v>
      </c>
      <c r="EA7" s="144">
        <f t="shared" si="0"/>
        <v>0</v>
      </c>
      <c r="EB7" s="144">
        <f t="shared" si="0"/>
        <v>0</v>
      </c>
      <c r="EC7" s="144">
        <f t="shared" si="0"/>
        <v>0</v>
      </c>
    </row>
    <row r="8" thickBot="1"/>
    <row r="9" thickTop="1" thickBot="1" ht="15.5">
      <c r="A9" s="301" t="s">
        <v>1236</v>
      </c>
      <c r="B9" s="301"/>
      <c r="C9" s="301">
        <f>+SUM(C5:C8)</f>
        <v>0</v>
      </c>
      <c r="D9" s="301">
        <f>+SUM(D5:D8)</f>
        <v>0</v>
      </c>
      <c r="E9" s="301">
        <f t="shared" ref="E9:I9" si="1">+SUM(E5:E8)</f>
        <v>0</v>
      </c>
      <c r="F9" s="301">
        <f t="shared" si="1"/>
        <v>0</v>
      </c>
      <c r="G9" s="301">
        <f t="shared" si="1"/>
        <v>0</v>
      </c>
      <c r="H9" s="301">
        <f t="shared" si="1"/>
        <v>0</v>
      </c>
      <c r="I9" s="301">
        <f t="shared" si="1"/>
        <v>0</v>
      </c>
      <c r="J9" s="301">
        <f t="shared" ref="J9" si="2">+SUM(J5:J8)</f>
        <v>0</v>
      </c>
      <c r="K9" s="301">
        <f t="shared" ref="K9" si="3">+SUM(K5:K8)</f>
        <v>0</v>
      </c>
      <c r="L9" s="301">
        <f t="shared" ref="L9" si="4">+SUM(L5:L8)</f>
        <v>0</v>
      </c>
      <c r="M9" s="301">
        <f t="shared" ref="M9" si="5">+SUM(M5:M8)</f>
        <v>0</v>
      </c>
      <c r="N9" s="301">
        <f t="shared" ref="N9" si="6">+SUM(N5:N8)</f>
        <v>0</v>
      </c>
      <c r="O9" s="301">
        <f t="shared" ref="O9" si="7">+SUM(O5:O8)</f>
        <v>0</v>
      </c>
      <c r="P9" s="301">
        <f t="shared" ref="P9" si="8">+SUM(P5:P8)</f>
        <v>0</v>
      </c>
      <c r="Q9" s="301">
        <f t="shared" ref="Q9" si="9">+SUM(Q5:Q8)</f>
        <v>0</v>
      </c>
      <c r="R9" s="301">
        <f t="shared" ref="R9" si="10">+SUM(R5:R8)</f>
        <v>0</v>
      </c>
      <c r="S9" s="301">
        <f t="shared" ref="S9" si="11">+SUM(S5:S8)</f>
        <v>0</v>
      </c>
      <c r="T9" s="301">
        <f t="shared" ref="T9" si="12">+SUM(T5:T8)</f>
        <v>0</v>
      </c>
      <c r="U9" s="301">
        <f t="shared" ref="U9" si="13">+SUM(U5:U8)</f>
        <v>0</v>
      </c>
      <c r="V9" s="301">
        <f t="shared" ref="V9" si="14">+SUM(V5:V8)</f>
        <v>0</v>
      </c>
      <c r="W9" s="301">
        <f t="shared" ref="W9" si="15">+SUM(W5:W8)</f>
        <v>0</v>
      </c>
      <c r="X9" s="301">
        <f t="shared" ref="X9" si="16">+SUM(X5:X8)</f>
        <v>0</v>
      </c>
      <c r="Y9" s="301">
        <f t="shared" ref="Y9" si="17">+SUM(Y5:Y8)</f>
        <v>0</v>
      </c>
      <c r="Z9" s="301">
        <f t="shared" ref="Z9" si="18">+SUM(Z5:Z8)</f>
        <v>0</v>
      </c>
      <c r="AA9" s="301">
        <f t="shared" ref="AA9" si="19">+SUM(AA5:AA8)</f>
        <v>0</v>
      </c>
      <c r="AB9" s="301">
        <f t="shared" ref="AB9" si="20">+SUM(AB5:AB8)</f>
        <v>0</v>
      </c>
      <c r="AC9" s="301">
        <f t="shared" ref="AC9" si="21">+SUM(AC5:AC8)</f>
        <v>0</v>
      </c>
      <c r="AD9" s="301">
        <f t="shared" ref="AD9" si="22">+SUM(AD5:AD8)</f>
        <v>0</v>
      </c>
      <c r="AE9" s="301">
        <f t="shared" ref="AE9" si="23">+SUM(AE5:AE8)</f>
        <v>0</v>
      </c>
      <c r="AF9" s="301">
        <f t="shared" ref="AF9" si="24">+SUM(AF5:AF8)</f>
        <v>0</v>
      </c>
      <c r="AG9" s="301">
        <f t="shared" ref="AG9" si="25">+SUM(AG5:AG8)</f>
        <v>0</v>
      </c>
      <c r="AH9" s="301">
        <f t="shared" ref="AH9" si="26">+SUM(AH5:AH8)</f>
        <v>0</v>
      </c>
      <c r="AI9" s="301">
        <f t="shared" ref="AI9" si="27">+SUM(AI5:AI8)</f>
        <v>0</v>
      </c>
      <c r="AJ9" s="301">
        <f t="shared" ref="AJ9" si="28">+SUM(AJ5:AJ8)</f>
        <v>0</v>
      </c>
      <c r="AK9" s="301">
        <f t="shared" ref="AK9" si="29">+SUM(AK5:AK8)</f>
        <v>0</v>
      </c>
      <c r="AL9" s="301">
        <f t="shared" ref="AL9" si="30">+SUM(AL5:AL8)</f>
        <v>0</v>
      </c>
      <c r="AM9" s="301">
        <f t="shared" ref="AM9" si="31">+SUM(AM5:AM8)</f>
        <v>0</v>
      </c>
      <c r="AN9" s="301">
        <f t="shared" ref="AN9" si="32">+SUM(AN5:AN8)</f>
        <v>0</v>
      </c>
      <c r="AO9" s="301">
        <f t="shared" ref="AO9" si="33">+SUM(AO5:AO8)</f>
        <v>0</v>
      </c>
      <c r="AP9" s="301">
        <f t="shared" ref="AP9" si="34">+SUM(AP5:AP8)</f>
        <v>0</v>
      </c>
      <c r="AQ9" s="301">
        <f t="shared" ref="AQ9" si="35">+SUM(AQ5:AQ8)</f>
        <v>0</v>
      </c>
      <c r="AR9" s="301">
        <f t="shared" ref="AR9" si="36">+SUM(AR5:AR8)</f>
        <v>0</v>
      </c>
      <c r="AS9" s="301">
        <f t="shared" ref="AS9" si="37">+SUM(AS5:AS8)</f>
        <v>0</v>
      </c>
      <c r="AT9" s="301">
        <f t="shared" ref="AT9" si="38">+SUM(AT5:AT8)</f>
        <v>0</v>
      </c>
      <c r="AU9" s="301">
        <f t="shared" ref="AU9" si="39">+SUM(AU5:AU8)</f>
        <v>0</v>
      </c>
      <c r="AV9" s="301">
        <f t="shared" ref="AV9" si="40">+SUM(AV5:AV8)</f>
        <v>0</v>
      </c>
      <c r="AW9" s="301">
        <f t="shared" ref="AW9" si="41">+SUM(AW5:AW8)</f>
        <v>0</v>
      </c>
      <c r="AX9" s="301">
        <f t="shared" ref="AX9" si="42">+SUM(AX5:AX8)</f>
        <v>0</v>
      </c>
      <c r="AY9" s="301">
        <f t="shared" ref="AY9" si="43">+SUM(AY5:AY8)</f>
        <v>0</v>
      </c>
      <c r="AZ9" s="301">
        <f t="shared" ref="AZ9" si="44">+SUM(AZ5:AZ8)</f>
        <v>0</v>
      </c>
      <c r="BA9" s="301">
        <f t="shared" ref="BA9" si="45">+SUM(BA5:BA8)</f>
        <v>0</v>
      </c>
      <c r="BB9" s="301">
        <f t="shared" ref="BB9" si="46">+SUM(BB5:BB8)</f>
        <v>0</v>
      </c>
      <c r="BC9" s="301">
        <f t="shared" ref="BC9" si="47">+SUM(BC5:BC8)</f>
        <v>0</v>
      </c>
      <c r="BD9" s="301">
        <f t="shared" ref="BD9" si="48">+SUM(BD5:BD8)</f>
        <v>0</v>
      </c>
      <c r="BE9" s="301">
        <f t="shared" ref="BE9" si="49">+SUM(BE5:BE8)</f>
        <v>0</v>
      </c>
      <c r="BF9" s="301">
        <f t="shared" ref="BF9" si="50">+SUM(BF5:BF8)</f>
        <v>0</v>
      </c>
      <c r="BG9" s="301">
        <f t="shared" ref="BG9" si="51">+SUM(BG5:BG8)</f>
        <v>0</v>
      </c>
      <c r="BH9" s="301">
        <f t="shared" ref="BH9" si="52">+SUM(BH5:BH8)</f>
        <v>0</v>
      </c>
      <c r="BI9" s="301">
        <f t="shared" ref="BI9" si="53">+SUM(BI5:BI8)</f>
        <v>0</v>
      </c>
      <c r="BJ9" s="301">
        <f t="shared" ref="BJ9" si="54">+SUM(BJ5:BJ8)</f>
        <v>0</v>
      </c>
      <c r="BK9" s="301">
        <f t="shared" ref="BK9" si="55">+SUM(BK5:BK8)</f>
        <v>0</v>
      </c>
      <c r="BL9" s="301">
        <f t="shared" ref="BL9" si="56">+SUM(BL5:BL8)</f>
        <v>0</v>
      </c>
      <c r="BM9" s="301">
        <f t="shared" ref="BM9" si="57">+SUM(BM5:BM8)</f>
        <v>0</v>
      </c>
      <c r="BN9" s="301">
        <f t="shared" ref="BN9" si="58">+SUM(BN5:BN8)</f>
        <v>0</v>
      </c>
      <c r="BO9" s="301">
        <f t="shared" ref="BO9" si="59">+SUM(BO5:BO8)</f>
        <v>0</v>
      </c>
      <c r="BP9" s="301">
        <f t="shared" ref="BP9" si="60">+SUM(BP5:BP8)</f>
        <v>0</v>
      </c>
      <c r="BQ9" s="301">
        <f t="shared" ref="BQ9" si="61">+SUM(BQ5:BQ8)</f>
        <v>0</v>
      </c>
      <c r="BR9" s="301">
        <f t="shared" ref="BR9" si="62">+SUM(BR5:BR8)</f>
        <v>0</v>
      </c>
      <c r="BS9" s="301">
        <f t="shared" ref="BS9" si="63">+SUM(BS5:BS8)</f>
        <v>0</v>
      </c>
      <c r="BT9" s="301">
        <f t="shared" ref="BT9" si="64">+SUM(BT5:BT8)</f>
        <v>0</v>
      </c>
      <c r="BU9" s="301">
        <f t="shared" ref="BU9" si="65">+SUM(BU5:BU8)</f>
        <v>0</v>
      </c>
      <c r="BV9" s="301">
        <f t="shared" ref="BV9" si="66">+SUM(BV5:BV8)</f>
        <v>0</v>
      </c>
      <c r="BW9" s="301">
        <f t="shared" ref="BW9" si="67">+SUM(BW5:BW8)</f>
        <v>0</v>
      </c>
      <c r="BX9" s="301">
        <f t="shared" ref="BX9" si="68">+SUM(BX5:BX8)</f>
        <v>0</v>
      </c>
      <c r="BY9" s="301">
        <f t="shared" ref="BY9" si="69">+SUM(BY5:BY8)</f>
        <v>0</v>
      </c>
      <c r="BZ9" s="301">
        <f t="shared" ref="BZ9" si="70">+SUM(BZ5:BZ8)</f>
        <v>0</v>
      </c>
      <c r="CA9" s="301">
        <f t="shared" ref="CA9" si="71">+SUM(CA5:CA8)</f>
        <v>0</v>
      </c>
      <c r="CB9" s="301">
        <f t="shared" ref="CB9" si="72">+SUM(CB5:CB8)</f>
        <v>0</v>
      </c>
      <c r="CC9" s="301">
        <f t="shared" ref="CC9" si="73">+SUM(CC5:CC8)</f>
        <v>0</v>
      </c>
      <c r="CD9" s="301">
        <f t="shared" ref="CD9" si="74">+SUM(CD5:CD8)</f>
        <v>0</v>
      </c>
      <c r="CE9" s="301">
        <f t="shared" ref="CE9" si="75">+SUM(CE5:CE8)</f>
        <v>0</v>
      </c>
      <c r="CF9" s="301">
        <f t="shared" ref="CF9" si="76">+SUM(CF5:CF8)</f>
        <v>0</v>
      </c>
      <c r="CG9" s="301">
        <f t="shared" ref="CG9" si="77">+SUM(CG5:CG8)</f>
        <v>0</v>
      </c>
      <c r="CH9" s="301">
        <f t="shared" ref="CH9" si="78">+SUM(CH5:CH8)</f>
        <v>0</v>
      </c>
      <c r="CI9" s="301">
        <f t="shared" ref="CI9" si="79">+SUM(CI5:CI8)</f>
        <v>0</v>
      </c>
      <c r="CJ9" s="301">
        <f t="shared" ref="CJ9" si="80">+SUM(CJ5:CJ8)</f>
        <v>0</v>
      </c>
      <c r="CK9" s="301">
        <f t="shared" ref="CK9" si="81">+SUM(CK5:CK8)</f>
        <v>0</v>
      </c>
      <c r="CL9" s="301">
        <f t="shared" ref="CL9" si="82">+SUM(CL5:CL8)</f>
        <v>0</v>
      </c>
      <c r="CM9" s="301">
        <f t="shared" ref="CM9" si="83">+SUM(CM5:CM8)</f>
        <v>0</v>
      </c>
      <c r="CN9" s="301">
        <f t="shared" ref="CN9" si="84">+SUM(CN5:CN8)</f>
        <v>0</v>
      </c>
      <c r="CO9" s="301">
        <f t="shared" ref="CO9" si="85">+SUM(CO5:CO8)</f>
        <v>0</v>
      </c>
      <c r="CP9" s="301">
        <f t="shared" ref="CP9" si="86">+SUM(CP5:CP8)</f>
        <v>0</v>
      </c>
      <c r="CQ9" s="301">
        <f t="shared" ref="CQ9" si="87">+SUM(CQ5:CQ8)</f>
        <v>0</v>
      </c>
      <c r="CR9" s="301">
        <f t="shared" ref="CR9" si="88">+SUM(CR5:CR8)</f>
        <v>0</v>
      </c>
      <c r="CS9" s="301">
        <f t="shared" ref="CS9" si="89">+SUM(CS5:CS8)</f>
        <v>0</v>
      </c>
      <c r="CT9" s="301">
        <f t="shared" ref="CT9" si="90">+SUM(CT5:CT8)</f>
        <v>0</v>
      </c>
      <c r="CU9" s="301">
        <f t="shared" ref="CU9" si="91">+SUM(CU5:CU8)</f>
        <v>0</v>
      </c>
      <c r="CV9" s="301">
        <f t="shared" ref="CV9" si="92">+SUM(CV5:CV8)</f>
        <v>0</v>
      </c>
      <c r="CW9" s="301">
        <f t="shared" ref="CW9" si="93">+SUM(CW5:CW8)</f>
        <v>0</v>
      </c>
      <c r="CX9" s="301">
        <f t="shared" ref="CX9" si="94">+SUM(CX5:CX8)</f>
        <v>0</v>
      </c>
      <c r="CY9" s="301">
        <f t="shared" ref="CY9" si="95">+SUM(CY5:CY8)</f>
        <v>0</v>
      </c>
      <c r="CZ9" s="301">
        <f t="shared" ref="CZ9" si="96">+SUM(CZ5:CZ8)</f>
        <v>0</v>
      </c>
      <c r="DA9" s="301">
        <f t="shared" ref="DA9" si="97">+SUM(DA5:DA8)</f>
        <v>0</v>
      </c>
      <c r="DB9" s="301">
        <f t="shared" ref="DB9" si="98">+SUM(DB5:DB8)</f>
        <v>0</v>
      </c>
      <c r="DC9" s="301">
        <f t="shared" ref="DC9" si="99">+SUM(DC5:DC8)</f>
        <v>0</v>
      </c>
      <c r="DD9" s="301">
        <f t="shared" ref="DD9" si="100">+SUM(DD5:DD8)</f>
        <v>0</v>
      </c>
      <c r="DE9" s="301">
        <f t="shared" ref="DE9" si="101">+SUM(DE5:DE8)</f>
        <v>0</v>
      </c>
      <c r="DF9" s="301">
        <f t="shared" ref="DF9" si="102">+SUM(DF5:DF8)</f>
        <v>0</v>
      </c>
      <c r="DG9" s="301">
        <f t="shared" ref="DG9" si="103">+SUM(DG5:DG8)</f>
        <v>0</v>
      </c>
      <c r="DH9" s="301">
        <f t="shared" ref="DH9" si="104">+SUM(DH5:DH8)</f>
        <v>0</v>
      </c>
      <c r="DI9" s="301">
        <f t="shared" ref="DI9" si="105">+SUM(DI5:DI8)</f>
        <v>0</v>
      </c>
      <c r="DJ9" s="301">
        <f t="shared" ref="DJ9" si="106">+SUM(DJ5:DJ8)</f>
        <v>0</v>
      </c>
      <c r="DK9" s="301">
        <f t="shared" ref="DK9" si="107">+SUM(DK5:DK8)</f>
        <v>0</v>
      </c>
      <c r="DL9" s="301">
        <f t="shared" ref="DL9" si="108">+SUM(DL5:DL8)</f>
        <v>0</v>
      </c>
      <c r="DM9" s="301">
        <f t="shared" ref="DM9" si="109">+SUM(DM5:DM8)</f>
        <v>0</v>
      </c>
      <c r="DN9" s="301">
        <f t="shared" ref="DN9" si="110">+SUM(DN5:DN8)</f>
        <v>0</v>
      </c>
      <c r="DO9" s="301">
        <f t="shared" ref="DO9" si="111">+SUM(DO5:DO8)</f>
        <v>0</v>
      </c>
      <c r="DP9" s="301">
        <f t="shared" ref="DP9" si="112">+SUM(DP5:DP8)</f>
        <v>0</v>
      </c>
      <c r="DQ9" s="301">
        <f t="shared" ref="DQ9" si="113">+SUM(DQ5:DQ8)</f>
        <v>0</v>
      </c>
      <c r="DR9" s="301">
        <f t="shared" ref="DR9:EC9" si="114">+SUM(DR5:DR8)</f>
        <v>0</v>
      </c>
      <c r="DT9" s="301">
        <f t="shared" si="114"/>
        <v>0</v>
      </c>
      <c r="DU9" s="301">
        <f t="shared" si="114"/>
        <v>0</v>
      </c>
      <c r="DV9" s="301">
        <f t="shared" si="114"/>
        <v>0</v>
      </c>
      <c r="DW9" s="301">
        <f t="shared" si="114"/>
        <v>0</v>
      </c>
      <c r="DX9" s="301">
        <f t="shared" si="114"/>
        <v>0</v>
      </c>
      <c r="DY9" s="301">
        <f t="shared" si="114"/>
        <v>0</v>
      </c>
      <c r="DZ9" s="301">
        <f t="shared" si="114"/>
        <v>0</v>
      </c>
      <c r="EA9" s="301">
        <f t="shared" si="114"/>
        <v>0</v>
      </c>
      <c r="EB9" s="301">
        <f t="shared" si="114"/>
        <v>0</v>
      </c>
      <c r="EC9" s="301">
        <f t="shared" si="114"/>
        <v>0</v>
      </c>
    </row>
    <row r="10" thickTop="1" ht="31.5">
      <c r="A10" s="308" t="s">
        <v>1237</v>
      </c>
    </row>
    <row r="11" ht="14.5">
      <c r="A11" t="s">
        <v>1238</v>
      </c>
      <c r="C11" s="144">
        <f>+'CE-mese'!C49</f>
        <v>0</v>
      </c>
      <c r="D11" s="144">
        <f>+'CE-mese'!D49</f>
        <v>0</v>
      </c>
      <c r="E11" s="144">
        <f>+'CE-mese'!E49</f>
        <v>0</v>
      </c>
      <c r="F11" s="144">
        <f>+'CE-mese'!F49</f>
        <v>0</v>
      </c>
      <c r="G11" s="144">
        <f>+'CE-mese'!G49</f>
        <v>0</v>
      </c>
      <c r="H11" s="144">
        <f>+'CE-mese'!H49</f>
        <v>0</v>
      </c>
      <c r="I11" s="144">
        <f>+'CE-mese'!I49</f>
        <v>0</v>
      </c>
      <c r="J11" s="144">
        <f>+'CE-mese'!J49</f>
        <v>0</v>
      </c>
      <c r="K11" s="144">
        <f>+'CE-mese'!K49</f>
        <v>0</v>
      </c>
      <c r="L11" s="144">
        <f>+'CE-mese'!L49</f>
        <v>0</v>
      </c>
      <c r="M11" s="144">
        <f>+'CE-mese'!M49</f>
        <v>0</v>
      </c>
      <c r="N11" s="144">
        <f>+'CE-mese'!N49</f>
        <v>0</v>
      </c>
      <c r="O11" s="144">
        <f>+'CE-mese'!O49</f>
        <v>0</v>
      </c>
      <c r="P11" s="144">
        <f>+'CE-mese'!P49</f>
        <v>0</v>
      </c>
      <c r="Q11" s="144">
        <f>+'CE-mese'!Q49</f>
        <v>0</v>
      </c>
      <c r="R11" s="144">
        <f>+'CE-mese'!R49</f>
        <v>0</v>
      </c>
      <c r="S11" s="144">
        <f>+'CE-mese'!S49</f>
        <v>0</v>
      </c>
      <c r="T11" s="144">
        <f>+'CE-mese'!T49</f>
        <v>0</v>
      </c>
      <c r="U11" s="144">
        <f>+'CE-mese'!U49</f>
        <v>0</v>
      </c>
      <c r="V11" s="144">
        <f>+'CE-mese'!V49</f>
        <v>0</v>
      </c>
      <c r="W11" s="144">
        <f>+'CE-mese'!W49</f>
        <v>0</v>
      </c>
      <c r="X11" s="144">
        <f>+'CE-mese'!X49</f>
        <v>0</v>
      </c>
      <c r="Y11" s="144">
        <f>+'CE-mese'!Y49</f>
        <v>0</v>
      </c>
      <c r="Z11" s="144">
        <f>+'CE-mese'!Z49</f>
        <v>0</v>
      </c>
      <c r="AA11" s="144">
        <f>+'CE-mese'!AA49</f>
        <v>0</v>
      </c>
      <c r="AB11" s="144">
        <f>+'CE-mese'!AB49</f>
        <v>0</v>
      </c>
      <c r="AC11" s="144">
        <f>+'CE-mese'!AC49</f>
        <v>0</v>
      </c>
      <c r="AD11" s="144">
        <f>+'CE-mese'!AD49</f>
        <v>0</v>
      </c>
      <c r="AE11" s="144">
        <f>+'CE-mese'!AE49</f>
        <v>0</v>
      </c>
      <c r="AF11" s="144">
        <f>+'CE-mese'!AF49</f>
        <v>0</v>
      </c>
      <c r="AG11" s="144">
        <f>+'CE-mese'!AG49</f>
        <v>0</v>
      </c>
      <c r="AH11" s="144">
        <f>+'CE-mese'!AH49</f>
        <v>0</v>
      </c>
      <c r="AI11" s="144">
        <f>+'CE-mese'!AI49</f>
        <v>0</v>
      </c>
      <c r="AJ11" s="144">
        <f>+'CE-mese'!AJ49</f>
        <v>0</v>
      </c>
      <c r="AK11" s="144">
        <f>+'CE-mese'!AK49</f>
        <v>0</v>
      </c>
      <c r="AL11" s="144">
        <f>+'CE-mese'!AL49</f>
        <v>0</v>
      </c>
      <c r="AM11" s="144">
        <f>+'CE-mese'!AM49</f>
        <v>0</v>
      </c>
      <c r="AN11" s="144">
        <f>+'CE-mese'!AN49</f>
        <v>0</v>
      </c>
      <c r="AO11" s="144">
        <f>+'CE-mese'!AO49</f>
        <v>0</v>
      </c>
      <c r="AP11" s="144">
        <f>+'CE-mese'!AP49</f>
        <v>0</v>
      </c>
      <c r="AQ11" s="144">
        <f>+'CE-mese'!AQ49</f>
        <v>0</v>
      </c>
      <c r="AR11" s="144">
        <f>+'CE-mese'!AR49</f>
        <v>0</v>
      </c>
      <c r="AS11" s="144">
        <f>+'CE-mese'!AS49</f>
        <v>0</v>
      </c>
      <c r="AT11" s="144">
        <f>+'CE-mese'!AT49</f>
        <v>0</v>
      </c>
      <c r="AU11" s="144">
        <f>+'CE-mese'!AU49</f>
        <v>0</v>
      </c>
      <c r="AV11" s="144">
        <f>+'CE-mese'!AV49</f>
        <v>0</v>
      </c>
      <c r="AW11" s="144">
        <f>+'CE-mese'!AW49</f>
        <v>0</v>
      </c>
      <c r="AX11" s="144">
        <f>+'CE-mese'!AX49</f>
        <v>0</v>
      </c>
      <c r="AY11" s="144">
        <f>+'CE-mese'!AY49</f>
        <v>0</v>
      </c>
      <c r="AZ11" s="144">
        <f>+'CE-mese'!AZ49</f>
        <v>0</v>
      </c>
      <c r="BA11" s="144">
        <f>+'CE-mese'!BA49</f>
        <v>0</v>
      </c>
      <c r="BB11" s="144">
        <f>+'CE-mese'!BB49</f>
        <v>0</v>
      </c>
      <c r="BC11" s="144">
        <f>+'CE-mese'!BC49</f>
        <v>0</v>
      </c>
      <c r="BD11" s="144">
        <f>+'CE-mese'!BD49</f>
        <v>0</v>
      </c>
      <c r="BE11" s="144">
        <f>+'CE-mese'!BE49</f>
        <v>0</v>
      </c>
      <c r="BF11" s="144">
        <f>+'CE-mese'!BF49</f>
        <v>0</v>
      </c>
      <c r="BG11" s="144">
        <f>+'CE-mese'!BG49</f>
        <v>0</v>
      </c>
      <c r="BH11" s="144">
        <f>+'CE-mese'!BH49</f>
        <v>0</v>
      </c>
      <c r="BI11" s="144">
        <f>+'CE-mese'!BI49</f>
        <v>0</v>
      </c>
      <c r="BJ11" s="144">
        <f>+'CE-mese'!BJ49</f>
        <v>0</v>
      </c>
      <c r="BK11" s="144">
        <f>+'CE-mese'!BK49</f>
        <v>0</v>
      </c>
      <c r="BL11" s="144">
        <f>+'CE-mese'!BL49</f>
        <v>0</v>
      </c>
      <c r="BM11" s="144">
        <f>+'CE-mese'!BM49</f>
        <v>0</v>
      </c>
      <c r="BN11" s="144">
        <f>+'CE-mese'!BN49</f>
        <v>0</v>
      </c>
      <c r="BO11" s="144">
        <f>+'CE-mese'!BO49</f>
        <v>0</v>
      </c>
      <c r="BP11" s="144">
        <f>+'CE-mese'!BP49</f>
        <v>0</v>
      </c>
      <c r="BQ11" s="144">
        <f>+'CE-mese'!BQ49</f>
        <v>0</v>
      </c>
      <c r="BR11" s="144">
        <f>+'CE-mese'!BR49</f>
        <v>0</v>
      </c>
      <c r="BS11" s="144">
        <f>+'CE-mese'!BS49</f>
        <v>0</v>
      </c>
      <c r="BT11" s="144">
        <f>+'CE-mese'!BT49</f>
        <v>0</v>
      </c>
      <c r="BU11" s="144">
        <f>+'CE-mese'!BU49</f>
        <v>0</v>
      </c>
      <c r="BV11" s="144">
        <f>+'CE-mese'!BV49</f>
        <v>0</v>
      </c>
      <c r="BW11" s="144">
        <f>+'CE-mese'!BW49</f>
        <v>0</v>
      </c>
      <c r="BX11" s="144">
        <f>+'CE-mese'!BX49</f>
        <v>0</v>
      </c>
      <c r="BY11" s="144">
        <f>+'CE-mese'!BY49</f>
        <v>0</v>
      </c>
      <c r="BZ11" s="144">
        <f>+'CE-mese'!BZ49</f>
        <v>0</v>
      </c>
      <c r="CA11" s="144">
        <f>+'CE-mese'!CA49</f>
        <v>0</v>
      </c>
      <c r="CB11" s="144">
        <f>+'CE-mese'!CB49</f>
        <v>0</v>
      </c>
      <c r="CC11" s="144">
        <f>+'CE-mese'!CC49</f>
        <v>0</v>
      </c>
      <c r="CD11" s="144">
        <f>+'CE-mese'!CD49</f>
        <v>0</v>
      </c>
      <c r="CE11" s="144">
        <f>+'CE-mese'!CE49</f>
        <v>0</v>
      </c>
      <c r="CF11" s="144">
        <f>+'CE-mese'!CF49</f>
        <v>0</v>
      </c>
      <c r="CG11" s="144">
        <f>+'CE-mese'!CG49</f>
        <v>0</v>
      </c>
      <c r="CH11" s="144">
        <f>+'CE-mese'!CH49</f>
        <v>0</v>
      </c>
      <c r="CI11" s="144">
        <f>+'CE-mese'!CI49</f>
        <v>0</v>
      </c>
      <c r="CJ11" s="144">
        <f>+'CE-mese'!CJ49</f>
        <v>0</v>
      </c>
      <c r="CK11" s="144">
        <f>+'CE-mese'!CK49</f>
        <v>0</v>
      </c>
      <c r="CL11" s="144">
        <f>+'CE-mese'!CL49</f>
        <v>0</v>
      </c>
      <c r="CM11" s="144">
        <f>+'CE-mese'!CM49</f>
        <v>0</v>
      </c>
      <c r="CN11" s="144">
        <f>+'CE-mese'!CN49</f>
        <v>0</v>
      </c>
      <c r="CO11" s="144">
        <f>+'CE-mese'!CO49</f>
        <v>0</v>
      </c>
      <c r="CP11" s="144">
        <f>+'CE-mese'!CP49</f>
        <v>0</v>
      </c>
      <c r="CQ11" s="144">
        <f>+'CE-mese'!CQ49</f>
        <v>0</v>
      </c>
      <c r="CR11" s="144">
        <f>+'CE-mese'!CR49</f>
        <v>0</v>
      </c>
      <c r="CS11" s="144">
        <f>+'CE-mese'!CS49</f>
        <v>0</v>
      </c>
      <c r="CT11" s="144">
        <f>+'CE-mese'!CT49</f>
        <v>0</v>
      </c>
      <c r="CU11" s="144">
        <f>+'CE-mese'!CU49</f>
        <v>0</v>
      </c>
      <c r="CV11" s="144">
        <f>+'CE-mese'!CV49</f>
        <v>0</v>
      </c>
      <c r="CW11" s="144">
        <f>+'CE-mese'!CW49</f>
        <v>0</v>
      </c>
      <c r="CX11" s="144">
        <f>+'CE-mese'!CX49</f>
        <v>0</v>
      </c>
      <c r="CY11" s="144">
        <f>+'CE-mese'!CY49</f>
        <v>0</v>
      </c>
      <c r="CZ11" s="144">
        <f>+'CE-mese'!CZ49</f>
        <v>0</v>
      </c>
      <c r="DA11" s="144">
        <f>+'CE-mese'!DA49</f>
        <v>0</v>
      </c>
      <c r="DB11" s="144">
        <f>+'CE-mese'!DB49</f>
        <v>0</v>
      </c>
      <c r="DC11" s="144">
        <f>+'CE-mese'!DC49</f>
        <v>0</v>
      </c>
      <c r="DD11" s="144">
        <f>+'CE-mese'!DD49</f>
        <v>0</v>
      </c>
      <c r="DE11" s="144">
        <f>+'CE-mese'!DE49</f>
        <v>0</v>
      </c>
      <c r="DF11" s="144">
        <f>+'CE-mese'!DF49</f>
        <v>0</v>
      </c>
      <c r="DG11" s="144">
        <f>+'CE-mese'!DG49</f>
        <v>0</v>
      </c>
      <c r="DH11" s="144">
        <f>+'CE-mese'!DH49</f>
        <v>0</v>
      </c>
      <c r="DI11" s="144">
        <f>+'CE-mese'!DI49</f>
        <v>0</v>
      </c>
      <c r="DJ11" s="144">
        <f>+'CE-mese'!DJ49</f>
        <v>0</v>
      </c>
      <c r="DK11" s="144">
        <f>+'CE-mese'!DK49</f>
        <v>0</v>
      </c>
      <c r="DL11" s="144">
        <f>+'CE-mese'!DL49</f>
        <v>0</v>
      </c>
      <c r="DM11" s="144">
        <f>+'CE-mese'!DM49</f>
        <v>0</v>
      </c>
      <c r="DN11" s="144">
        <f>+'CE-mese'!DN49</f>
        <v>0</v>
      </c>
      <c r="DO11" s="144">
        <f>+'CE-mese'!DO49</f>
        <v>0</v>
      </c>
      <c r="DP11" s="144">
        <f>+'CE-mese'!DP49</f>
        <v>0</v>
      </c>
      <c r="DQ11" s="144">
        <f>+'CE-mese'!DQ49</f>
        <v>0</v>
      </c>
      <c r="DR11" s="144">
        <f>+'CE-mese'!DR49</f>
        <v>0</v>
      </c>
      <c r="DT11" s="144">
        <f t="shared" ref="DT11:EC12" si="115">+SUMIF($C$1:$DR$1,DT$1,$C11:$DR11)</f>
        <v>0</v>
      </c>
      <c r="DU11" s="144">
        <f t="shared" si="115"/>
        <v>0</v>
      </c>
      <c r="DV11" s="144">
        <f t="shared" si="115"/>
        <v>0</v>
      </c>
      <c r="DW11" s="144">
        <f t="shared" si="115"/>
        <v>0</v>
      </c>
      <c r="DX11" s="144">
        <f t="shared" si="115"/>
        <v>0</v>
      </c>
      <c r="DY11" s="144">
        <f t="shared" si="115"/>
        <v>0</v>
      </c>
      <c r="DZ11" s="144">
        <f t="shared" si="115"/>
        <v>0</v>
      </c>
      <c r="EA11" s="144">
        <f t="shared" si="115"/>
        <v>0</v>
      </c>
      <c r="EB11" s="144">
        <f t="shared" si="115"/>
        <v>0</v>
      </c>
      <c r="EC11" s="144">
        <f t="shared" si="115"/>
        <v>0</v>
      </c>
    </row>
    <row r="12" thickBot="1">
      <c r="A12" t="s">
        <v>1239</v>
      </c>
      <c r="C12" s="144">
        <f>+'CE-mese'!C45</f>
        <v>0</v>
      </c>
      <c r="D12" s="144">
        <f>+'CE-mese'!D45</f>
        <v>0</v>
      </c>
      <c r="E12" s="144">
        <f>+'CE-mese'!E45</f>
        <v>0</v>
      </c>
      <c r="F12" s="144">
        <f>+'CE-mese'!F45</f>
        <v>0</v>
      </c>
      <c r="G12" s="144">
        <f>+'CE-mese'!G45</f>
        <v>0</v>
      </c>
      <c r="H12" s="144">
        <f>+'CE-mese'!H45</f>
        <v>0</v>
      </c>
      <c r="I12" s="144">
        <f>+'CE-mese'!I45</f>
        <v>0</v>
      </c>
      <c r="J12" s="144">
        <f>+'CE-mese'!J45</f>
        <v>0</v>
      </c>
      <c r="K12" s="144">
        <f>+'CE-mese'!K45</f>
        <v>0</v>
      </c>
      <c r="L12" s="144">
        <f>+'CE-mese'!L45</f>
        <v>0</v>
      </c>
      <c r="M12" s="144">
        <f>+'CE-mese'!M45</f>
        <v>0</v>
      </c>
      <c r="N12" s="144">
        <f>+'CE-mese'!N45</f>
        <v>0</v>
      </c>
      <c r="O12" s="144">
        <f>+'CE-mese'!O45</f>
        <v>0</v>
      </c>
      <c r="P12" s="144">
        <f>+'CE-mese'!P45</f>
        <v>0</v>
      </c>
      <c r="Q12" s="144">
        <f>+'CE-mese'!Q45</f>
        <v>0</v>
      </c>
      <c r="R12" s="144">
        <f>+'CE-mese'!R45</f>
        <v>0</v>
      </c>
      <c r="S12" s="144">
        <f>+'CE-mese'!S45</f>
        <v>0</v>
      </c>
      <c r="T12" s="144">
        <f>+'CE-mese'!T45</f>
        <v>0</v>
      </c>
      <c r="U12" s="144">
        <f>+'CE-mese'!U45</f>
        <v>0</v>
      </c>
      <c r="V12" s="144">
        <f>+'CE-mese'!V45</f>
        <v>0</v>
      </c>
      <c r="W12" s="144">
        <f>+'CE-mese'!W45</f>
        <v>0</v>
      </c>
      <c r="X12" s="144">
        <f>+'CE-mese'!X45</f>
        <v>0</v>
      </c>
      <c r="Y12" s="144">
        <f>+'CE-mese'!Y45</f>
        <v>0</v>
      </c>
      <c r="Z12" s="144">
        <f>+'CE-mese'!Z45</f>
        <v>0</v>
      </c>
      <c r="AA12" s="144">
        <f>+'CE-mese'!AA45</f>
        <v>0</v>
      </c>
      <c r="AB12" s="144">
        <f>+'CE-mese'!AB45</f>
        <v>0</v>
      </c>
      <c r="AC12" s="144">
        <f>+'CE-mese'!AC45</f>
        <v>0</v>
      </c>
      <c r="AD12" s="144">
        <f>+'CE-mese'!AD45</f>
        <v>0</v>
      </c>
      <c r="AE12" s="144">
        <f>+'CE-mese'!AE45</f>
        <v>0</v>
      </c>
      <c r="AF12" s="144">
        <f>+'CE-mese'!AF45</f>
        <v>0</v>
      </c>
      <c r="AG12" s="144">
        <f>+'CE-mese'!AG45</f>
        <v>0</v>
      </c>
      <c r="AH12" s="144">
        <f>+'CE-mese'!AH45</f>
        <v>0</v>
      </c>
      <c r="AI12" s="144">
        <f>+'CE-mese'!AI45</f>
        <v>0</v>
      </c>
      <c r="AJ12" s="144">
        <f>+'CE-mese'!AJ45</f>
        <v>0</v>
      </c>
      <c r="AK12" s="144">
        <f>+'CE-mese'!AK45</f>
        <v>0</v>
      </c>
      <c r="AL12" s="144">
        <f>+'CE-mese'!AL45</f>
        <v>0</v>
      </c>
      <c r="AM12" s="144">
        <f>+'CE-mese'!AM45</f>
        <v>0</v>
      </c>
      <c r="AN12" s="144">
        <f>+'CE-mese'!AN45</f>
        <v>0</v>
      </c>
      <c r="AO12" s="144">
        <f>+'CE-mese'!AO45</f>
        <v>0</v>
      </c>
      <c r="AP12" s="144">
        <f>+'CE-mese'!AP45</f>
        <v>0</v>
      </c>
      <c r="AQ12" s="144">
        <f>+'CE-mese'!AQ45</f>
        <v>0</v>
      </c>
      <c r="AR12" s="144">
        <f>+'CE-mese'!AR45</f>
        <v>0</v>
      </c>
      <c r="AS12" s="144">
        <f>+'CE-mese'!AS45</f>
        <v>0</v>
      </c>
      <c r="AT12" s="144">
        <f>+'CE-mese'!AT45</f>
        <v>0</v>
      </c>
      <c r="AU12" s="144">
        <f>+'CE-mese'!AU45</f>
        <v>0</v>
      </c>
      <c r="AV12" s="144">
        <f>+'CE-mese'!AV45</f>
        <v>0</v>
      </c>
      <c r="AW12" s="144">
        <f>+'CE-mese'!AW45</f>
        <v>0</v>
      </c>
      <c r="AX12" s="144">
        <f>+'CE-mese'!AX45</f>
        <v>0</v>
      </c>
      <c r="AY12" s="144">
        <f>+'CE-mese'!AY45</f>
        <v>0</v>
      </c>
      <c r="AZ12" s="144">
        <f>+'CE-mese'!AZ45</f>
        <v>0</v>
      </c>
      <c r="BA12" s="144">
        <f>+'CE-mese'!BA45</f>
        <v>0</v>
      </c>
      <c r="BB12" s="144">
        <f>+'CE-mese'!BB45</f>
        <v>0</v>
      </c>
      <c r="BC12" s="144">
        <f>+'CE-mese'!BC45</f>
        <v>0</v>
      </c>
      <c r="BD12" s="144">
        <f>+'CE-mese'!BD45</f>
        <v>0</v>
      </c>
      <c r="BE12" s="144">
        <f>+'CE-mese'!BE45</f>
        <v>0</v>
      </c>
      <c r="BF12" s="144">
        <f>+'CE-mese'!BF45</f>
        <v>0</v>
      </c>
      <c r="BG12" s="144">
        <f>+'CE-mese'!BG45</f>
        <v>0</v>
      </c>
      <c r="BH12" s="144">
        <f>+'CE-mese'!BH45</f>
        <v>0</v>
      </c>
      <c r="BI12" s="144">
        <f>+'CE-mese'!BI45</f>
        <v>0</v>
      </c>
      <c r="BJ12" s="144">
        <f>+'CE-mese'!BJ45</f>
        <v>0</v>
      </c>
      <c r="BK12" s="144">
        <f>+'CE-mese'!BK45</f>
        <v>0</v>
      </c>
      <c r="BL12" s="144">
        <f>+'CE-mese'!BL45</f>
        <v>0</v>
      </c>
      <c r="BM12" s="144">
        <f>+'CE-mese'!BM45</f>
        <v>0</v>
      </c>
      <c r="BN12" s="144">
        <f>+'CE-mese'!BN45</f>
        <v>0</v>
      </c>
      <c r="BO12" s="144">
        <f>+'CE-mese'!BO45</f>
        <v>0</v>
      </c>
      <c r="BP12" s="144">
        <f>+'CE-mese'!BP45</f>
        <v>0</v>
      </c>
      <c r="BQ12" s="144">
        <f>+'CE-mese'!BQ45</f>
        <v>0</v>
      </c>
      <c r="BR12" s="144">
        <f>+'CE-mese'!BR45</f>
        <v>0</v>
      </c>
      <c r="BS12" s="144">
        <f>+'CE-mese'!BS45</f>
        <v>0</v>
      </c>
      <c r="BT12" s="144">
        <f>+'CE-mese'!BT45</f>
        <v>0</v>
      </c>
      <c r="BU12" s="144">
        <f>+'CE-mese'!BU45</f>
        <v>0</v>
      </c>
      <c r="BV12" s="144">
        <f>+'CE-mese'!BV45</f>
        <v>0</v>
      </c>
      <c r="BW12" s="144">
        <f>+'CE-mese'!BW45</f>
        <v>0</v>
      </c>
      <c r="BX12" s="144">
        <f>+'CE-mese'!BX45</f>
        <v>0</v>
      </c>
      <c r="BY12" s="144">
        <f>+'CE-mese'!BY45</f>
        <v>0</v>
      </c>
      <c r="BZ12" s="144">
        <f>+'CE-mese'!BZ45</f>
        <v>0</v>
      </c>
      <c r="CA12" s="144">
        <f>+'CE-mese'!CA45</f>
        <v>0</v>
      </c>
      <c r="CB12" s="144">
        <f>+'CE-mese'!CB45</f>
        <v>0</v>
      </c>
      <c r="CC12" s="144">
        <f>+'CE-mese'!CC45</f>
        <v>0</v>
      </c>
      <c r="CD12" s="144">
        <f>+'CE-mese'!CD45</f>
        <v>0</v>
      </c>
      <c r="CE12" s="144">
        <f>+'CE-mese'!CE45</f>
        <v>0</v>
      </c>
      <c r="CF12" s="144">
        <f>+'CE-mese'!CF45</f>
        <v>0</v>
      </c>
      <c r="CG12" s="144">
        <f>+'CE-mese'!CG45</f>
        <v>0</v>
      </c>
      <c r="CH12" s="144">
        <f>+'CE-mese'!CH45</f>
        <v>0</v>
      </c>
      <c r="CI12" s="144">
        <f>+'CE-mese'!CI45</f>
        <v>0</v>
      </c>
      <c r="CJ12" s="144">
        <f>+'CE-mese'!CJ45</f>
        <v>0</v>
      </c>
      <c r="CK12" s="144">
        <f>+'CE-mese'!CK45</f>
        <v>0</v>
      </c>
      <c r="CL12" s="144">
        <f>+'CE-mese'!CL45</f>
        <v>0</v>
      </c>
      <c r="CM12" s="144">
        <f>+'CE-mese'!CM45</f>
        <v>0</v>
      </c>
      <c r="CN12" s="144">
        <f>+'CE-mese'!CN45</f>
        <v>0</v>
      </c>
      <c r="CO12" s="144">
        <f>+'CE-mese'!CO45</f>
        <v>0</v>
      </c>
      <c r="CP12" s="144">
        <f>+'CE-mese'!CP45</f>
        <v>0</v>
      </c>
      <c r="CQ12" s="144">
        <f>+'CE-mese'!CQ45</f>
        <v>0</v>
      </c>
      <c r="CR12" s="144">
        <f>+'CE-mese'!CR45</f>
        <v>0</v>
      </c>
      <c r="CS12" s="144">
        <f>+'CE-mese'!CS45</f>
        <v>0</v>
      </c>
      <c r="CT12" s="144">
        <f>+'CE-mese'!CT45</f>
        <v>0</v>
      </c>
      <c r="CU12" s="144">
        <f>+'CE-mese'!CU45</f>
        <v>0</v>
      </c>
      <c r="CV12" s="144">
        <f>+'CE-mese'!CV45</f>
        <v>0</v>
      </c>
      <c r="CW12" s="144">
        <f>+'CE-mese'!CW45</f>
        <v>0</v>
      </c>
      <c r="CX12" s="144">
        <f>+'CE-mese'!CX45</f>
        <v>0</v>
      </c>
      <c r="CY12" s="144">
        <f>+'CE-mese'!CY45</f>
        <v>0</v>
      </c>
      <c r="CZ12" s="144">
        <f>+'CE-mese'!CZ45</f>
        <v>0</v>
      </c>
      <c r="DA12" s="144">
        <f>+'CE-mese'!DA45</f>
        <v>0</v>
      </c>
      <c r="DB12" s="144">
        <f>+'CE-mese'!DB45</f>
        <v>0</v>
      </c>
      <c r="DC12" s="144">
        <f>+'CE-mese'!DC45</f>
        <v>0</v>
      </c>
      <c r="DD12" s="144">
        <f>+'CE-mese'!DD45</f>
        <v>0</v>
      </c>
      <c r="DE12" s="144">
        <f>+'CE-mese'!DE45</f>
        <v>0</v>
      </c>
      <c r="DF12" s="144">
        <f>+'CE-mese'!DF45</f>
        <v>0</v>
      </c>
      <c r="DG12" s="144">
        <f>+'CE-mese'!DG45</f>
        <v>0</v>
      </c>
      <c r="DH12" s="144">
        <f>+'CE-mese'!DH45</f>
        <v>0</v>
      </c>
      <c r="DI12" s="144">
        <f>+'CE-mese'!DI45</f>
        <v>0</v>
      </c>
      <c r="DJ12" s="144">
        <f>+'CE-mese'!DJ45</f>
        <v>0</v>
      </c>
      <c r="DK12" s="144">
        <f>+'CE-mese'!DK45</f>
        <v>0</v>
      </c>
      <c r="DL12" s="144">
        <f>+'CE-mese'!DL45</f>
        <v>0</v>
      </c>
      <c r="DM12" s="144">
        <f>+'CE-mese'!DM45</f>
        <v>0</v>
      </c>
      <c r="DN12" s="144">
        <f>+'CE-mese'!DN45</f>
        <v>0</v>
      </c>
      <c r="DO12" s="144">
        <f>+'CE-mese'!DO45</f>
        <v>0</v>
      </c>
      <c r="DP12" s="144">
        <f>+'CE-mese'!DP45</f>
        <v>0</v>
      </c>
      <c r="DQ12" s="144">
        <f>+'CE-mese'!DQ45</f>
        <v>0</v>
      </c>
      <c r="DR12" s="144">
        <f>+'CE-mese'!DR45</f>
        <v>0</v>
      </c>
      <c r="DT12" s="144">
        <f t="shared" si="115"/>
        <v>0</v>
      </c>
      <c r="DU12" s="144">
        <f t="shared" si="115"/>
        <v>0</v>
      </c>
      <c r="DV12" s="144">
        <f t="shared" si="115"/>
        <v>0</v>
      </c>
      <c r="DW12" s="144">
        <f t="shared" si="115"/>
        <v>0</v>
      </c>
      <c r="DX12" s="144">
        <f t="shared" si="115"/>
        <v>0</v>
      </c>
      <c r="DY12" s="144">
        <f t="shared" si="115"/>
        <v>0</v>
      </c>
      <c r="DZ12" s="144">
        <f t="shared" si="115"/>
        <v>0</v>
      </c>
      <c r="EA12" s="144">
        <f t="shared" si="115"/>
        <v>0</v>
      </c>
      <c r="EB12" s="144">
        <f t="shared" si="115"/>
        <v>0</v>
      </c>
      <c r="EC12" s="144">
        <f t="shared" si="115"/>
        <v>0</v>
      </c>
    </row>
    <row r="13" thickTop="1" thickBot="1" ht="15.5">
      <c r="A13" s="301" t="s">
        <v>1240</v>
      </c>
      <c r="B13" s="301"/>
      <c r="C13" s="301">
        <f t="shared" ref="C13:AH13" si="116">+C9+C11+C12</f>
        <v>0</v>
      </c>
      <c r="D13" s="301">
        <f t="shared" si="116"/>
        <v>0</v>
      </c>
      <c r="E13" s="301">
        <f t="shared" si="116"/>
        <v>0</v>
      </c>
      <c r="F13" s="301">
        <f t="shared" si="116"/>
        <v>0</v>
      </c>
      <c r="G13" s="301">
        <f t="shared" si="116"/>
        <v>0</v>
      </c>
      <c r="H13" s="301">
        <f t="shared" si="116"/>
        <v>0</v>
      </c>
      <c r="I13" s="301">
        <f t="shared" si="116"/>
        <v>0</v>
      </c>
      <c r="J13" s="301">
        <f t="shared" si="116"/>
        <v>0</v>
      </c>
      <c r="K13" s="301">
        <f t="shared" si="116"/>
        <v>0</v>
      </c>
      <c r="L13" s="301">
        <f t="shared" si="116"/>
        <v>0</v>
      </c>
      <c r="M13" s="301">
        <f t="shared" si="116"/>
        <v>0</v>
      </c>
      <c r="N13" s="301">
        <f t="shared" si="116"/>
        <v>0</v>
      </c>
      <c r="O13" s="301">
        <f t="shared" si="116"/>
        <v>0</v>
      </c>
      <c r="P13" s="301">
        <f t="shared" si="116"/>
        <v>0</v>
      </c>
      <c r="Q13" s="301">
        <f t="shared" si="116"/>
        <v>0</v>
      </c>
      <c r="R13" s="301">
        <f t="shared" si="116"/>
        <v>0</v>
      </c>
      <c r="S13" s="301">
        <f t="shared" si="116"/>
        <v>0</v>
      </c>
      <c r="T13" s="301">
        <f t="shared" si="116"/>
        <v>0</v>
      </c>
      <c r="U13" s="301">
        <f t="shared" si="116"/>
        <v>0</v>
      </c>
      <c r="V13" s="301">
        <f t="shared" si="116"/>
        <v>0</v>
      </c>
      <c r="W13" s="301">
        <f t="shared" si="116"/>
        <v>0</v>
      </c>
      <c r="X13" s="301">
        <f t="shared" si="116"/>
        <v>0</v>
      </c>
      <c r="Y13" s="301">
        <f t="shared" si="116"/>
        <v>0</v>
      </c>
      <c r="Z13" s="301">
        <f t="shared" si="116"/>
        <v>0</v>
      </c>
      <c r="AA13" s="301">
        <f t="shared" si="116"/>
        <v>0</v>
      </c>
      <c r="AB13" s="301">
        <f t="shared" si="116"/>
        <v>0</v>
      </c>
      <c r="AC13" s="301">
        <f t="shared" si="116"/>
        <v>0</v>
      </c>
      <c r="AD13" s="301">
        <f t="shared" si="116"/>
        <v>0</v>
      </c>
      <c r="AE13" s="301">
        <f t="shared" si="116"/>
        <v>0</v>
      </c>
      <c r="AF13" s="301">
        <f t="shared" si="116"/>
        <v>0</v>
      </c>
      <c r="AG13" s="301">
        <f t="shared" si="116"/>
        <v>0</v>
      </c>
      <c r="AH13" s="301">
        <f t="shared" si="116"/>
        <v>0</v>
      </c>
      <c r="AI13" s="301">
        <f t="shared" ref="AI13:BN13" si="117">+AI9+AI11+AI12</f>
        <v>0</v>
      </c>
      <c r="AJ13" s="301">
        <f t="shared" si="117"/>
        <v>0</v>
      </c>
      <c r="AK13" s="301">
        <f t="shared" si="117"/>
        <v>0</v>
      </c>
      <c r="AL13" s="301">
        <f t="shared" si="117"/>
        <v>0</v>
      </c>
      <c r="AM13" s="301">
        <f t="shared" si="117"/>
        <v>0</v>
      </c>
      <c r="AN13" s="301">
        <f t="shared" si="117"/>
        <v>0</v>
      </c>
      <c r="AO13" s="301">
        <f t="shared" si="117"/>
        <v>0</v>
      </c>
      <c r="AP13" s="301">
        <f t="shared" si="117"/>
        <v>0</v>
      </c>
      <c r="AQ13" s="301">
        <f t="shared" si="117"/>
        <v>0</v>
      </c>
      <c r="AR13" s="301">
        <f t="shared" si="117"/>
        <v>0</v>
      </c>
      <c r="AS13" s="301">
        <f t="shared" si="117"/>
        <v>0</v>
      </c>
      <c r="AT13" s="301">
        <f t="shared" si="117"/>
        <v>0</v>
      </c>
      <c r="AU13" s="301">
        <f t="shared" si="117"/>
        <v>0</v>
      </c>
      <c r="AV13" s="301">
        <f t="shared" si="117"/>
        <v>0</v>
      </c>
      <c r="AW13" s="301">
        <f t="shared" si="117"/>
        <v>0</v>
      </c>
      <c r="AX13" s="301">
        <f t="shared" si="117"/>
        <v>0</v>
      </c>
      <c r="AY13" s="301">
        <f t="shared" si="117"/>
        <v>0</v>
      </c>
      <c r="AZ13" s="301">
        <f t="shared" si="117"/>
        <v>0</v>
      </c>
      <c r="BA13" s="301">
        <f t="shared" si="117"/>
        <v>0</v>
      </c>
      <c r="BB13" s="301">
        <f t="shared" si="117"/>
        <v>0</v>
      </c>
      <c r="BC13" s="301">
        <f t="shared" si="117"/>
        <v>0</v>
      </c>
      <c r="BD13" s="301">
        <f t="shared" si="117"/>
        <v>0</v>
      </c>
      <c r="BE13" s="301">
        <f t="shared" si="117"/>
        <v>0</v>
      </c>
      <c r="BF13" s="301">
        <f t="shared" si="117"/>
        <v>0</v>
      </c>
      <c r="BG13" s="301">
        <f t="shared" si="117"/>
        <v>0</v>
      </c>
      <c r="BH13" s="301">
        <f t="shared" si="117"/>
        <v>0</v>
      </c>
      <c r="BI13" s="301">
        <f t="shared" si="117"/>
        <v>0</v>
      </c>
      <c r="BJ13" s="301">
        <f t="shared" si="117"/>
        <v>0</v>
      </c>
      <c r="BK13" s="301">
        <f t="shared" si="117"/>
        <v>0</v>
      </c>
      <c r="BL13" s="301">
        <f t="shared" si="117"/>
        <v>0</v>
      </c>
      <c r="BM13" s="301">
        <f t="shared" si="117"/>
        <v>0</v>
      </c>
      <c r="BN13" s="301">
        <f t="shared" si="117"/>
        <v>0</v>
      </c>
      <c r="BO13" s="301">
        <f t="shared" ref="BO13:CT13" si="118">+BO9+BO11+BO12</f>
        <v>0</v>
      </c>
      <c r="BP13" s="301">
        <f t="shared" si="118"/>
        <v>0</v>
      </c>
      <c r="BQ13" s="301">
        <f t="shared" si="118"/>
        <v>0</v>
      </c>
      <c r="BR13" s="301">
        <f t="shared" si="118"/>
        <v>0</v>
      </c>
      <c r="BS13" s="301">
        <f t="shared" si="118"/>
        <v>0</v>
      </c>
      <c r="BT13" s="301">
        <f t="shared" si="118"/>
        <v>0</v>
      </c>
      <c r="BU13" s="301">
        <f t="shared" si="118"/>
        <v>0</v>
      </c>
      <c r="BV13" s="301">
        <f t="shared" si="118"/>
        <v>0</v>
      </c>
      <c r="BW13" s="301">
        <f t="shared" si="118"/>
        <v>0</v>
      </c>
      <c r="BX13" s="301">
        <f t="shared" si="118"/>
        <v>0</v>
      </c>
      <c r="BY13" s="301">
        <f t="shared" si="118"/>
        <v>0</v>
      </c>
      <c r="BZ13" s="301">
        <f t="shared" si="118"/>
        <v>0</v>
      </c>
      <c r="CA13" s="301">
        <f t="shared" si="118"/>
        <v>0</v>
      </c>
      <c r="CB13" s="301">
        <f t="shared" si="118"/>
        <v>0</v>
      </c>
      <c r="CC13" s="301">
        <f t="shared" si="118"/>
        <v>0</v>
      </c>
      <c r="CD13" s="301">
        <f t="shared" si="118"/>
        <v>0</v>
      </c>
      <c r="CE13" s="301">
        <f t="shared" si="118"/>
        <v>0</v>
      </c>
      <c r="CF13" s="301">
        <f t="shared" si="118"/>
        <v>0</v>
      </c>
      <c r="CG13" s="301">
        <f t="shared" si="118"/>
        <v>0</v>
      </c>
      <c r="CH13" s="301">
        <f t="shared" si="118"/>
        <v>0</v>
      </c>
      <c r="CI13" s="301">
        <f t="shared" si="118"/>
        <v>0</v>
      </c>
      <c r="CJ13" s="301">
        <f t="shared" si="118"/>
        <v>0</v>
      </c>
      <c r="CK13" s="301">
        <f t="shared" si="118"/>
        <v>0</v>
      </c>
      <c r="CL13" s="301">
        <f t="shared" si="118"/>
        <v>0</v>
      </c>
      <c r="CM13" s="301">
        <f t="shared" si="118"/>
        <v>0</v>
      </c>
      <c r="CN13" s="301">
        <f t="shared" si="118"/>
        <v>0</v>
      </c>
      <c r="CO13" s="301">
        <f t="shared" si="118"/>
        <v>0</v>
      </c>
      <c r="CP13" s="301">
        <f t="shared" si="118"/>
        <v>0</v>
      </c>
      <c r="CQ13" s="301">
        <f t="shared" si="118"/>
        <v>0</v>
      </c>
      <c r="CR13" s="301">
        <f t="shared" si="118"/>
        <v>0</v>
      </c>
      <c r="CS13" s="301">
        <f t="shared" si="118"/>
        <v>0</v>
      </c>
      <c r="CT13" s="301">
        <f t="shared" si="118"/>
        <v>0</v>
      </c>
      <c r="CU13" s="301">
        <f t="shared" ref="CU13:EC13" si="119">+CU9+CU11+CU12</f>
        <v>0</v>
      </c>
      <c r="CV13" s="301">
        <f t="shared" si="119"/>
        <v>0</v>
      </c>
      <c r="CW13" s="301">
        <f t="shared" si="119"/>
        <v>0</v>
      </c>
      <c r="CX13" s="301">
        <f t="shared" si="119"/>
        <v>0</v>
      </c>
      <c r="CY13" s="301">
        <f t="shared" si="119"/>
        <v>0</v>
      </c>
      <c r="CZ13" s="301">
        <f t="shared" si="119"/>
        <v>0</v>
      </c>
      <c r="DA13" s="301">
        <f t="shared" si="119"/>
        <v>0</v>
      </c>
      <c r="DB13" s="301">
        <f t="shared" si="119"/>
        <v>0</v>
      </c>
      <c r="DC13" s="301">
        <f t="shared" si="119"/>
        <v>0</v>
      </c>
      <c r="DD13" s="301">
        <f t="shared" si="119"/>
        <v>0</v>
      </c>
      <c r="DE13" s="301">
        <f t="shared" si="119"/>
        <v>0</v>
      </c>
      <c r="DF13" s="301">
        <f t="shared" si="119"/>
        <v>0</v>
      </c>
      <c r="DG13" s="301">
        <f t="shared" si="119"/>
        <v>0</v>
      </c>
      <c r="DH13" s="301">
        <f t="shared" si="119"/>
        <v>0</v>
      </c>
      <c r="DI13" s="301">
        <f t="shared" si="119"/>
        <v>0</v>
      </c>
      <c r="DJ13" s="301">
        <f t="shared" si="119"/>
        <v>0</v>
      </c>
      <c r="DK13" s="301">
        <f t="shared" si="119"/>
        <v>0</v>
      </c>
      <c r="DL13" s="301">
        <f t="shared" si="119"/>
        <v>0</v>
      </c>
      <c r="DM13" s="301">
        <f t="shared" si="119"/>
        <v>0</v>
      </c>
      <c r="DN13" s="301">
        <f t="shared" si="119"/>
        <v>0</v>
      </c>
      <c r="DO13" s="301">
        <f t="shared" si="119"/>
        <v>0</v>
      </c>
      <c r="DP13" s="301">
        <f t="shared" si="119"/>
        <v>0</v>
      </c>
      <c r="DQ13" s="301">
        <f t="shared" si="119"/>
        <v>0</v>
      </c>
      <c r="DR13" s="301">
        <f t="shared" si="119"/>
        <v>0</v>
      </c>
      <c r="DT13" s="301">
        <f t="shared" si="119"/>
        <v>0</v>
      </c>
      <c r="DU13" s="301">
        <f t="shared" si="119"/>
        <v>0</v>
      </c>
      <c r="DV13" s="301">
        <f t="shared" si="119"/>
        <v>0</v>
      </c>
      <c r="DW13" s="301">
        <f t="shared" si="119"/>
        <v>0</v>
      </c>
      <c r="DX13" s="301">
        <f t="shared" si="119"/>
        <v>0</v>
      </c>
      <c r="DY13" s="301">
        <f t="shared" si="119"/>
        <v>0</v>
      </c>
      <c r="DZ13" s="301">
        <f t="shared" si="119"/>
        <v>0</v>
      </c>
      <c r="EA13" s="301">
        <f t="shared" si="119"/>
        <v>0</v>
      </c>
      <c r="EB13" s="301">
        <f t="shared" si="119"/>
        <v>0</v>
      </c>
      <c r="EC13" s="301">
        <f t="shared" si="119"/>
        <v>0</v>
      </c>
    </row>
    <row r="14" thickTop="1">
      <c r="A14" s="309"/>
    </row>
    <row r="15" ht="15.5">
      <c r="A15" s="310" t="s">
        <v>1241</v>
      </c>
    </row>
    <row r="16" ht="14.5">
      <c r="A16" t="s">
        <v>1242</v>
      </c>
      <c r="C16" s="144">
        <f>+'SP-mese'!C16-'SP-mese'!D16</f>
        <v>0</v>
      </c>
      <c r="D16" s="144">
        <f>+'SP-mese'!D16-'SP-mese'!E16</f>
        <v>0</v>
      </c>
      <c r="E16" s="144">
        <f>+'SP-mese'!E16-'SP-mese'!F16</f>
        <v>0</v>
      </c>
      <c r="F16" s="144">
        <f>+'SP-mese'!F16-'SP-mese'!G16</f>
        <v>0</v>
      </c>
      <c r="G16" s="144">
        <f>+'SP-mese'!G16-'SP-mese'!H16</f>
        <v>0</v>
      </c>
      <c r="H16" s="144">
        <f>+'SP-mese'!H16-'SP-mese'!I16</f>
        <v>0</v>
      </c>
      <c r="I16" s="144">
        <f>+'SP-mese'!I16-'SP-mese'!J16</f>
        <v>0</v>
      </c>
      <c r="J16" s="144">
        <f>+'SP-mese'!J16-'SP-mese'!K16</f>
        <v>0</v>
      </c>
      <c r="K16" s="144">
        <f>+'SP-mese'!K16-'SP-mese'!L16</f>
        <v>0</v>
      </c>
      <c r="L16" s="144">
        <f>+'SP-mese'!L16-'SP-mese'!M16</f>
        <v>0</v>
      </c>
      <c r="M16" s="144">
        <f>+'SP-mese'!M16-'SP-mese'!N16</f>
        <v>0</v>
      </c>
      <c r="N16" s="144">
        <f>+'SP-mese'!N16-'SP-mese'!O16</f>
        <v>0</v>
      </c>
      <c r="O16" s="144">
        <f>+'SP-mese'!O16-'SP-mese'!P16</f>
        <v>0</v>
      </c>
      <c r="P16" s="144">
        <f>+'SP-mese'!P16-'SP-mese'!Q16</f>
        <v>0</v>
      </c>
      <c r="Q16" s="144">
        <f>+'SP-mese'!Q16-'SP-mese'!R16</f>
        <v>0</v>
      </c>
      <c r="R16" s="144">
        <f>+'SP-mese'!R16-'SP-mese'!S16</f>
        <v>0</v>
      </c>
      <c r="S16" s="144">
        <f>+'SP-mese'!S16-'SP-mese'!T16</f>
        <v>0</v>
      </c>
      <c r="T16" s="144">
        <f>+'SP-mese'!T16-'SP-mese'!U16</f>
        <v>0</v>
      </c>
      <c r="U16" s="144">
        <f>+'SP-mese'!U16-'SP-mese'!V16</f>
        <v>0</v>
      </c>
      <c r="V16" s="144">
        <f>+'SP-mese'!V16-'SP-mese'!W16</f>
        <v>0</v>
      </c>
      <c r="W16" s="144">
        <f>+'SP-mese'!W16-'SP-mese'!X16</f>
        <v>0</v>
      </c>
      <c r="X16" s="144">
        <f>+'SP-mese'!X16-'SP-mese'!Y16</f>
        <v>0</v>
      </c>
      <c r="Y16" s="144">
        <f>+'SP-mese'!Y16-'SP-mese'!Z16</f>
        <v>0</v>
      </c>
      <c r="Z16" s="144">
        <f>+'SP-mese'!Z16-'SP-mese'!AA16</f>
        <v>0</v>
      </c>
      <c r="AA16" s="144">
        <f>+'SP-mese'!AA16-'SP-mese'!AB16</f>
        <v>0</v>
      </c>
      <c r="AB16" s="144">
        <f>+'SP-mese'!AB16-'SP-mese'!AC16</f>
        <v>0</v>
      </c>
      <c r="AC16" s="144">
        <f>+'SP-mese'!AC16-'SP-mese'!AD16</f>
        <v>0</v>
      </c>
      <c r="AD16" s="144">
        <f>+'SP-mese'!AD16-'SP-mese'!AE16</f>
        <v>0</v>
      </c>
      <c r="AE16" s="144">
        <f>+'SP-mese'!AE16-'SP-mese'!AF16</f>
        <v>0</v>
      </c>
      <c r="AF16" s="144">
        <f>+'SP-mese'!AF16-'SP-mese'!AG16</f>
        <v>0</v>
      </c>
      <c r="AG16" s="144">
        <f>+'SP-mese'!AG16-'SP-mese'!AH16</f>
        <v>0</v>
      </c>
      <c r="AH16" s="144">
        <f>+'SP-mese'!AH16-'SP-mese'!AI16</f>
        <v>0</v>
      </c>
      <c r="AI16" s="144">
        <f>+'SP-mese'!AI16-'SP-mese'!AJ16</f>
        <v>0</v>
      </c>
      <c r="AJ16" s="144">
        <f>+'SP-mese'!AJ16-'SP-mese'!AK16</f>
        <v>0</v>
      </c>
      <c r="AK16" s="144">
        <f>+'SP-mese'!AK16-'SP-mese'!AL16</f>
        <v>0</v>
      </c>
      <c r="AL16" s="144">
        <f>+'SP-mese'!AL16-'SP-mese'!AM16</f>
        <v>0</v>
      </c>
      <c r="AM16" s="144">
        <f>+'SP-mese'!AM16-'SP-mese'!AN16</f>
        <v>0</v>
      </c>
      <c r="AN16" s="144">
        <f>+'SP-mese'!AN16-'SP-mese'!AO16</f>
        <v>0</v>
      </c>
      <c r="AO16" s="144">
        <f>+'SP-mese'!AO16-'SP-mese'!AP16</f>
        <v>0</v>
      </c>
      <c r="AP16" s="144">
        <f>+'SP-mese'!AP16-'SP-mese'!AQ16</f>
        <v>0</v>
      </c>
      <c r="AQ16" s="144">
        <f>+'SP-mese'!AQ16-'SP-mese'!AR16</f>
        <v>0</v>
      </c>
      <c r="AR16" s="144">
        <f>+'SP-mese'!AR16-'SP-mese'!AS16</f>
        <v>0</v>
      </c>
      <c r="AS16" s="144">
        <f>+'SP-mese'!AS16-'SP-mese'!AT16</f>
        <v>0</v>
      </c>
      <c r="AT16" s="144">
        <f>+'SP-mese'!AT16-'SP-mese'!AU16</f>
        <v>0</v>
      </c>
      <c r="AU16" s="144">
        <f>+'SP-mese'!AU16-'SP-mese'!AV16</f>
        <v>0</v>
      </c>
      <c r="AV16" s="144">
        <f>+'SP-mese'!AV16-'SP-mese'!AW16</f>
        <v>0</v>
      </c>
      <c r="AW16" s="144">
        <f>+'SP-mese'!AW16-'SP-mese'!AX16</f>
        <v>0</v>
      </c>
      <c r="AX16" s="144">
        <f>+'SP-mese'!AX16-'SP-mese'!AY16</f>
        <v>0</v>
      </c>
      <c r="AY16" s="144">
        <f>+'SP-mese'!AY16-'SP-mese'!AZ16</f>
        <v>0</v>
      </c>
      <c r="AZ16" s="144">
        <f>+'SP-mese'!AZ16-'SP-mese'!BA16</f>
        <v>0</v>
      </c>
      <c r="BA16" s="144">
        <f>+'SP-mese'!BA16-'SP-mese'!BB16</f>
        <v>0</v>
      </c>
      <c r="BB16" s="144">
        <f>+'SP-mese'!BB16-'SP-mese'!BC16</f>
        <v>0</v>
      </c>
      <c r="BC16" s="144">
        <f>+'SP-mese'!BC16-'SP-mese'!BD16</f>
        <v>0</v>
      </c>
      <c r="BD16" s="144">
        <f>+'SP-mese'!BD16-'SP-mese'!BE16</f>
        <v>0</v>
      </c>
      <c r="BE16" s="144">
        <f>+'SP-mese'!BE16-'SP-mese'!BF16</f>
        <v>0</v>
      </c>
      <c r="BF16" s="144">
        <f>+'SP-mese'!BF16-'SP-mese'!BG16</f>
        <v>0</v>
      </c>
      <c r="BG16" s="144">
        <f>+'SP-mese'!BG16-'SP-mese'!BH16</f>
        <v>0</v>
      </c>
      <c r="BH16" s="144">
        <f>+'SP-mese'!BH16-'SP-mese'!BI16</f>
        <v>0</v>
      </c>
      <c r="BI16" s="144">
        <f>+'SP-mese'!BI16-'SP-mese'!BJ16</f>
        <v>0</v>
      </c>
      <c r="BJ16" s="144">
        <f>+'SP-mese'!BJ16-'SP-mese'!BK16</f>
        <v>0</v>
      </c>
      <c r="BK16" s="144">
        <f>+'SP-mese'!BK16-'SP-mese'!BL16</f>
        <v>0</v>
      </c>
      <c r="BL16" s="144">
        <f>+'SP-mese'!BL16-'SP-mese'!BM16</f>
        <v>0</v>
      </c>
      <c r="BM16" s="144">
        <f>+'SP-mese'!BM16-'SP-mese'!BN16</f>
        <v>0</v>
      </c>
      <c r="BN16" s="144">
        <f>+'SP-mese'!BN16-'SP-mese'!BO16</f>
        <v>0</v>
      </c>
      <c r="BO16" s="144">
        <f>+'SP-mese'!BO16-'SP-mese'!BP16</f>
        <v>0</v>
      </c>
      <c r="BP16" s="144">
        <f>+'SP-mese'!BP16-'SP-mese'!BQ16</f>
        <v>0</v>
      </c>
      <c r="BQ16" s="144">
        <f>+'SP-mese'!BQ16-'SP-mese'!BR16</f>
        <v>0</v>
      </c>
      <c r="BR16" s="144">
        <f>+'SP-mese'!BR16-'SP-mese'!BS16</f>
        <v>0</v>
      </c>
      <c r="BS16" s="144">
        <f>+'SP-mese'!BS16-'SP-mese'!BT16</f>
        <v>0</v>
      </c>
      <c r="BT16" s="144">
        <f>+'SP-mese'!BT16-'SP-mese'!BU16</f>
        <v>0</v>
      </c>
      <c r="BU16" s="144">
        <f>+'SP-mese'!BU16-'SP-mese'!BV16</f>
        <v>0</v>
      </c>
      <c r="BV16" s="144">
        <f>+'SP-mese'!BV16-'SP-mese'!BW16</f>
        <v>0</v>
      </c>
      <c r="BW16" s="144">
        <f>+'SP-mese'!BW16-'SP-mese'!BX16</f>
        <v>0</v>
      </c>
      <c r="BX16" s="144">
        <f>+'SP-mese'!BX16-'SP-mese'!BY16</f>
        <v>0</v>
      </c>
      <c r="BY16" s="144">
        <f>+'SP-mese'!BY16-'SP-mese'!BZ16</f>
        <v>0</v>
      </c>
      <c r="BZ16" s="144">
        <f>+'SP-mese'!BZ16-'SP-mese'!CA16</f>
        <v>0</v>
      </c>
      <c r="CA16" s="144">
        <f>+'SP-mese'!CA16-'SP-mese'!CB16</f>
        <v>0</v>
      </c>
      <c r="CB16" s="144">
        <f>+'SP-mese'!CB16-'SP-mese'!CC16</f>
        <v>0</v>
      </c>
      <c r="CC16" s="144">
        <f>+'SP-mese'!CC16-'SP-mese'!CD16</f>
        <v>0</v>
      </c>
      <c r="CD16" s="144">
        <f>+'SP-mese'!CD16-'SP-mese'!CE16</f>
        <v>0</v>
      </c>
      <c r="CE16" s="144">
        <f>+'SP-mese'!CE16-'SP-mese'!CF16</f>
        <v>0</v>
      </c>
      <c r="CF16" s="144">
        <f>+'SP-mese'!CF16-'SP-mese'!CG16</f>
        <v>0</v>
      </c>
      <c r="CG16" s="144">
        <f>+'SP-mese'!CG16-'SP-mese'!CH16</f>
        <v>0</v>
      </c>
      <c r="CH16" s="144">
        <f>+'SP-mese'!CH16-'SP-mese'!CI16</f>
        <v>0</v>
      </c>
      <c r="CI16" s="144">
        <f>+'SP-mese'!CI16-'SP-mese'!CJ16</f>
        <v>0</v>
      </c>
      <c r="CJ16" s="144">
        <f>+'SP-mese'!CJ16-'SP-mese'!CK16</f>
        <v>0</v>
      </c>
      <c r="CK16" s="144">
        <f>+'SP-mese'!CK16-'SP-mese'!CL16</f>
        <v>0</v>
      </c>
      <c r="CL16" s="144">
        <f>+'SP-mese'!CL16-'SP-mese'!CM16</f>
        <v>0</v>
      </c>
      <c r="CM16" s="144">
        <f>+'SP-mese'!CM16-'SP-mese'!CN16</f>
        <v>0</v>
      </c>
      <c r="CN16" s="144">
        <f>+'SP-mese'!CN16-'SP-mese'!CO16</f>
        <v>0</v>
      </c>
      <c r="CO16" s="144">
        <f>+'SP-mese'!CO16-'SP-mese'!CP16</f>
        <v>0</v>
      </c>
      <c r="CP16" s="144">
        <f>+'SP-mese'!CP16-'SP-mese'!CQ16</f>
        <v>0</v>
      </c>
      <c r="CQ16" s="144">
        <f>+'SP-mese'!CQ16-'SP-mese'!CR16</f>
        <v>0</v>
      </c>
      <c r="CR16" s="144">
        <f>+'SP-mese'!CR16-'SP-mese'!CS16</f>
        <v>0</v>
      </c>
      <c r="CS16" s="144">
        <f>+'SP-mese'!CS16-'SP-mese'!CT16</f>
        <v>0</v>
      </c>
      <c r="CT16" s="144">
        <f>+'SP-mese'!CT16-'SP-mese'!CU16</f>
        <v>0</v>
      </c>
      <c r="CU16" s="144">
        <f>+'SP-mese'!CU16-'SP-mese'!CV16</f>
        <v>0</v>
      </c>
      <c r="CV16" s="144">
        <f>+'SP-mese'!CV16-'SP-mese'!CW16</f>
        <v>0</v>
      </c>
      <c r="CW16" s="144">
        <f>+'SP-mese'!CW16-'SP-mese'!CX16</f>
        <v>0</v>
      </c>
      <c r="CX16" s="144">
        <f>+'SP-mese'!CX16-'SP-mese'!CY16</f>
        <v>0</v>
      </c>
      <c r="CY16" s="144">
        <f>+'SP-mese'!CY16-'SP-mese'!CZ16</f>
        <v>0</v>
      </c>
      <c r="CZ16" s="144">
        <f>+'SP-mese'!CZ16-'SP-mese'!DA16</f>
        <v>0</v>
      </c>
      <c r="DA16" s="144">
        <f>+'SP-mese'!DA16-'SP-mese'!DB16</f>
        <v>0</v>
      </c>
      <c r="DB16" s="144">
        <f>+'SP-mese'!DB16-'SP-mese'!DC16</f>
        <v>0</v>
      </c>
      <c r="DC16" s="144">
        <f>+'SP-mese'!DC16-'SP-mese'!DD16</f>
        <v>0</v>
      </c>
      <c r="DD16" s="144">
        <f>+'SP-mese'!DD16-'SP-mese'!DE16</f>
        <v>0</v>
      </c>
      <c r="DE16" s="144">
        <f>+'SP-mese'!DE16-'SP-mese'!DF16</f>
        <v>0</v>
      </c>
      <c r="DF16" s="144">
        <f>+'SP-mese'!DF16-'SP-mese'!DG16</f>
        <v>0</v>
      </c>
      <c r="DG16" s="144">
        <f>+'SP-mese'!DG16-'SP-mese'!DH16</f>
        <v>0</v>
      </c>
      <c r="DH16" s="144">
        <f>+'SP-mese'!DH16-'SP-mese'!DI16</f>
        <v>0</v>
      </c>
      <c r="DI16" s="144">
        <f>+'SP-mese'!DI16-'SP-mese'!DJ16</f>
        <v>0</v>
      </c>
      <c r="DJ16" s="144">
        <f>+'SP-mese'!DJ16-'SP-mese'!DK16</f>
        <v>0</v>
      </c>
      <c r="DK16" s="144">
        <f>+'SP-mese'!DK16-'SP-mese'!DL16</f>
        <v>0</v>
      </c>
      <c r="DL16" s="144">
        <f>+'SP-mese'!DL16-'SP-mese'!DM16</f>
        <v>0</v>
      </c>
      <c r="DM16" s="144">
        <f>+'SP-mese'!DM16-'SP-mese'!DN16</f>
        <v>0</v>
      </c>
      <c r="DN16" s="144">
        <f>+'SP-mese'!DN16-'SP-mese'!DO16</f>
        <v>0</v>
      </c>
      <c r="DO16" s="144">
        <f>+'SP-mese'!DO16-'SP-mese'!DP16</f>
        <v>0</v>
      </c>
      <c r="DP16" s="144">
        <f>+'SP-mese'!DP16-'SP-mese'!DQ16</f>
        <v>0</v>
      </c>
      <c r="DQ16" s="144">
        <f>+'SP-mese'!DQ16-'SP-mese'!DR16</f>
        <v>0</v>
      </c>
      <c r="DR16" s="144">
        <f>+'SP-mese'!DR16-'SP-mese'!DS16</f>
        <v>0</v>
      </c>
      <c r="DT16" s="144">
        <f t="shared" ref="DT16:EC19" si="120">+SUMIF($C$1:$DR$1,DT$1,$C16:$DR16)</f>
        <v>0</v>
      </c>
      <c r="DU16" s="144">
        <f t="shared" si="120"/>
        <v>0</v>
      </c>
      <c r="DV16" s="144">
        <f t="shared" si="120"/>
        <v>0</v>
      </c>
      <c r="DW16" s="144">
        <f t="shared" si="120"/>
        <v>0</v>
      </c>
      <c r="DX16" s="144">
        <f t="shared" si="120"/>
        <v>0</v>
      </c>
      <c r="DY16" s="144">
        <f t="shared" si="120"/>
        <v>0</v>
      </c>
      <c r="DZ16" s="144">
        <f t="shared" si="120"/>
        <v>0</v>
      </c>
      <c r="EA16" s="144">
        <f t="shared" si="120"/>
        <v>0</v>
      </c>
      <c r="EB16" s="144">
        <f t="shared" si="120"/>
        <v>0</v>
      </c>
      <c r="EC16" s="144">
        <f t="shared" si="120"/>
        <v>0</v>
      </c>
    </row>
    <row r="17" ht="14.5">
      <c r="A17" t="s">
        <v>1243</v>
      </c>
      <c r="C17" s="144">
        <f>+'SP-mese'!C7-'SP-mese'!D7</f>
        <v>0</v>
      </c>
      <c r="D17" s="144">
        <f>+'SP-mese'!D7-'SP-mese'!E7</f>
        <v>0</v>
      </c>
      <c r="E17" s="144">
        <f>+'SP-mese'!E7-'SP-mese'!F7</f>
        <v>0</v>
      </c>
      <c r="F17" s="144">
        <f>+'SP-mese'!F7-'SP-mese'!G7</f>
        <v>0</v>
      </c>
      <c r="G17" s="144">
        <f>+'SP-mese'!G7-'SP-mese'!H7</f>
        <v>0</v>
      </c>
      <c r="H17" s="144">
        <f>+'SP-mese'!H7-'SP-mese'!I7</f>
        <v>0</v>
      </c>
      <c r="I17" s="144">
        <f>+'SP-mese'!I7-'SP-mese'!J7</f>
        <v>0</v>
      </c>
      <c r="J17" s="144">
        <f>+'SP-mese'!J7-'SP-mese'!K7</f>
        <v>0</v>
      </c>
      <c r="K17" s="144">
        <f>+'SP-mese'!K7-'SP-mese'!L7</f>
        <v>0</v>
      </c>
      <c r="L17" s="144">
        <f>+'SP-mese'!L7-'SP-mese'!M7</f>
        <v>0</v>
      </c>
      <c r="M17" s="144">
        <f>+'SP-mese'!M7-'SP-mese'!N7</f>
        <v>0</v>
      </c>
      <c r="N17" s="144">
        <f>+'SP-mese'!N7-'SP-mese'!O7</f>
        <v>0</v>
      </c>
      <c r="O17" s="144">
        <f>+'SP-mese'!O7-'SP-mese'!P7</f>
        <v>0</v>
      </c>
      <c r="P17" s="144">
        <f>+'SP-mese'!P7-'SP-mese'!Q7</f>
        <v>0</v>
      </c>
      <c r="Q17" s="144">
        <f>+'SP-mese'!Q7-'SP-mese'!R7</f>
        <v>0</v>
      </c>
      <c r="R17" s="144">
        <f>+'SP-mese'!R7-'SP-mese'!S7</f>
        <v>0</v>
      </c>
      <c r="S17" s="144">
        <f>+'SP-mese'!S7-'SP-mese'!T7</f>
        <v>0</v>
      </c>
      <c r="T17" s="144">
        <f>+'SP-mese'!T7-'SP-mese'!U7</f>
        <v>0</v>
      </c>
      <c r="U17" s="144">
        <f>+'SP-mese'!U7-'SP-mese'!V7</f>
        <v>0</v>
      </c>
      <c r="V17" s="144">
        <f>+'SP-mese'!V7-'SP-mese'!W7</f>
        <v>0</v>
      </c>
      <c r="W17" s="144">
        <f>+'SP-mese'!W7-'SP-mese'!X7</f>
        <v>0</v>
      </c>
      <c r="X17" s="144">
        <f>+'SP-mese'!X7-'SP-mese'!Y7</f>
        <v>0</v>
      </c>
      <c r="Y17" s="144">
        <f>+'SP-mese'!Y7-'SP-mese'!Z7</f>
        <v>0</v>
      </c>
      <c r="Z17" s="144">
        <f>+'SP-mese'!Z7-'SP-mese'!AA7</f>
        <v>0</v>
      </c>
      <c r="AA17" s="144">
        <f>+'SP-mese'!AA7-'SP-mese'!AB7</f>
        <v>0</v>
      </c>
      <c r="AB17" s="144">
        <f>+'SP-mese'!AB7-'SP-mese'!AC7</f>
        <v>0</v>
      </c>
      <c r="AC17" s="144">
        <f>+'SP-mese'!AC7-'SP-mese'!AD7</f>
        <v>0</v>
      </c>
      <c r="AD17" s="144">
        <f>+'SP-mese'!AD7-'SP-mese'!AE7</f>
        <v>0</v>
      </c>
      <c r="AE17" s="144">
        <f>+'SP-mese'!AE7-'SP-mese'!AF7</f>
        <v>0</v>
      </c>
      <c r="AF17" s="144">
        <f>+'SP-mese'!AF7-'SP-mese'!AG7</f>
        <v>0</v>
      </c>
      <c r="AG17" s="144">
        <f>+'SP-mese'!AG7-'SP-mese'!AH7</f>
        <v>0</v>
      </c>
      <c r="AH17" s="144">
        <f>+'SP-mese'!AH7-'SP-mese'!AI7</f>
        <v>0</v>
      </c>
      <c r="AI17" s="144">
        <f>+'SP-mese'!AI7-'SP-mese'!AJ7</f>
        <v>0</v>
      </c>
      <c r="AJ17" s="144">
        <f>+'SP-mese'!AJ7-'SP-mese'!AK7</f>
        <v>0</v>
      </c>
      <c r="AK17" s="144">
        <f>+'SP-mese'!AK7-'SP-mese'!AL7</f>
        <v>0</v>
      </c>
      <c r="AL17" s="144">
        <f>+'SP-mese'!AL7-'SP-mese'!AM7</f>
        <v>0</v>
      </c>
      <c r="AM17" s="144">
        <f>+'SP-mese'!AM7-'SP-mese'!AN7</f>
        <v>0</v>
      </c>
      <c r="AN17" s="144">
        <f>+'SP-mese'!AN7-'SP-mese'!AO7</f>
        <v>0</v>
      </c>
      <c r="AO17" s="144">
        <f>+'SP-mese'!AO7-'SP-mese'!AP7</f>
        <v>0</v>
      </c>
      <c r="AP17" s="144">
        <f>+'SP-mese'!AP7-'SP-mese'!AQ7</f>
        <v>0</v>
      </c>
      <c r="AQ17" s="144">
        <f>+'SP-mese'!AQ7-'SP-mese'!AR7</f>
        <v>0</v>
      </c>
      <c r="AR17" s="144">
        <f>+'SP-mese'!AR7-'SP-mese'!AS7</f>
        <v>0</v>
      </c>
      <c r="AS17" s="144">
        <f>+'SP-mese'!AS7-'SP-mese'!AT7</f>
        <v>0</v>
      </c>
      <c r="AT17" s="144">
        <f>+'SP-mese'!AT7-'SP-mese'!AU7</f>
        <v>0</v>
      </c>
      <c r="AU17" s="144">
        <f>+'SP-mese'!AU7-'SP-mese'!AV7</f>
        <v>0</v>
      </c>
      <c r="AV17" s="144">
        <f>+'SP-mese'!AV7-'SP-mese'!AW7</f>
        <v>0</v>
      </c>
      <c r="AW17" s="144">
        <f>+'SP-mese'!AW7-'SP-mese'!AX7</f>
        <v>0</v>
      </c>
      <c r="AX17" s="144">
        <f>+'SP-mese'!AX7-'SP-mese'!AY7</f>
        <v>0</v>
      </c>
      <c r="AY17" s="144">
        <f>+'SP-mese'!AY7-'SP-mese'!AZ7</f>
        <v>0</v>
      </c>
      <c r="AZ17" s="144">
        <f>+'SP-mese'!AZ7-'SP-mese'!BA7</f>
        <v>0</v>
      </c>
      <c r="BA17" s="144">
        <f>+'SP-mese'!BA7-'SP-mese'!BB7</f>
        <v>0</v>
      </c>
      <c r="BB17" s="144">
        <f>+'SP-mese'!BB7-'SP-mese'!BC7</f>
        <v>0</v>
      </c>
      <c r="BC17" s="144">
        <f>+'SP-mese'!BC7-'SP-mese'!BD7</f>
        <v>0</v>
      </c>
      <c r="BD17" s="144">
        <f>+'SP-mese'!BD7-'SP-mese'!BE7</f>
        <v>0</v>
      </c>
      <c r="BE17" s="144">
        <f>+'SP-mese'!BE7-'SP-mese'!BF7</f>
        <v>0</v>
      </c>
      <c r="BF17" s="144">
        <f>+'SP-mese'!BF7-'SP-mese'!BG7</f>
        <v>0</v>
      </c>
      <c r="BG17" s="144">
        <f>+'SP-mese'!BG7-'SP-mese'!BH7</f>
        <v>0</v>
      </c>
      <c r="BH17" s="144">
        <f>+'SP-mese'!BH7-'SP-mese'!BI7</f>
        <v>0</v>
      </c>
      <c r="BI17" s="144">
        <f>+'SP-mese'!BI7-'SP-mese'!BJ7</f>
        <v>0</v>
      </c>
      <c r="BJ17" s="144">
        <f>+'SP-mese'!BJ7-'SP-mese'!BK7</f>
        <v>0</v>
      </c>
      <c r="BK17" s="144">
        <f>+'SP-mese'!BK7-'SP-mese'!BL7</f>
        <v>0</v>
      </c>
      <c r="BL17" s="144">
        <f>+'SP-mese'!BL7-'SP-mese'!BM7</f>
        <v>0</v>
      </c>
      <c r="BM17" s="144">
        <f>+'SP-mese'!BM7-'SP-mese'!BN7</f>
        <v>0</v>
      </c>
      <c r="BN17" s="144">
        <f>+'SP-mese'!BN7-'SP-mese'!BO7</f>
        <v>0</v>
      </c>
      <c r="BO17" s="144">
        <f>+'SP-mese'!BO7-'SP-mese'!BP7</f>
        <v>0</v>
      </c>
      <c r="BP17" s="144">
        <f>+'SP-mese'!BP7-'SP-mese'!BQ7</f>
        <v>0</v>
      </c>
      <c r="BQ17" s="144">
        <f>+'SP-mese'!BQ7-'SP-mese'!BR7</f>
        <v>0</v>
      </c>
      <c r="BR17" s="144">
        <f>+'SP-mese'!BR7-'SP-mese'!BS7</f>
        <v>0</v>
      </c>
      <c r="BS17" s="144">
        <f>+'SP-mese'!BS7-'SP-mese'!BT7</f>
        <v>0</v>
      </c>
      <c r="BT17" s="144">
        <f>+'SP-mese'!BT7-'SP-mese'!BU7</f>
        <v>0</v>
      </c>
      <c r="BU17" s="144">
        <f>+'SP-mese'!BU7-'SP-mese'!BV7</f>
        <v>0</v>
      </c>
      <c r="BV17" s="144">
        <f>+'SP-mese'!BV7-'SP-mese'!BW7</f>
        <v>0</v>
      </c>
      <c r="BW17" s="144">
        <f>+'SP-mese'!BW7-'SP-mese'!BX7</f>
        <v>0</v>
      </c>
      <c r="BX17" s="144">
        <f>+'SP-mese'!BX7-'SP-mese'!BY7</f>
        <v>0</v>
      </c>
      <c r="BY17" s="144">
        <f>+'SP-mese'!BY7-'SP-mese'!BZ7</f>
        <v>0</v>
      </c>
      <c r="BZ17" s="144">
        <f>+'SP-mese'!BZ7-'SP-mese'!CA7</f>
        <v>0</v>
      </c>
      <c r="CA17" s="144">
        <f>+'SP-mese'!CA7-'SP-mese'!CB7</f>
        <v>0</v>
      </c>
      <c r="CB17" s="144">
        <f>+'SP-mese'!CB7-'SP-mese'!CC7</f>
        <v>0</v>
      </c>
      <c r="CC17" s="144">
        <f>+'SP-mese'!CC7-'SP-mese'!CD7</f>
        <v>0</v>
      </c>
      <c r="CD17" s="144">
        <f>+'SP-mese'!CD7-'SP-mese'!CE7</f>
        <v>0</v>
      </c>
      <c r="CE17" s="144">
        <f>+'SP-mese'!CE7-'SP-mese'!CF7</f>
        <v>0</v>
      </c>
      <c r="CF17" s="144">
        <f>+'SP-mese'!CF7-'SP-mese'!CG7</f>
        <v>0</v>
      </c>
      <c r="CG17" s="144">
        <f>+'SP-mese'!CG7-'SP-mese'!CH7</f>
        <v>0</v>
      </c>
      <c r="CH17" s="144">
        <f>+'SP-mese'!CH7-'SP-mese'!CI7</f>
        <v>0</v>
      </c>
      <c r="CI17" s="144">
        <f>+'SP-mese'!CI7-'SP-mese'!CJ7</f>
        <v>0</v>
      </c>
      <c r="CJ17" s="144">
        <f>+'SP-mese'!CJ7-'SP-mese'!CK7</f>
        <v>0</v>
      </c>
      <c r="CK17" s="144">
        <f>+'SP-mese'!CK7-'SP-mese'!CL7</f>
        <v>0</v>
      </c>
      <c r="CL17" s="144">
        <f>+'SP-mese'!CL7-'SP-mese'!CM7</f>
        <v>0</v>
      </c>
      <c r="CM17" s="144">
        <f>+'SP-mese'!CM7-'SP-mese'!CN7</f>
        <v>0</v>
      </c>
      <c r="CN17" s="144">
        <f>+'SP-mese'!CN7-'SP-mese'!CO7</f>
        <v>0</v>
      </c>
      <c r="CO17" s="144">
        <f>+'SP-mese'!CO7-'SP-mese'!CP7</f>
        <v>0</v>
      </c>
      <c r="CP17" s="144">
        <f>+'SP-mese'!CP7-'SP-mese'!CQ7</f>
        <v>0</v>
      </c>
      <c r="CQ17" s="144">
        <f>+'SP-mese'!CQ7-'SP-mese'!CR7</f>
        <v>0</v>
      </c>
      <c r="CR17" s="144">
        <f>+'SP-mese'!CR7-'SP-mese'!CS7</f>
        <v>0</v>
      </c>
      <c r="CS17" s="144">
        <f>+'SP-mese'!CS7-'SP-mese'!CT7</f>
        <v>0</v>
      </c>
      <c r="CT17" s="144">
        <f>+'SP-mese'!CT7-'SP-mese'!CU7</f>
        <v>0</v>
      </c>
      <c r="CU17" s="144">
        <f>+'SP-mese'!CU7-'SP-mese'!CV7</f>
        <v>0</v>
      </c>
      <c r="CV17" s="144">
        <f>+'SP-mese'!CV7-'SP-mese'!CW7</f>
        <v>0</v>
      </c>
      <c r="CW17" s="144">
        <f>+'SP-mese'!CW7-'SP-mese'!CX7</f>
        <v>0</v>
      </c>
      <c r="CX17" s="144">
        <f>+'SP-mese'!CX7-'SP-mese'!CY7</f>
        <v>0</v>
      </c>
      <c r="CY17" s="144">
        <f>+'SP-mese'!CY7-'SP-mese'!CZ7</f>
        <v>0</v>
      </c>
      <c r="CZ17" s="144">
        <f>+'SP-mese'!CZ7-'SP-mese'!DA7</f>
        <v>0</v>
      </c>
      <c r="DA17" s="144">
        <f>+'SP-mese'!DA7-'SP-mese'!DB7</f>
        <v>0</v>
      </c>
      <c r="DB17" s="144">
        <f>+'SP-mese'!DB7-'SP-mese'!DC7</f>
        <v>0</v>
      </c>
      <c r="DC17" s="144">
        <f>+'SP-mese'!DC7-'SP-mese'!DD7</f>
        <v>0</v>
      </c>
      <c r="DD17" s="144">
        <f>+'SP-mese'!DD7-'SP-mese'!DE7</f>
        <v>0</v>
      </c>
      <c r="DE17" s="144">
        <f>+'SP-mese'!DE7-'SP-mese'!DF7</f>
        <v>0</v>
      </c>
      <c r="DF17" s="144">
        <f>+'SP-mese'!DF7-'SP-mese'!DG7</f>
        <v>0</v>
      </c>
      <c r="DG17" s="144">
        <f>+'SP-mese'!DG7-'SP-mese'!DH7</f>
        <v>0</v>
      </c>
      <c r="DH17" s="144">
        <f>+'SP-mese'!DH7-'SP-mese'!DI7</f>
        <v>0</v>
      </c>
      <c r="DI17" s="144">
        <f>+'SP-mese'!DI7-'SP-mese'!DJ7</f>
        <v>0</v>
      </c>
      <c r="DJ17" s="144">
        <f>+'SP-mese'!DJ7-'SP-mese'!DK7</f>
        <v>0</v>
      </c>
      <c r="DK17" s="144">
        <f>+'SP-mese'!DK7-'SP-mese'!DL7</f>
        <v>0</v>
      </c>
      <c r="DL17" s="144">
        <f>+'SP-mese'!DL7-'SP-mese'!DM7</f>
        <v>0</v>
      </c>
      <c r="DM17" s="144">
        <f>+'SP-mese'!DM7-'SP-mese'!DN7</f>
        <v>0</v>
      </c>
      <c r="DN17" s="144">
        <f>+'SP-mese'!DN7-'SP-mese'!DO7</f>
        <v>0</v>
      </c>
      <c r="DO17" s="144">
        <f>+'SP-mese'!DO7-'SP-mese'!DP7</f>
        <v>0</v>
      </c>
      <c r="DP17" s="144">
        <f>+'SP-mese'!DP7-'SP-mese'!DQ7</f>
        <v>0</v>
      </c>
      <c r="DQ17" s="144">
        <f>+'SP-mese'!DQ7-'SP-mese'!DR7</f>
        <v>0</v>
      </c>
      <c r="DR17" s="144">
        <f>+'SP-mese'!DR7-'SP-mese'!DS7</f>
        <v>0</v>
      </c>
      <c r="DT17" s="144">
        <f t="shared" si="120"/>
        <v>0</v>
      </c>
      <c r="DU17" s="144">
        <f t="shared" si="120"/>
        <v>0</v>
      </c>
      <c r="DV17" s="144">
        <f t="shared" si="120"/>
        <v>0</v>
      </c>
      <c r="DW17" s="144">
        <f t="shared" si="120"/>
        <v>0</v>
      </c>
      <c r="DX17" s="144">
        <f t="shared" si="120"/>
        <v>0</v>
      </c>
      <c r="DY17" s="144">
        <f t="shared" si="120"/>
        <v>0</v>
      </c>
      <c r="DZ17" s="144">
        <f t="shared" si="120"/>
        <v>0</v>
      </c>
      <c r="EA17" s="144">
        <f t="shared" si="120"/>
        <v>0</v>
      </c>
      <c r="EB17" s="144">
        <f t="shared" si="120"/>
        <v>0</v>
      </c>
      <c r="EC17" s="144">
        <f t="shared" si="120"/>
        <v>0</v>
      </c>
    </row>
    <row r="18" ht="14.5">
      <c r="A18" t="s">
        <v>1244</v>
      </c>
      <c r="C18" s="144">
        <f>+'SP-mese'!D55-'SP-mese'!C55</f>
        <v>0</v>
      </c>
      <c r="D18" s="144">
        <f>+'SP-mese'!E55-'SP-mese'!D55</f>
        <v>0</v>
      </c>
      <c r="E18" s="144">
        <f>+'SP-mese'!F55-'SP-mese'!E55</f>
        <v>0</v>
      </c>
      <c r="F18" s="144">
        <f>+'SP-mese'!G55-'SP-mese'!F55</f>
        <v>0</v>
      </c>
      <c r="G18" s="144">
        <f>+'SP-mese'!H55-'SP-mese'!G55</f>
        <v>0</v>
      </c>
      <c r="H18" s="144">
        <f>+'SP-mese'!I55-'SP-mese'!H55</f>
        <v>0</v>
      </c>
      <c r="I18" s="144">
        <f>+'SP-mese'!J55-'SP-mese'!I55</f>
        <v>0</v>
      </c>
      <c r="J18" s="144">
        <f>+'SP-mese'!K55-'SP-mese'!J55</f>
        <v>0</v>
      </c>
      <c r="K18" s="144">
        <f>+'SP-mese'!L55-'SP-mese'!K55</f>
        <v>0</v>
      </c>
      <c r="L18" s="144">
        <f>+'SP-mese'!M55-'SP-mese'!L55</f>
        <v>0</v>
      </c>
      <c r="M18" s="144">
        <f>+'SP-mese'!N55-'SP-mese'!M55</f>
        <v>0</v>
      </c>
      <c r="N18" s="144">
        <f>+'SP-mese'!O55-'SP-mese'!N55</f>
        <v>0</v>
      </c>
      <c r="O18" s="144">
        <f>+'SP-mese'!P55-'SP-mese'!O55</f>
        <v>0</v>
      </c>
      <c r="P18" s="144">
        <f>+'SP-mese'!Q55-'SP-mese'!P55</f>
        <v>0</v>
      </c>
      <c r="Q18" s="144">
        <f>+'SP-mese'!R55-'SP-mese'!Q55</f>
        <v>0</v>
      </c>
      <c r="R18" s="144">
        <f>+'SP-mese'!S55-'SP-mese'!R55</f>
        <v>0</v>
      </c>
      <c r="S18" s="144">
        <f>+'SP-mese'!T55-'SP-mese'!S55</f>
        <v>0</v>
      </c>
      <c r="T18" s="144">
        <f>+'SP-mese'!U55-'SP-mese'!T55</f>
        <v>0</v>
      </c>
      <c r="U18" s="144">
        <f>+'SP-mese'!V55-'SP-mese'!U55</f>
        <v>0</v>
      </c>
      <c r="V18" s="144">
        <f>+'SP-mese'!W55-'SP-mese'!V55</f>
        <v>0</v>
      </c>
      <c r="W18" s="144">
        <f>+'SP-mese'!X55-'SP-mese'!W55</f>
        <v>0</v>
      </c>
      <c r="X18" s="144">
        <f>+'SP-mese'!Y55-'SP-mese'!X55</f>
        <v>0</v>
      </c>
      <c r="Y18" s="144">
        <f>+'SP-mese'!Z55-'SP-mese'!Y55</f>
        <v>0</v>
      </c>
      <c r="Z18" s="144">
        <f>+'SP-mese'!AA55-'SP-mese'!Z55</f>
        <v>0</v>
      </c>
      <c r="AA18" s="144">
        <f>+'SP-mese'!AB55-'SP-mese'!AA55</f>
        <v>0</v>
      </c>
      <c r="AB18" s="144">
        <f>+'SP-mese'!AC55-'SP-mese'!AB55</f>
        <v>0</v>
      </c>
      <c r="AC18" s="144">
        <f>+'SP-mese'!AD55-'SP-mese'!AC55</f>
        <v>0</v>
      </c>
      <c r="AD18" s="144">
        <f>+'SP-mese'!AE55-'SP-mese'!AD55</f>
        <v>0</v>
      </c>
      <c r="AE18" s="144">
        <f>+'SP-mese'!AF55-'SP-mese'!AE55</f>
        <v>0</v>
      </c>
      <c r="AF18" s="144">
        <f>+'SP-mese'!AG55-'SP-mese'!AF55</f>
        <v>0</v>
      </c>
      <c r="AG18" s="144">
        <f>+'SP-mese'!AH55-'SP-mese'!AG55</f>
        <v>0</v>
      </c>
      <c r="AH18" s="144">
        <f>+'SP-mese'!AI55-'SP-mese'!AH55</f>
        <v>0</v>
      </c>
      <c r="AI18" s="144">
        <f>+'SP-mese'!AJ55-'SP-mese'!AI55</f>
        <v>0</v>
      </c>
      <c r="AJ18" s="144">
        <f>+'SP-mese'!AK55-'SP-mese'!AJ55</f>
        <v>0</v>
      </c>
      <c r="AK18" s="144">
        <f>+'SP-mese'!AL55-'SP-mese'!AK55</f>
        <v>0</v>
      </c>
      <c r="AL18" s="144">
        <f>+'SP-mese'!AM55-'SP-mese'!AL55</f>
        <v>0</v>
      </c>
      <c r="AM18" s="144">
        <f>+'SP-mese'!AN55-'SP-mese'!AM55</f>
        <v>0</v>
      </c>
      <c r="AN18" s="144">
        <f>+'SP-mese'!AO55-'SP-mese'!AN55</f>
        <v>0</v>
      </c>
      <c r="AO18" s="144">
        <f>+'SP-mese'!AP55-'SP-mese'!AO55</f>
        <v>0</v>
      </c>
      <c r="AP18" s="144">
        <f>+'SP-mese'!AQ55-'SP-mese'!AP55</f>
        <v>0</v>
      </c>
      <c r="AQ18" s="144">
        <f>+'SP-mese'!AR55-'SP-mese'!AQ55</f>
        <v>0</v>
      </c>
      <c r="AR18" s="144">
        <f>+'SP-mese'!AS55-'SP-mese'!AR55</f>
        <v>0</v>
      </c>
      <c r="AS18" s="144">
        <f>+'SP-mese'!AT55-'SP-mese'!AS55</f>
        <v>0</v>
      </c>
      <c r="AT18" s="144">
        <f>+'SP-mese'!AU55-'SP-mese'!AT55</f>
        <v>0</v>
      </c>
      <c r="AU18" s="144">
        <f>+'SP-mese'!AV55-'SP-mese'!AU55</f>
        <v>0</v>
      </c>
      <c r="AV18" s="144">
        <f>+'SP-mese'!AW55-'SP-mese'!AV55</f>
        <v>0</v>
      </c>
      <c r="AW18" s="144">
        <f>+'SP-mese'!AX55-'SP-mese'!AW55</f>
        <v>0</v>
      </c>
      <c r="AX18" s="144">
        <f>+'SP-mese'!AY55-'SP-mese'!AX55</f>
        <v>0</v>
      </c>
      <c r="AY18" s="144">
        <f>+'SP-mese'!AZ55-'SP-mese'!AY55</f>
        <v>0</v>
      </c>
      <c r="AZ18" s="144">
        <f>+'SP-mese'!BA55-'SP-mese'!AZ55</f>
        <v>0</v>
      </c>
      <c r="BA18" s="144">
        <f>+'SP-mese'!BB55-'SP-mese'!BA55</f>
        <v>0</v>
      </c>
      <c r="BB18" s="144">
        <f>+'SP-mese'!BC55-'SP-mese'!BB55</f>
        <v>0</v>
      </c>
      <c r="BC18" s="144">
        <f>+'SP-mese'!BD55-'SP-mese'!BC55</f>
        <v>0</v>
      </c>
      <c r="BD18" s="144">
        <f>+'SP-mese'!BE55-'SP-mese'!BD55</f>
        <v>0</v>
      </c>
      <c r="BE18" s="144">
        <f>+'SP-mese'!BF55-'SP-mese'!BE55</f>
        <v>0</v>
      </c>
      <c r="BF18" s="144">
        <f>+'SP-mese'!BG55-'SP-mese'!BF55</f>
        <v>0</v>
      </c>
      <c r="BG18" s="144">
        <f>+'SP-mese'!BH55-'SP-mese'!BG55</f>
        <v>0</v>
      </c>
      <c r="BH18" s="144">
        <f>+'SP-mese'!BI55-'SP-mese'!BH55</f>
        <v>0</v>
      </c>
      <c r="BI18" s="144">
        <f>+'SP-mese'!BJ55-'SP-mese'!BI55</f>
        <v>0</v>
      </c>
      <c r="BJ18" s="144">
        <f>+'SP-mese'!BK55-'SP-mese'!BJ55</f>
        <v>0</v>
      </c>
      <c r="BK18" s="144">
        <f>+'SP-mese'!BL55-'SP-mese'!BK55</f>
        <v>0</v>
      </c>
      <c r="BL18" s="144">
        <f>+'SP-mese'!BM55-'SP-mese'!BL55</f>
        <v>0</v>
      </c>
      <c r="BM18" s="144">
        <f>+'SP-mese'!BN55-'SP-mese'!BM55</f>
        <v>0</v>
      </c>
      <c r="BN18" s="144">
        <f>+'SP-mese'!BO55-'SP-mese'!BN55</f>
        <v>0</v>
      </c>
      <c r="BO18" s="144">
        <f>+'SP-mese'!BP55-'SP-mese'!BO55</f>
        <v>0</v>
      </c>
      <c r="BP18" s="144">
        <f>+'SP-mese'!BQ55-'SP-mese'!BP55</f>
        <v>0</v>
      </c>
      <c r="BQ18" s="144">
        <f>+'SP-mese'!BR55-'SP-mese'!BQ55</f>
        <v>0</v>
      </c>
      <c r="BR18" s="144">
        <f>+'SP-mese'!BS55-'SP-mese'!BR55</f>
        <v>0</v>
      </c>
      <c r="BS18" s="144">
        <f>+'SP-mese'!BT55-'SP-mese'!BS55</f>
        <v>0</v>
      </c>
      <c r="BT18" s="144">
        <f>+'SP-mese'!BU55-'SP-mese'!BT55</f>
        <v>0</v>
      </c>
      <c r="BU18" s="144">
        <f>+'SP-mese'!BV55-'SP-mese'!BU55</f>
        <v>0</v>
      </c>
      <c r="BV18" s="144">
        <f>+'SP-mese'!BW55-'SP-mese'!BV55</f>
        <v>0</v>
      </c>
      <c r="BW18" s="144">
        <f>+'SP-mese'!BX55-'SP-mese'!BW55</f>
        <v>0</v>
      </c>
      <c r="BX18" s="144">
        <f>+'SP-mese'!BY55-'SP-mese'!BX55</f>
        <v>0</v>
      </c>
      <c r="BY18" s="144">
        <f>+'SP-mese'!BZ55-'SP-mese'!BY55</f>
        <v>0</v>
      </c>
      <c r="BZ18" s="144">
        <f>+'SP-mese'!CA55-'SP-mese'!BZ55</f>
        <v>0</v>
      </c>
      <c r="CA18" s="144">
        <f>+'SP-mese'!CB55-'SP-mese'!CA55</f>
        <v>0</v>
      </c>
      <c r="CB18" s="144">
        <f>+'SP-mese'!CC55-'SP-mese'!CB55</f>
        <v>0</v>
      </c>
      <c r="CC18" s="144">
        <f>+'SP-mese'!CD55-'SP-mese'!CC55</f>
        <v>0</v>
      </c>
      <c r="CD18" s="144">
        <f>+'SP-mese'!CE55-'SP-mese'!CD55</f>
        <v>0</v>
      </c>
      <c r="CE18" s="144">
        <f>+'SP-mese'!CF55-'SP-mese'!CE55</f>
        <v>0</v>
      </c>
      <c r="CF18" s="144">
        <f>+'SP-mese'!CG55-'SP-mese'!CF55</f>
        <v>0</v>
      </c>
      <c r="CG18" s="144">
        <f>+'SP-mese'!CH55-'SP-mese'!CG55</f>
        <v>0</v>
      </c>
      <c r="CH18" s="144">
        <f>+'SP-mese'!CI55-'SP-mese'!CH55</f>
        <v>0</v>
      </c>
      <c r="CI18" s="144">
        <f>+'SP-mese'!CJ55-'SP-mese'!CI55</f>
        <v>0</v>
      </c>
      <c r="CJ18" s="144">
        <f>+'SP-mese'!CK55-'SP-mese'!CJ55</f>
        <v>0</v>
      </c>
      <c r="CK18" s="144">
        <f>+'SP-mese'!CL55-'SP-mese'!CK55</f>
        <v>0</v>
      </c>
      <c r="CL18" s="144">
        <f>+'SP-mese'!CM55-'SP-mese'!CL55</f>
        <v>0</v>
      </c>
      <c r="CM18" s="144">
        <f>+'SP-mese'!CN55-'SP-mese'!CM55</f>
        <v>0</v>
      </c>
      <c r="CN18" s="144">
        <f>+'SP-mese'!CO55-'SP-mese'!CN55</f>
        <v>0</v>
      </c>
      <c r="CO18" s="144">
        <f>+'SP-mese'!CP55-'SP-mese'!CO55</f>
        <v>0</v>
      </c>
      <c r="CP18" s="144">
        <f>+'SP-mese'!CQ55-'SP-mese'!CP55</f>
        <v>0</v>
      </c>
      <c r="CQ18" s="144">
        <f>+'SP-mese'!CR55-'SP-mese'!CQ55</f>
        <v>0</v>
      </c>
      <c r="CR18" s="144">
        <f>+'SP-mese'!CS55-'SP-mese'!CR55</f>
        <v>0</v>
      </c>
      <c r="CS18" s="144">
        <f>+'SP-mese'!CT55-'SP-mese'!CS55</f>
        <v>0</v>
      </c>
      <c r="CT18" s="144">
        <f>+'SP-mese'!CU55-'SP-mese'!CT55</f>
        <v>0</v>
      </c>
      <c r="CU18" s="144">
        <f>+'SP-mese'!CV55-'SP-mese'!CU55</f>
        <v>0</v>
      </c>
      <c r="CV18" s="144">
        <f>+'SP-mese'!CW55-'SP-mese'!CV55</f>
        <v>0</v>
      </c>
      <c r="CW18" s="144">
        <f>+'SP-mese'!CX55-'SP-mese'!CW55</f>
        <v>0</v>
      </c>
      <c r="CX18" s="144">
        <f>+'SP-mese'!CY55-'SP-mese'!CX55</f>
        <v>0</v>
      </c>
      <c r="CY18" s="144">
        <f>+'SP-mese'!CZ55-'SP-mese'!CY55</f>
        <v>0</v>
      </c>
      <c r="CZ18" s="144">
        <f>+'SP-mese'!DA55-'SP-mese'!CZ55</f>
        <v>0</v>
      </c>
      <c r="DA18" s="144">
        <f>+'SP-mese'!DB55-'SP-mese'!DA55</f>
        <v>0</v>
      </c>
      <c r="DB18" s="144">
        <f>+'SP-mese'!DC55-'SP-mese'!DB55</f>
        <v>0</v>
      </c>
      <c r="DC18" s="144">
        <f>+'SP-mese'!DD55-'SP-mese'!DC55</f>
        <v>0</v>
      </c>
      <c r="DD18" s="144">
        <f>+'SP-mese'!DE55-'SP-mese'!DD55</f>
        <v>0</v>
      </c>
      <c r="DE18" s="144">
        <f>+'SP-mese'!DF55-'SP-mese'!DE55</f>
        <v>0</v>
      </c>
      <c r="DF18" s="144">
        <f>+'SP-mese'!DG55-'SP-mese'!DF55</f>
        <v>0</v>
      </c>
      <c r="DG18" s="144">
        <f>+'SP-mese'!DH55-'SP-mese'!DG55</f>
        <v>0</v>
      </c>
      <c r="DH18" s="144">
        <f>+'SP-mese'!DI55-'SP-mese'!DH55</f>
        <v>0</v>
      </c>
      <c r="DI18" s="144">
        <f>+'SP-mese'!DJ55-'SP-mese'!DI55</f>
        <v>0</v>
      </c>
      <c r="DJ18" s="144">
        <f>+'SP-mese'!DK55-'SP-mese'!DJ55</f>
        <v>0</v>
      </c>
      <c r="DK18" s="144">
        <f>+'SP-mese'!DL55-'SP-mese'!DK55</f>
        <v>0</v>
      </c>
      <c r="DL18" s="144">
        <f>+'SP-mese'!DM55-'SP-mese'!DL55</f>
        <v>0</v>
      </c>
      <c r="DM18" s="144">
        <f>+'SP-mese'!DN55-'SP-mese'!DM55</f>
        <v>0</v>
      </c>
      <c r="DN18" s="144">
        <f>+'SP-mese'!DO55-'SP-mese'!DN55</f>
        <v>0</v>
      </c>
      <c r="DO18" s="144">
        <f>+'SP-mese'!DP55-'SP-mese'!DO55</f>
        <v>0</v>
      </c>
      <c r="DP18" s="144">
        <f>+'SP-mese'!DQ55-'SP-mese'!DP55</f>
        <v>0</v>
      </c>
      <c r="DQ18" s="144">
        <f>+'SP-mese'!DR55-'SP-mese'!DQ55</f>
        <v>0</v>
      </c>
      <c r="DR18" s="144">
        <f>+'SP-mese'!DS55-'SP-mese'!DR55</f>
        <v>0</v>
      </c>
      <c r="DT18" s="144">
        <f t="shared" si="120"/>
        <v>0</v>
      </c>
      <c r="DU18" s="144">
        <f t="shared" si="120"/>
        <v>0</v>
      </c>
      <c r="DV18" s="144">
        <f t="shared" si="120"/>
        <v>0</v>
      </c>
      <c r="DW18" s="144">
        <f t="shared" si="120"/>
        <v>0</v>
      </c>
      <c r="DX18" s="144">
        <f t="shared" si="120"/>
        <v>0</v>
      </c>
      <c r="DY18" s="144">
        <f t="shared" si="120"/>
        <v>0</v>
      </c>
      <c r="DZ18" s="144">
        <f t="shared" si="120"/>
        <v>0</v>
      </c>
      <c r="EA18" s="144">
        <f t="shared" si="120"/>
        <v>0</v>
      </c>
      <c r="EB18" s="144">
        <f t="shared" si="120"/>
        <v>0</v>
      </c>
      <c r="EC18" s="144">
        <f t="shared" si="120"/>
        <v>0</v>
      </c>
    </row>
    <row r="19" thickBot="1">
      <c r="A19" t="s">
        <v>1245</v>
      </c>
      <c r="C19" s="144">
        <f>+'SP-mese'!C8+'SP-mese'!C10+'SP-mese'!C11-'SP-mese'!D8-'SP-mese'!D10-'SP-mese'!D11+'SP-mese'!D58+'SP-mese'!D59+'SP-mese'!D60+'SP-mese'!D62-'SP-mese'!C62-'SP-mese'!C60-'SP-mese'!C59-'SP-mese'!C58</f>
        <v>0</v>
      </c>
      <c r="D19" s="144">
        <f>+'SP-mese'!D8+'SP-mese'!D10+'SP-mese'!D11-'SP-mese'!E8-'SP-mese'!E10-'SP-mese'!E11+'SP-mese'!E58+'SP-mese'!E59+'SP-mese'!E60+'SP-mese'!E62-'SP-mese'!D62-'SP-mese'!D60-'SP-mese'!D59-'SP-mese'!D58</f>
        <v>0</v>
      </c>
      <c r="E19" s="144">
        <f>+'SP-mese'!E8+'SP-mese'!E10+'SP-mese'!E11-'SP-mese'!F8-'SP-mese'!F10-'SP-mese'!F11+'SP-mese'!F58+'SP-mese'!F59+'SP-mese'!F60+'SP-mese'!F62-'SP-mese'!E62-'SP-mese'!E60-'SP-mese'!E59-'SP-mese'!E58</f>
        <v>0</v>
      </c>
      <c r="F19" s="144">
        <f>+'SP-mese'!F8+'SP-mese'!F10+'SP-mese'!F11-'SP-mese'!G8-'SP-mese'!G10-'SP-mese'!G11+'SP-mese'!G58+'SP-mese'!G59+'SP-mese'!G60+'SP-mese'!G62-'SP-mese'!F62-'SP-mese'!F60-'SP-mese'!F59-'SP-mese'!F58</f>
        <v>0</v>
      </c>
      <c r="G19" s="144">
        <f>+'SP-mese'!G8+'SP-mese'!G10+'SP-mese'!G11-'SP-mese'!H8-'SP-mese'!H10-'SP-mese'!H11+'SP-mese'!H58+'SP-mese'!H59+'SP-mese'!H60+'SP-mese'!H62-'SP-mese'!G62-'SP-mese'!G60-'SP-mese'!G59-'SP-mese'!G58</f>
        <v>0</v>
      </c>
      <c r="H19" s="144">
        <f>+'SP-mese'!H8+'SP-mese'!H10+'SP-mese'!H11-'SP-mese'!I8-'SP-mese'!I10-'SP-mese'!I11+'SP-mese'!I58+'SP-mese'!I59+'SP-mese'!I60+'SP-mese'!I62-'SP-mese'!H62-'SP-mese'!H60-'SP-mese'!H59-'SP-mese'!H58</f>
        <v>0</v>
      </c>
      <c r="I19" s="144">
        <f>+'SP-mese'!I8+'SP-mese'!I10+'SP-mese'!I11-'SP-mese'!J8-'SP-mese'!J10-'SP-mese'!J11+'SP-mese'!J58+'SP-mese'!J59+'SP-mese'!J60+'SP-mese'!J62-'SP-mese'!I62-'SP-mese'!I60-'SP-mese'!I59-'SP-mese'!I58</f>
        <v>0</v>
      </c>
      <c r="J19" s="144">
        <f>+'SP-mese'!J8+'SP-mese'!J10+'SP-mese'!J11-'SP-mese'!K8-'SP-mese'!K10-'SP-mese'!K11+'SP-mese'!K58+'SP-mese'!K59+'SP-mese'!K60+'SP-mese'!K62-'SP-mese'!J62-'SP-mese'!J60-'SP-mese'!J59-'SP-mese'!J58</f>
        <v>0</v>
      </c>
      <c r="K19" s="144">
        <f>+'SP-mese'!K8+'SP-mese'!K10+'SP-mese'!K11-'SP-mese'!L8-'SP-mese'!L10-'SP-mese'!L11+'SP-mese'!L58+'SP-mese'!L59+'SP-mese'!L60+'SP-mese'!L62-'SP-mese'!K62-'SP-mese'!K60-'SP-mese'!K59-'SP-mese'!K58</f>
        <v>0</v>
      </c>
      <c r="L19" s="144">
        <f>+'SP-mese'!L8+'SP-mese'!L10+'SP-mese'!L11-'SP-mese'!M8-'SP-mese'!M10-'SP-mese'!M11+'SP-mese'!M58+'SP-mese'!M59+'SP-mese'!M60+'SP-mese'!M62-'SP-mese'!L62-'SP-mese'!L60-'SP-mese'!L59-'SP-mese'!L58</f>
        <v>0</v>
      </c>
      <c r="M19" s="144">
        <f>+'SP-mese'!M8+'SP-mese'!M10+'SP-mese'!M11-'SP-mese'!N8-'SP-mese'!N10-'SP-mese'!N11+'SP-mese'!N58+'SP-mese'!N59+'SP-mese'!N60+'SP-mese'!N62-'SP-mese'!M62-'SP-mese'!M60-'SP-mese'!M59-'SP-mese'!M58</f>
        <v>0</v>
      </c>
      <c r="N19" s="144">
        <f>+'SP-mese'!N8+'SP-mese'!N10+'SP-mese'!N11-'SP-mese'!O8-'SP-mese'!O10-'SP-mese'!O11+'SP-mese'!O58+'SP-mese'!O59+'SP-mese'!O60+'SP-mese'!O62-'SP-mese'!N62-'SP-mese'!N60-'SP-mese'!N59-'SP-mese'!N58</f>
        <v>0</v>
      </c>
      <c r="O19" s="144">
        <f>+'SP-mese'!O8+'SP-mese'!O10+'SP-mese'!O11-'SP-mese'!P8-'SP-mese'!P10-'SP-mese'!P11+'SP-mese'!P58+'SP-mese'!P59+'SP-mese'!P60+'SP-mese'!P62-'SP-mese'!O62-'SP-mese'!O60-'SP-mese'!O59-'SP-mese'!O58</f>
        <v>0</v>
      </c>
      <c r="P19" s="144">
        <f>+'SP-mese'!P8+'SP-mese'!P10+'SP-mese'!P11-'SP-mese'!Q8-'SP-mese'!Q10-'SP-mese'!Q11+'SP-mese'!Q58+'SP-mese'!Q59+'SP-mese'!Q60+'SP-mese'!Q62-'SP-mese'!P62-'SP-mese'!P60-'SP-mese'!P59-'SP-mese'!P58</f>
        <v>0</v>
      </c>
      <c r="Q19" s="144">
        <f>+'SP-mese'!Q8+'SP-mese'!Q10+'SP-mese'!Q11-'SP-mese'!R8-'SP-mese'!R10-'SP-mese'!R11+'SP-mese'!R58+'SP-mese'!R59+'SP-mese'!R60+'SP-mese'!R62-'SP-mese'!Q62-'SP-mese'!Q60-'SP-mese'!Q59-'SP-mese'!Q58</f>
        <v>0</v>
      </c>
      <c r="R19" s="144">
        <f>+'SP-mese'!R8+'SP-mese'!R10+'SP-mese'!R11-'SP-mese'!S8-'SP-mese'!S10-'SP-mese'!S11+'SP-mese'!S58+'SP-mese'!S59+'SP-mese'!S60+'SP-mese'!S62-'SP-mese'!R62-'SP-mese'!R60-'SP-mese'!R59-'SP-mese'!R58</f>
        <v>0</v>
      </c>
      <c r="S19" s="144">
        <f>+'SP-mese'!S8+'SP-mese'!S10+'SP-mese'!S11-'SP-mese'!T8-'SP-mese'!T10-'SP-mese'!T11+'SP-mese'!T58+'SP-mese'!T59+'SP-mese'!T60+'SP-mese'!T62-'SP-mese'!S62-'SP-mese'!S60-'SP-mese'!S59-'SP-mese'!S58</f>
        <v>0</v>
      </c>
      <c r="T19" s="144">
        <f>+'SP-mese'!T8+'SP-mese'!T10+'SP-mese'!T11-'SP-mese'!U8-'SP-mese'!U10-'SP-mese'!U11+'SP-mese'!U58+'SP-mese'!U59+'SP-mese'!U60+'SP-mese'!U62-'SP-mese'!T62-'SP-mese'!T60-'SP-mese'!T59-'SP-mese'!T58</f>
        <v>0</v>
      </c>
      <c r="U19" s="144">
        <f>+'SP-mese'!U8+'SP-mese'!U10+'SP-mese'!U11-'SP-mese'!V8-'SP-mese'!V10-'SP-mese'!V11+'SP-mese'!V58+'SP-mese'!V59+'SP-mese'!V60+'SP-mese'!V62-'SP-mese'!U62-'SP-mese'!U60-'SP-mese'!U59-'SP-mese'!U58</f>
        <v>0</v>
      </c>
      <c r="V19" s="144">
        <f>+'SP-mese'!V8+'SP-mese'!V10+'SP-mese'!V11-'SP-mese'!W8-'SP-mese'!W10-'SP-mese'!W11+'SP-mese'!W58+'SP-mese'!W59+'SP-mese'!W60+'SP-mese'!W62-'SP-mese'!V62-'SP-mese'!V60-'SP-mese'!V59-'SP-mese'!V58</f>
        <v>0</v>
      </c>
      <c r="W19" s="144">
        <f>+'SP-mese'!W8+'SP-mese'!W10+'SP-mese'!W11-'SP-mese'!X8-'SP-mese'!X10-'SP-mese'!X11+'SP-mese'!X58+'SP-mese'!X59+'SP-mese'!X60+'SP-mese'!X62-'SP-mese'!W62-'SP-mese'!W60-'SP-mese'!W59-'SP-mese'!W58</f>
        <v>0</v>
      </c>
      <c r="X19" s="144">
        <f>+'SP-mese'!X8+'SP-mese'!X10+'SP-mese'!X11-'SP-mese'!Y8-'SP-mese'!Y10-'SP-mese'!Y11+'SP-mese'!Y58+'SP-mese'!Y59+'SP-mese'!Y60+'SP-mese'!Y62-'SP-mese'!X62-'SP-mese'!X60-'SP-mese'!X59-'SP-mese'!X58</f>
        <v>0</v>
      </c>
      <c r="Y19" s="144">
        <f>+'SP-mese'!Y8+'SP-mese'!Y10+'SP-mese'!Y11-'SP-mese'!Z8-'SP-mese'!Z10-'SP-mese'!Z11+'SP-mese'!Z58+'SP-mese'!Z59+'SP-mese'!Z60+'SP-mese'!Z62-'SP-mese'!Y62-'SP-mese'!Y60-'SP-mese'!Y59-'SP-mese'!Y58</f>
        <v>0</v>
      </c>
      <c r="Z19" s="144">
        <f>+'SP-mese'!Z8+'SP-mese'!Z10+'SP-mese'!Z11-'SP-mese'!AA8-'SP-mese'!AA10-'SP-mese'!AA11+'SP-mese'!AA58+'SP-mese'!AA59+'SP-mese'!AA60+'SP-mese'!AA62-'SP-mese'!Z62-'SP-mese'!Z60-'SP-mese'!Z59-'SP-mese'!Z58</f>
        <v>0</v>
      </c>
      <c r="AA19" s="144">
        <f>+'SP-mese'!AA8+'SP-mese'!AA10+'SP-mese'!AA11-'SP-mese'!AB8-'SP-mese'!AB10-'SP-mese'!AB11+'SP-mese'!AB58+'SP-mese'!AB59+'SP-mese'!AB60+'SP-mese'!AB62-'SP-mese'!AA62-'SP-mese'!AA60-'SP-mese'!AA59-'SP-mese'!AA58</f>
        <v>0</v>
      </c>
      <c r="AB19" s="144">
        <f>+'SP-mese'!AB8+'SP-mese'!AB10+'SP-mese'!AB11-'SP-mese'!AC8-'SP-mese'!AC10-'SP-mese'!AC11+'SP-mese'!AC58+'SP-mese'!AC59+'SP-mese'!AC60+'SP-mese'!AC62-'SP-mese'!AB62-'SP-mese'!AB60-'SP-mese'!AB59-'SP-mese'!AB58</f>
        <v>0</v>
      </c>
      <c r="AC19" s="144">
        <f>+'SP-mese'!AC8+'SP-mese'!AC10+'SP-mese'!AC11-'SP-mese'!AD8-'SP-mese'!AD10-'SP-mese'!AD11+'SP-mese'!AD58+'SP-mese'!AD59+'SP-mese'!AD60+'SP-mese'!AD62-'SP-mese'!AC62-'SP-mese'!AC60-'SP-mese'!AC59-'SP-mese'!AC58</f>
        <v>0</v>
      </c>
      <c r="AD19" s="144">
        <f>+'SP-mese'!AD8+'SP-mese'!AD10+'SP-mese'!AD11-'SP-mese'!AE8-'SP-mese'!AE10-'SP-mese'!AE11+'SP-mese'!AE58+'SP-mese'!AE59+'SP-mese'!AE60+'SP-mese'!AE62-'SP-mese'!AD62-'SP-mese'!AD60-'SP-mese'!AD59-'SP-mese'!AD58</f>
        <v>0</v>
      </c>
      <c r="AE19" s="144">
        <f>+'SP-mese'!AE8+'SP-mese'!AE10+'SP-mese'!AE11-'SP-mese'!AF8-'SP-mese'!AF10-'SP-mese'!AF11+'SP-mese'!AF58+'SP-mese'!AF59+'SP-mese'!AF60+'SP-mese'!AF62-'SP-mese'!AE62-'SP-mese'!AE60-'SP-mese'!AE59-'SP-mese'!AE58</f>
        <v>0</v>
      </c>
      <c r="AF19" s="144">
        <f>+'SP-mese'!AF8+'SP-mese'!AF10+'SP-mese'!AF11-'SP-mese'!AG8-'SP-mese'!AG10-'SP-mese'!AG11+'SP-mese'!AG58+'SP-mese'!AG59+'SP-mese'!AG60+'SP-mese'!AG62-'SP-mese'!AF62-'SP-mese'!AF60-'SP-mese'!AF59-'SP-mese'!AF58</f>
        <v>0</v>
      </c>
      <c r="AG19" s="144">
        <f>+'SP-mese'!AG8+'SP-mese'!AG10+'SP-mese'!AG11-'SP-mese'!AH8-'SP-mese'!AH10-'SP-mese'!AH11+'SP-mese'!AH58+'SP-mese'!AH59+'SP-mese'!AH60+'SP-mese'!AH62-'SP-mese'!AG62-'SP-mese'!AG60-'SP-mese'!AG59-'SP-mese'!AG58</f>
        <v>0</v>
      </c>
      <c r="AH19" s="144">
        <f>+'SP-mese'!AH8+'SP-mese'!AH10+'SP-mese'!AH11-'SP-mese'!AI8-'SP-mese'!AI10-'SP-mese'!AI11+'SP-mese'!AI58+'SP-mese'!AI59+'SP-mese'!AI60+'SP-mese'!AI62-'SP-mese'!AH62-'SP-mese'!AH60-'SP-mese'!AH59-'SP-mese'!AH58</f>
        <v>0</v>
      </c>
      <c r="AI19" s="144">
        <f>+'SP-mese'!AI8+'SP-mese'!AI10+'SP-mese'!AI11-'SP-mese'!AJ8-'SP-mese'!AJ10-'SP-mese'!AJ11+'SP-mese'!AJ58+'SP-mese'!AJ59+'SP-mese'!AJ60+'SP-mese'!AJ62-'SP-mese'!AI62-'SP-mese'!AI60-'SP-mese'!AI59-'SP-mese'!AI58</f>
        <v>0</v>
      </c>
      <c r="AJ19" s="144">
        <f>+'SP-mese'!AJ8+'SP-mese'!AJ10+'SP-mese'!AJ11-'SP-mese'!AK8-'SP-mese'!AK10-'SP-mese'!AK11+'SP-mese'!AK58+'SP-mese'!AK59+'SP-mese'!AK60+'SP-mese'!AK62-'SP-mese'!AJ62-'SP-mese'!AJ60-'SP-mese'!AJ59-'SP-mese'!AJ58</f>
        <v>0</v>
      </c>
      <c r="AK19" s="144">
        <f>+'SP-mese'!AK8+'SP-mese'!AK10+'SP-mese'!AK11-'SP-mese'!AL8-'SP-mese'!AL10-'SP-mese'!AL11+'SP-mese'!AL58+'SP-mese'!AL59+'SP-mese'!AL60+'SP-mese'!AL62-'SP-mese'!AK62-'SP-mese'!AK60-'SP-mese'!AK59-'SP-mese'!AK58</f>
        <v>0</v>
      </c>
      <c r="AL19" s="144">
        <f>+'SP-mese'!AL8+'SP-mese'!AL10+'SP-mese'!AL11-'SP-mese'!AM8-'SP-mese'!AM10-'SP-mese'!AM11+'SP-mese'!AM58+'SP-mese'!AM59+'SP-mese'!AM60+'SP-mese'!AM62-'SP-mese'!AL62-'SP-mese'!AL60-'SP-mese'!AL59-'SP-mese'!AL58</f>
        <v>0</v>
      </c>
      <c r="AM19" s="144">
        <f>+'SP-mese'!AM8+'SP-mese'!AM10+'SP-mese'!AM11-'SP-mese'!AN8-'SP-mese'!AN10-'SP-mese'!AN11+'SP-mese'!AN58+'SP-mese'!AN59+'SP-mese'!AN60+'SP-mese'!AN62-'SP-mese'!AM62-'SP-mese'!AM60-'SP-mese'!AM59-'SP-mese'!AM58</f>
        <v>0</v>
      </c>
      <c r="AN19" s="144">
        <f>+'SP-mese'!AN8+'SP-mese'!AN10+'SP-mese'!AN11-'SP-mese'!AO8-'SP-mese'!AO10-'SP-mese'!AO11+'SP-mese'!AO58+'SP-mese'!AO59+'SP-mese'!AO60+'SP-mese'!AO62-'SP-mese'!AN62-'SP-mese'!AN60-'SP-mese'!AN59-'SP-mese'!AN58</f>
        <v>0</v>
      </c>
      <c r="AO19" s="144">
        <f>+'SP-mese'!AO8+'SP-mese'!AO10+'SP-mese'!AO11-'SP-mese'!AP8-'SP-mese'!AP10-'SP-mese'!AP11+'SP-mese'!AP58+'SP-mese'!AP59+'SP-mese'!AP60+'SP-mese'!AP62-'SP-mese'!AO62-'SP-mese'!AO60-'SP-mese'!AO59-'SP-mese'!AO58</f>
        <v>0</v>
      </c>
      <c r="AP19" s="144">
        <f>+'SP-mese'!AP8+'SP-mese'!AP10+'SP-mese'!AP11-'SP-mese'!AQ8-'SP-mese'!AQ10-'SP-mese'!AQ11+'SP-mese'!AQ58+'SP-mese'!AQ59+'SP-mese'!AQ60+'SP-mese'!AQ62-'SP-mese'!AP62-'SP-mese'!AP60-'SP-mese'!AP59-'SP-mese'!AP58</f>
        <v>0</v>
      </c>
      <c r="AQ19" s="144">
        <f>+'SP-mese'!AQ8+'SP-mese'!AQ10+'SP-mese'!AQ11-'SP-mese'!AR8-'SP-mese'!AR10-'SP-mese'!AR11+'SP-mese'!AR58+'SP-mese'!AR59+'SP-mese'!AR60+'SP-mese'!AR62-'SP-mese'!AQ62-'SP-mese'!AQ60-'SP-mese'!AQ59-'SP-mese'!AQ58</f>
        <v>0</v>
      </c>
      <c r="AR19" s="144">
        <f>+'SP-mese'!AR8+'SP-mese'!AR10+'SP-mese'!AR11-'SP-mese'!AS8-'SP-mese'!AS10-'SP-mese'!AS11+'SP-mese'!AS58+'SP-mese'!AS59+'SP-mese'!AS60+'SP-mese'!AS62-'SP-mese'!AR62-'SP-mese'!AR60-'SP-mese'!AR59-'SP-mese'!AR58</f>
        <v>0</v>
      </c>
      <c r="AS19" s="144">
        <f>+'SP-mese'!AS8+'SP-mese'!AS10+'SP-mese'!AS11-'SP-mese'!AT8-'SP-mese'!AT10-'SP-mese'!AT11+'SP-mese'!AT58+'SP-mese'!AT59+'SP-mese'!AT60+'SP-mese'!AT62-'SP-mese'!AS62-'SP-mese'!AS60-'SP-mese'!AS59-'SP-mese'!AS58</f>
        <v>0</v>
      </c>
      <c r="AT19" s="144">
        <f>+'SP-mese'!AT8+'SP-mese'!AT10+'SP-mese'!AT11-'SP-mese'!AU8-'SP-mese'!AU10-'SP-mese'!AU11+'SP-mese'!AU58+'SP-mese'!AU59+'SP-mese'!AU60+'SP-mese'!AU62-'SP-mese'!AT62-'SP-mese'!AT60-'SP-mese'!AT59-'SP-mese'!AT58</f>
        <v>0</v>
      </c>
      <c r="AU19" s="144">
        <f>+'SP-mese'!AU8+'SP-mese'!AU10+'SP-mese'!AU11-'SP-mese'!AV8-'SP-mese'!AV10-'SP-mese'!AV11+'SP-mese'!AV58+'SP-mese'!AV59+'SP-mese'!AV60+'SP-mese'!AV62-'SP-mese'!AU62-'SP-mese'!AU60-'SP-mese'!AU59-'SP-mese'!AU58</f>
        <v>0</v>
      </c>
      <c r="AV19" s="144">
        <f>+'SP-mese'!AV8+'SP-mese'!AV10+'SP-mese'!AV11-'SP-mese'!AW8-'SP-mese'!AW10-'SP-mese'!AW11+'SP-mese'!AW58+'SP-mese'!AW59+'SP-mese'!AW60+'SP-mese'!AW62-'SP-mese'!AV62-'SP-mese'!AV60-'SP-mese'!AV59-'SP-mese'!AV58</f>
        <v>0</v>
      </c>
      <c r="AW19" s="144">
        <f>+'SP-mese'!AW8+'SP-mese'!AW10+'SP-mese'!AW11-'SP-mese'!AX8-'SP-mese'!AX10-'SP-mese'!AX11+'SP-mese'!AX58+'SP-mese'!AX59+'SP-mese'!AX60+'SP-mese'!AX62-'SP-mese'!AW62-'SP-mese'!AW60-'SP-mese'!AW59-'SP-mese'!AW58</f>
        <v>0</v>
      </c>
      <c r="AX19" s="144">
        <f>+'SP-mese'!AX8+'SP-mese'!AX10+'SP-mese'!AX11-'SP-mese'!AY8-'SP-mese'!AY10-'SP-mese'!AY11+'SP-mese'!AY58+'SP-mese'!AY59+'SP-mese'!AY60+'SP-mese'!AY62-'SP-mese'!AX62-'SP-mese'!AX60-'SP-mese'!AX59-'SP-mese'!AX58</f>
        <v>0</v>
      </c>
      <c r="AY19" s="144">
        <f>+'SP-mese'!AY8+'SP-mese'!AY10+'SP-mese'!AY11-'SP-mese'!AZ8-'SP-mese'!AZ10-'SP-mese'!AZ11+'SP-mese'!AZ58+'SP-mese'!AZ59+'SP-mese'!AZ60+'SP-mese'!AZ62-'SP-mese'!AY62-'SP-mese'!AY60-'SP-mese'!AY59-'SP-mese'!AY58</f>
        <v>0</v>
      </c>
      <c r="AZ19" s="144">
        <f>+'SP-mese'!AZ8+'SP-mese'!AZ10+'SP-mese'!AZ11-'SP-mese'!BA8-'SP-mese'!BA10-'SP-mese'!BA11+'SP-mese'!BA58+'SP-mese'!BA59+'SP-mese'!BA60+'SP-mese'!BA62-'SP-mese'!AZ62-'SP-mese'!AZ60-'SP-mese'!AZ59-'SP-mese'!AZ58</f>
        <v>0</v>
      </c>
      <c r="BA19" s="144">
        <f>+'SP-mese'!BA8+'SP-mese'!BA10+'SP-mese'!BA11-'SP-mese'!BB8-'SP-mese'!BB10-'SP-mese'!BB11+'SP-mese'!BB58+'SP-mese'!BB59+'SP-mese'!BB60+'SP-mese'!BB62-'SP-mese'!BA62-'SP-mese'!BA60-'SP-mese'!BA59-'SP-mese'!BA58</f>
        <v>0</v>
      </c>
      <c r="BB19" s="144">
        <f>+'SP-mese'!BB8+'SP-mese'!BB10+'SP-mese'!BB11-'SP-mese'!BC8-'SP-mese'!BC10-'SP-mese'!BC11+'SP-mese'!BC58+'SP-mese'!BC59+'SP-mese'!BC60+'SP-mese'!BC62-'SP-mese'!BB62-'SP-mese'!BB60-'SP-mese'!BB59-'SP-mese'!BB58</f>
        <v>0</v>
      </c>
      <c r="BC19" s="144">
        <f>+'SP-mese'!BC8+'SP-mese'!BC10+'SP-mese'!BC11-'SP-mese'!BD8-'SP-mese'!BD10-'SP-mese'!BD11+'SP-mese'!BD58+'SP-mese'!BD59+'SP-mese'!BD60+'SP-mese'!BD62-'SP-mese'!BC62-'SP-mese'!BC60-'SP-mese'!BC59-'SP-mese'!BC58</f>
        <v>0</v>
      </c>
      <c r="BD19" s="144">
        <f>+'SP-mese'!BD8+'SP-mese'!BD10+'SP-mese'!BD11-'SP-mese'!BE8-'SP-mese'!BE10-'SP-mese'!BE11+'SP-mese'!BE58+'SP-mese'!BE59+'SP-mese'!BE60+'SP-mese'!BE62-'SP-mese'!BD62-'SP-mese'!BD60-'SP-mese'!BD59-'SP-mese'!BD58</f>
        <v>0</v>
      </c>
      <c r="BE19" s="144">
        <f>+'SP-mese'!BE8+'SP-mese'!BE10+'SP-mese'!BE11-'SP-mese'!BF8-'SP-mese'!BF10-'SP-mese'!BF11+'SP-mese'!BF58+'SP-mese'!BF59+'SP-mese'!BF60+'SP-mese'!BF62-'SP-mese'!BE62-'SP-mese'!BE60-'SP-mese'!BE59-'SP-mese'!BE58</f>
        <v>0</v>
      </c>
      <c r="BF19" s="144">
        <f>+'SP-mese'!BF8+'SP-mese'!BF10+'SP-mese'!BF11-'SP-mese'!BG8-'SP-mese'!BG10-'SP-mese'!BG11+'SP-mese'!BG58+'SP-mese'!BG59+'SP-mese'!BG60+'SP-mese'!BG62-'SP-mese'!BF62-'SP-mese'!BF60-'SP-mese'!BF59-'SP-mese'!BF58</f>
        <v>0</v>
      </c>
      <c r="BG19" s="144">
        <f>+'SP-mese'!BG8+'SP-mese'!BG10+'SP-mese'!BG11-'SP-mese'!BH8-'SP-mese'!BH10-'SP-mese'!BH11+'SP-mese'!BH58+'SP-mese'!BH59+'SP-mese'!BH60+'SP-mese'!BH62-'SP-mese'!BG62-'SP-mese'!BG60-'SP-mese'!BG59-'SP-mese'!BG58</f>
        <v>0</v>
      </c>
      <c r="BH19" s="144">
        <f>+'SP-mese'!BH8+'SP-mese'!BH10+'SP-mese'!BH11-'SP-mese'!BI8-'SP-mese'!BI10-'SP-mese'!BI11+'SP-mese'!BI58+'SP-mese'!BI59+'SP-mese'!BI60+'SP-mese'!BI62-'SP-mese'!BH62-'SP-mese'!BH60-'SP-mese'!BH59-'SP-mese'!BH58</f>
        <v>0</v>
      </c>
      <c r="BI19" s="144">
        <f>+'SP-mese'!BI8+'SP-mese'!BI10+'SP-mese'!BI11-'SP-mese'!BJ8-'SP-mese'!BJ10-'SP-mese'!BJ11+'SP-mese'!BJ58+'SP-mese'!BJ59+'SP-mese'!BJ60+'SP-mese'!BJ62-'SP-mese'!BI62-'SP-mese'!BI60-'SP-mese'!BI59-'SP-mese'!BI58</f>
        <v>0</v>
      </c>
      <c r="BJ19" s="144">
        <f>+'SP-mese'!BJ8+'SP-mese'!BJ10+'SP-mese'!BJ11-'SP-mese'!BK8-'SP-mese'!BK10-'SP-mese'!BK11+'SP-mese'!BK58+'SP-mese'!BK59+'SP-mese'!BK60+'SP-mese'!BK62-'SP-mese'!BJ62-'SP-mese'!BJ60-'SP-mese'!BJ59-'SP-mese'!BJ58</f>
        <v>0</v>
      </c>
      <c r="BK19" s="144">
        <f>+'SP-mese'!BK8+'SP-mese'!BK10+'SP-mese'!BK11-'SP-mese'!BL8-'SP-mese'!BL10-'SP-mese'!BL11+'SP-mese'!BL58+'SP-mese'!BL59+'SP-mese'!BL60+'SP-mese'!BL62-'SP-mese'!BK62-'SP-mese'!BK60-'SP-mese'!BK59-'SP-mese'!BK58</f>
        <v>0</v>
      </c>
      <c r="BL19" s="144">
        <f>+'SP-mese'!BL8+'SP-mese'!BL10+'SP-mese'!BL11-'SP-mese'!BM8-'SP-mese'!BM10-'SP-mese'!BM11+'SP-mese'!BM58+'SP-mese'!BM59+'SP-mese'!BM60+'SP-mese'!BM62-'SP-mese'!BL62-'SP-mese'!BL60-'SP-mese'!BL59-'SP-mese'!BL58</f>
        <v>0</v>
      </c>
      <c r="BM19" s="144">
        <f>+'SP-mese'!BM8+'SP-mese'!BM10+'SP-mese'!BM11-'SP-mese'!BN8-'SP-mese'!BN10-'SP-mese'!BN11+'SP-mese'!BN58+'SP-mese'!BN59+'SP-mese'!BN60+'SP-mese'!BN62-'SP-mese'!BM62-'SP-mese'!BM60-'SP-mese'!BM59-'SP-mese'!BM58</f>
        <v>0</v>
      </c>
      <c r="BN19" s="144">
        <f>+'SP-mese'!BN8+'SP-mese'!BN10+'SP-mese'!BN11-'SP-mese'!BO8-'SP-mese'!BO10-'SP-mese'!BO11+'SP-mese'!BO58+'SP-mese'!BO59+'SP-mese'!BO60+'SP-mese'!BO62-'SP-mese'!BN62-'SP-mese'!BN60-'SP-mese'!BN59-'SP-mese'!BN58</f>
        <v>0</v>
      </c>
      <c r="BO19" s="144">
        <f>+'SP-mese'!BO8+'SP-mese'!BO10+'SP-mese'!BO11-'SP-mese'!BP8-'SP-mese'!BP10-'SP-mese'!BP11+'SP-mese'!BP58+'SP-mese'!BP59+'SP-mese'!BP60+'SP-mese'!BP62-'SP-mese'!BO62-'SP-mese'!BO60-'SP-mese'!BO59-'SP-mese'!BO58</f>
        <v>0</v>
      </c>
      <c r="BP19" s="144">
        <f>+'SP-mese'!BP8+'SP-mese'!BP10+'SP-mese'!BP11-'SP-mese'!BQ8-'SP-mese'!BQ10-'SP-mese'!BQ11+'SP-mese'!BQ58+'SP-mese'!BQ59+'SP-mese'!BQ60+'SP-mese'!BQ62-'SP-mese'!BP62-'SP-mese'!BP60-'SP-mese'!BP59-'SP-mese'!BP58</f>
        <v>0</v>
      </c>
      <c r="BQ19" s="144">
        <f>+'SP-mese'!BQ8+'SP-mese'!BQ10+'SP-mese'!BQ11-'SP-mese'!BR8-'SP-mese'!BR10-'SP-mese'!BR11+'SP-mese'!BR58+'SP-mese'!BR59+'SP-mese'!BR60+'SP-mese'!BR62-'SP-mese'!BQ62-'SP-mese'!BQ60-'SP-mese'!BQ59-'SP-mese'!BQ58</f>
        <v>0</v>
      </c>
      <c r="BR19" s="144">
        <f>+'SP-mese'!BR8+'SP-mese'!BR10+'SP-mese'!BR11-'SP-mese'!BS8-'SP-mese'!BS10-'SP-mese'!BS11+'SP-mese'!BS58+'SP-mese'!BS59+'SP-mese'!BS60+'SP-mese'!BS62-'SP-mese'!BR62-'SP-mese'!BR60-'SP-mese'!BR59-'SP-mese'!BR58</f>
        <v>0</v>
      </c>
      <c r="BS19" s="144">
        <f>+'SP-mese'!BS8+'SP-mese'!BS10+'SP-mese'!BS11-'SP-mese'!BT8-'SP-mese'!BT10-'SP-mese'!BT11+'SP-mese'!BT58+'SP-mese'!BT59+'SP-mese'!BT60+'SP-mese'!BT62-'SP-mese'!BS62-'SP-mese'!BS60-'SP-mese'!BS59-'SP-mese'!BS58</f>
        <v>0</v>
      </c>
      <c r="BT19" s="144">
        <f>+'SP-mese'!BT8+'SP-mese'!BT10+'SP-mese'!BT11-'SP-mese'!BU8-'SP-mese'!BU10-'SP-mese'!BU11+'SP-mese'!BU58+'SP-mese'!BU59+'SP-mese'!BU60+'SP-mese'!BU62-'SP-mese'!BT62-'SP-mese'!BT60-'SP-mese'!BT59-'SP-mese'!BT58</f>
        <v>0</v>
      </c>
      <c r="BU19" s="144">
        <f>+'SP-mese'!BU8+'SP-mese'!BU10+'SP-mese'!BU11-'SP-mese'!BV8-'SP-mese'!BV10-'SP-mese'!BV11+'SP-mese'!BV58+'SP-mese'!BV59+'SP-mese'!BV60+'SP-mese'!BV62-'SP-mese'!BU62-'SP-mese'!BU60-'SP-mese'!BU59-'SP-mese'!BU58</f>
        <v>0</v>
      </c>
      <c r="BV19" s="144">
        <f>+'SP-mese'!BV8+'SP-mese'!BV10+'SP-mese'!BV11-'SP-mese'!BW8-'SP-mese'!BW10-'SP-mese'!BW11+'SP-mese'!BW58+'SP-mese'!BW59+'SP-mese'!BW60+'SP-mese'!BW62-'SP-mese'!BV62-'SP-mese'!BV60-'SP-mese'!BV59-'SP-mese'!BV58</f>
        <v>0</v>
      </c>
      <c r="BW19" s="144">
        <f>+'SP-mese'!BW8+'SP-mese'!BW10+'SP-mese'!BW11-'SP-mese'!BX8-'SP-mese'!BX10-'SP-mese'!BX11+'SP-mese'!BX58+'SP-mese'!BX59+'SP-mese'!BX60+'SP-mese'!BX62-'SP-mese'!BW62-'SP-mese'!BW60-'SP-mese'!BW59-'SP-mese'!BW58</f>
        <v>0</v>
      </c>
      <c r="BX19" s="144">
        <f>+'SP-mese'!BX8+'SP-mese'!BX10+'SP-mese'!BX11-'SP-mese'!BY8-'SP-mese'!BY10-'SP-mese'!BY11+'SP-mese'!BY58+'SP-mese'!BY59+'SP-mese'!BY60+'SP-mese'!BY62-'SP-mese'!BX62-'SP-mese'!BX60-'SP-mese'!BX59-'SP-mese'!BX58</f>
        <v>0</v>
      </c>
      <c r="BY19" s="144">
        <f>+'SP-mese'!BY8+'SP-mese'!BY10+'SP-mese'!BY11-'SP-mese'!BZ8-'SP-mese'!BZ10-'SP-mese'!BZ11+'SP-mese'!BZ58+'SP-mese'!BZ59+'SP-mese'!BZ60+'SP-mese'!BZ62-'SP-mese'!BY62-'SP-mese'!BY60-'SP-mese'!BY59-'SP-mese'!BY58</f>
        <v>0</v>
      </c>
      <c r="BZ19" s="144">
        <f>+'SP-mese'!BZ8+'SP-mese'!BZ10+'SP-mese'!BZ11-'SP-mese'!CA8-'SP-mese'!CA10-'SP-mese'!CA11+'SP-mese'!CA58+'SP-mese'!CA59+'SP-mese'!CA60+'SP-mese'!CA62-'SP-mese'!BZ62-'SP-mese'!BZ60-'SP-mese'!BZ59-'SP-mese'!BZ58</f>
        <v>0</v>
      </c>
      <c r="CA19" s="144">
        <f>+'SP-mese'!CA8+'SP-mese'!CA10+'SP-mese'!CA11-'SP-mese'!CB8-'SP-mese'!CB10-'SP-mese'!CB11+'SP-mese'!CB58+'SP-mese'!CB59+'SP-mese'!CB60+'SP-mese'!CB62-'SP-mese'!CA62-'SP-mese'!CA60-'SP-mese'!CA59-'SP-mese'!CA58</f>
        <v>0</v>
      </c>
      <c r="CB19" s="144">
        <f>+'SP-mese'!CB8+'SP-mese'!CB10+'SP-mese'!CB11-'SP-mese'!CC8-'SP-mese'!CC10-'SP-mese'!CC11+'SP-mese'!CC58+'SP-mese'!CC59+'SP-mese'!CC60+'SP-mese'!CC62-'SP-mese'!CB62-'SP-mese'!CB60-'SP-mese'!CB59-'SP-mese'!CB58</f>
        <v>0</v>
      </c>
      <c r="CC19" s="144">
        <f>+'SP-mese'!CC8+'SP-mese'!CC10+'SP-mese'!CC11-'SP-mese'!CD8-'SP-mese'!CD10-'SP-mese'!CD11+'SP-mese'!CD58+'SP-mese'!CD59+'SP-mese'!CD60+'SP-mese'!CD62-'SP-mese'!CC62-'SP-mese'!CC60-'SP-mese'!CC59-'SP-mese'!CC58</f>
        <v>0</v>
      </c>
      <c r="CD19" s="144">
        <f>+'SP-mese'!CD8+'SP-mese'!CD10+'SP-mese'!CD11-'SP-mese'!CE8-'SP-mese'!CE10-'SP-mese'!CE11+'SP-mese'!CE58+'SP-mese'!CE59+'SP-mese'!CE60+'SP-mese'!CE62-'SP-mese'!CD62-'SP-mese'!CD60-'SP-mese'!CD59-'SP-mese'!CD58</f>
        <v>0</v>
      </c>
      <c r="CE19" s="144">
        <f>+'SP-mese'!CE8+'SP-mese'!CE10+'SP-mese'!CE11-'SP-mese'!CF8-'SP-mese'!CF10-'SP-mese'!CF11+'SP-mese'!CF58+'SP-mese'!CF59+'SP-mese'!CF60+'SP-mese'!CF62-'SP-mese'!CE62-'SP-mese'!CE60-'SP-mese'!CE59-'SP-mese'!CE58</f>
        <v>0</v>
      </c>
      <c r="CF19" s="144">
        <f>+'SP-mese'!CF8+'SP-mese'!CF10+'SP-mese'!CF11-'SP-mese'!CG8-'SP-mese'!CG10-'SP-mese'!CG11+'SP-mese'!CG58+'SP-mese'!CG59+'SP-mese'!CG60+'SP-mese'!CG62-'SP-mese'!CF62-'SP-mese'!CF60-'SP-mese'!CF59-'SP-mese'!CF58</f>
        <v>0</v>
      </c>
      <c r="CG19" s="144">
        <f>+'SP-mese'!CG8+'SP-mese'!CG10+'SP-mese'!CG11-'SP-mese'!CH8-'SP-mese'!CH10-'SP-mese'!CH11+'SP-mese'!CH58+'SP-mese'!CH59+'SP-mese'!CH60+'SP-mese'!CH62-'SP-mese'!CG62-'SP-mese'!CG60-'SP-mese'!CG59-'SP-mese'!CG58</f>
        <v>0</v>
      </c>
      <c r="CH19" s="144">
        <f>+'SP-mese'!CH8+'SP-mese'!CH10+'SP-mese'!CH11-'SP-mese'!CI8-'SP-mese'!CI10-'SP-mese'!CI11+'SP-mese'!CI58+'SP-mese'!CI59+'SP-mese'!CI60+'SP-mese'!CI62-'SP-mese'!CH62-'SP-mese'!CH60-'SP-mese'!CH59-'SP-mese'!CH58</f>
        <v>0</v>
      </c>
      <c r="CI19" s="144">
        <f>+'SP-mese'!CI8+'SP-mese'!CI10+'SP-mese'!CI11-'SP-mese'!CJ8-'SP-mese'!CJ10-'SP-mese'!CJ11+'SP-mese'!CJ58+'SP-mese'!CJ59+'SP-mese'!CJ60+'SP-mese'!CJ62-'SP-mese'!CI62-'SP-mese'!CI60-'SP-mese'!CI59-'SP-mese'!CI58</f>
        <v>0</v>
      </c>
      <c r="CJ19" s="144">
        <f>+'SP-mese'!CJ8+'SP-mese'!CJ10+'SP-mese'!CJ11-'SP-mese'!CK8-'SP-mese'!CK10-'SP-mese'!CK11+'SP-mese'!CK58+'SP-mese'!CK59+'SP-mese'!CK60+'SP-mese'!CK62-'SP-mese'!CJ62-'SP-mese'!CJ60-'SP-mese'!CJ59-'SP-mese'!CJ58</f>
        <v>0</v>
      </c>
      <c r="CK19" s="144">
        <f>+'SP-mese'!CK8+'SP-mese'!CK10+'SP-mese'!CK11-'SP-mese'!CL8-'SP-mese'!CL10-'SP-mese'!CL11+'SP-mese'!CL58+'SP-mese'!CL59+'SP-mese'!CL60+'SP-mese'!CL62-'SP-mese'!CK62-'SP-mese'!CK60-'SP-mese'!CK59-'SP-mese'!CK58</f>
        <v>0</v>
      </c>
      <c r="CL19" s="144">
        <f>+'SP-mese'!CL8+'SP-mese'!CL10+'SP-mese'!CL11-'SP-mese'!CM8-'SP-mese'!CM10-'SP-mese'!CM11+'SP-mese'!CM58+'SP-mese'!CM59+'SP-mese'!CM60+'SP-mese'!CM62-'SP-mese'!CL62-'SP-mese'!CL60-'SP-mese'!CL59-'SP-mese'!CL58</f>
        <v>0</v>
      </c>
      <c r="CM19" s="144">
        <f>+'SP-mese'!CM8+'SP-mese'!CM10+'SP-mese'!CM11-'SP-mese'!CN8-'SP-mese'!CN10-'SP-mese'!CN11+'SP-mese'!CN58+'SP-mese'!CN59+'SP-mese'!CN60+'SP-mese'!CN62-'SP-mese'!CM62-'SP-mese'!CM60-'SP-mese'!CM59-'SP-mese'!CM58</f>
        <v>0</v>
      </c>
      <c r="CN19" s="144">
        <f>+'SP-mese'!CN8+'SP-mese'!CN10+'SP-mese'!CN11-'SP-mese'!CO8-'SP-mese'!CO10-'SP-mese'!CO11+'SP-mese'!CO58+'SP-mese'!CO59+'SP-mese'!CO60+'SP-mese'!CO62-'SP-mese'!CN62-'SP-mese'!CN60-'SP-mese'!CN59-'SP-mese'!CN58</f>
        <v>0</v>
      </c>
      <c r="CO19" s="144">
        <f>+'SP-mese'!CO8+'SP-mese'!CO10+'SP-mese'!CO11-'SP-mese'!CP8-'SP-mese'!CP10-'SP-mese'!CP11+'SP-mese'!CP58+'SP-mese'!CP59+'SP-mese'!CP60+'SP-mese'!CP62-'SP-mese'!CO62-'SP-mese'!CO60-'SP-mese'!CO59-'SP-mese'!CO58</f>
        <v>0</v>
      </c>
      <c r="CP19" s="144">
        <f>+'SP-mese'!CP8+'SP-mese'!CP10+'SP-mese'!CP11-'SP-mese'!CQ8-'SP-mese'!CQ10-'SP-mese'!CQ11+'SP-mese'!CQ58+'SP-mese'!CQ59+'SP-mese'!CQ60+'SP-mese'!CQ62-'SP-mese'!CP62-'SP-mese'!CP60-'SP-mese'!CP59-'SP-mese'!CP58</f>
        <v>0</v>
      </c>
      <c r="CQ19" s="144">
        <f>+'SP-mese'!CQ8+'SP-mese'!CQ10+'SP-mese'!CQ11-'SP-mese'!CR8-'SP-mese'!CR10-'SP-mese'!CR11+'SP-mese'!CR58+'SP-mese'!CR59+'SP-mese'!CR60+'SP-mese'!CR62-'SP-mese'!CQ62-'SP-mese'!CQ60-'SP-mese'!CQ59-'SP-mese'!CQ58</f>
        <v>0</v>
      </c>
      <c r="CR19" s="144">
        <f>+'SP-mese'!CR8+'SP-mese'!CR10+'SP-mese'!CR11-'SP-mese'!CS8-'SP-mese'!CS10-'SP-mese'!CS11+'SP-mese'!CS58+'SP-mese'!CS59+'SP-mese'!CS60+'SP-mese'!CS62-'SP-mese'!CR62-'SP-mese'!CR60-'SP-mese'!CR59-'SP-mese'!CR58</f>
        <v>0</v>
      </c>
      <c r="CS19" s="144">
        <f>+'SP-mese'!CS8+'SP-mese'!CS10+'SP-mese'!CS11-'SP-mese'!CT8-'SP-mese'!CT10-'SP-mese'!CT11+'SP-mese'!CT58+'SP-mese'!CT59+'SP-mese'!CT60+'SP-mese'!CT62-'SP-mese'!CS62-'SP-mese'!CS60-'SP-mese'!CS59-'SP-mese'!CS58</f>
        <v>0</v>
      </c>
      <c r="CT19" s="144">
        <f>+'SP-mese'!CT8+'SP-mese'!CT10+'SP-mese'!CT11-'SP-mese'!CU8-'SP-mese'!CU10-'SP-mese'!CU11+'SP-mese'!CU58+'SP-mese'!CU59+'SP-mese'!CU60+'SP-mese'!CU62-'SP-mese'!CT62-'SP-mese'!CT60-'SP-mese'!CT59-'SP-mese'!CT58</f>
        <v>0</v>
      </c>
      <c r="CU19" s="144">
        <f>+'SP-mese'!CU8+'SP-mese'!CU10+'SP-mese'!CU11-'SP-mese'!CV8-'SP-mese'!CV10-'SP-mese'!CV11+'SP-mese'!CV58+'SP-mese'!CV59+'SP-mese'!CV60+'SP-mese'!CV62-'SP-mese'!CU62-'SP-mese'!CU60-'SP-mese'!CU59-'SP-mese'!CU58</f>
        <v>0</v>
      </c>
      <c r="CV19" s="144">
        <f>+'SP-mese'!CV8+'SP-mese'!CV10+'SP-mese'!CV11-'SP-mese'!CW8-'SP-mese'!CW10-'SP-mese'!CW11+'SP-mese'!CW58+'SP-mese'!CW59+'SP-mese'!CW60+'SP-mese'!CW62-'SP-mese'!CV62-'SP-mese'!CV60-'SP-mese'!CV59-'SP-mese'!CV58</f>
        <v>0</v>
      </c>
      <c r="CW19" s="144">
        <f>+'SP-mese'!CW8+'SP-mese'!CW10+'SP-mese'!CW11-'SP-mese'!CX8-'SP-mese'!CX10-'SP-mese'!CX11+'SP-mese'!CX58+'SP-mese'!CX59+'SP-mese'!CX60+'SP-mese'!CX62-'SP-mese'!CW62-'SP-mese'!CW60-'SP-mese'!CW59-'SP-mese'!CW58</f>
        <v>0</v>
      </c>
      <c r="CX19" s="144">
        <f>+'SP-mese'!CX8+'SP-mese'!CX10+'SP-mese'!CX11-'SP-mese'!CY8-'SP-mese'!CY10-'SP-mese'!CY11+'SP-mese'!CY58+'SP-mese'!CY59+'SP-mese'!CY60+'SP-mese'!CY62-'SP-mese'!CX62-'SP-mese'!CX60-'SP-mese'!CX59-'SP-mese'!CX58</f>
        <v>0</v>
      </c>
      <c r="CY19" s="144">
        <f>+'SP-mese'!CY8+'SP-mese'!CY10+'SP-mese'!CY11-'SP-mese'!CZ8-'SP-mese'!CZ10-'SP-mese'!CZ11+'SP-mese'!CZ58+'SP-mese'!CZ59+'SP-mese'!CZ60+'SP-mese'!CZ62-'SP-mese'!CY62-'SP-mese'!CY60-'SP-mese'!CY59-'SP-mese'!CY58</f>
        <v>0</v>
      </c>
      <c r="CZ19" s="144">
        <f>+'SP-mese'!CZ8+'SP-mese'!CZ10+'SP-mese'!CZ11-'SP-mese'!DA8-'SP-mese'!DA10-'SP-mese'!DA11+'SP-mese'!DA58+'SP-mese'!DA59+'SP-mese'!DA60+'SP-mese'!DA62-'SP-mese'!CZ62-'SP-mese'!CZ60-'SP-mese'!CZ59-'SP-mese'!CZ58</f>
        <v>0</v>
      </c>
      <c r="DA19" s="144">
        <f>+'SP-mese'!DA8+'SP-mese'!DA10+'SP-mese'!DA11-'SP-mese'!DB8-'SP-mese'!DB10-'SP-mese'!DB11+'SP-mese'!DB58+'SP-mese'!DB59+'SP-mese'!DB60+'SP-mese'!DB62-'SP-mese'!DA62-'SP-mese'!DA60-'SP-mese'!DA59-'SP-mese'!DA58</f>
        <v>0</v>
      </c>
      <c r="DB19" s="144">
        <f>+'SP-mese'!DB8+'SP-mese'!DB10+'SP-mese'!DB11-'SP-mese'!DC8-'SP-mese'!DC10-'SP-mese'!DC11+'SP-mese'!DC58+'SP-mese'!DC59+'SP-mese'!DC60+'SP-mese'!DC62-'SP-mese'!DB62-'SP-mese'!DB60-'SP-mese'!DB59-'SP-mese'!DB58</f>
        <v>0</v>
      </c>
      <c r="DC19" s="144">
        <f>+'SP-mese'!DC8+'SP-mese'!DC10+'SP-mese'!DC11-'SP-mese'!DD8-'SP-mese'!DD10-'SP-mese'!DD11+'SP-mese'!DD58+'SP-mese'!DD59+'SP-mese'!DD60+'SP-mese'!DD62-'SP-mese'!DC62-'SP-mese'!DC60-'SP-mese'!DC59-'SP-mese'!DC58</f>
        <v>0</v>
      </c>
      <c r="DD19" s="144">
        <f>+'SP-mese'!DD8+'SP-mese'!DD10+'SP-mese'!DD11-'SP-mese'!DE8-'SP-mese'!DE10-'SP-mese'!DE11+'SP-mese'!DE58+'SP-mese'!DE59+'SP-mese'!DE60+'SP-mese'!DE62-'SP-mese'!DD62-'SP-mese'!DD60-'SP-mese'!DD59-'SP-mese'!DD58</f>
        <v>0</v>
      </c>
      <c r="DE19" s="144">
        <f>+'SP-mese'!DE8+'SP-mese'!DE10+'SP-mese'!DE11-'SP-mese'!DF8-'SP-mese'!DF10-'SP-mese'!DF11+'SP-mese'!DF58+'SP-mese'!DF59+'SP-mese'!DF60+'SP-mese'!DF62-'SP-mese'!DE62-'SP-mese'!DE60-'SP-mese'!DE59-'SP-mese'!DE58</f>
        <v>0</v>
      </c>
      <c r="DF19" s="144">
        <f>+'SP-mese'!DF8+'SP-mese'!DF10+'SP-mese'!DF11-'SP-mese'!DG8-'SP-mese'!DG10-'SP-mese'!DG11+'SP-mese'!DG58+'SP-mese'!DG59+'SP-mese'!DG60+'SP-mese'!DG62-'SP-mese'!DF62-'SP-mese'!DF60-'SP-mese'!DF59-'SP-mese'!DF58</f>
        <v>0</v>
      </c>
      <c r="DG19" s="144">
        <f>+'SP-mese'!DG8+'SP-mese'!DG10+'SP-mese'!DG11-'SP-mese'!DH8-'SP-mese'!DH10-'SP-mese'!DH11+'SP-mese'!DH58+'SP-mese'!DH59+'SP-mese'!DH60+'SP-mese'!DH62-'SP-mese'!DG62-'SP-mese'!DG60-'SP-mese'!DG59-'SP-mese'!DG58</f>
        <v>0</v>
      </c>
      <c r="DH19" s="144">
        <f>+'SP-mese'!DH8+'SP-mese'!DH10+'SP-mese'!DH11-'SP-mese'!DI8-'SP-mese'!DI10-'SP-mese'!DI11+'SP-mese'!DI58+'SP-mese'!DI59+'SP-mese'!DI60+'SP-mese'!DI62-'SP-mese'!DH62-'SP-mese'!DH60-'SP-mese'!DH59-'SP-mese'!DH58</f>
        <v>0</v>
      </c>
      <c r="DI19" s="144">
        <f>+'SP-mese'!DI8+'SP-mese'!DI10+'SP-mese'!DI11-'SP-mese'!DJ8-'SP-mese'!DJ10-'SP-mese'!DJ11+'SP-mese'!DJ58+'SP-mese'!DJ59+'SP-mese'!DJ60+'SP-mese'!DJ62-'SP-mese'!DI62-'SP-mese'!DI60-'SP-mese'!DI59-'SP-mese'!DI58</f>
        <v>0</v>
      </c>
      <c r="DJ19" s="144">
        <f>+'SP-mese'!DJ8+'SP-mese'!DJ10+'SP-mese'!DJ11-'SP-mese'!DK8-'SP-mese'!DK10-'SP-mese'!DK11+'SP-mese'!DK58+'SP-mese'!DK59+'SP-mese'!DK60+'SP-mese'!DK62-'SP-mese'!DJ62-'SP-mese'!DJ60-'SP-mese'!DJ59-'SP-mese'!DJ58</f>
        <v>0</v>
      </c>
      <c r="DK19" s="144">
        <f>+'SP-mese'!DK8+'SP-mese'!DK10+'SP-mese'!DK11-'SP-mese'!DL8-'SP-mese'!DL10-'SP-mese'!DL11+'SP-mese'!DL58+'SP-mese'!DL59+'SP-mese'!DL60+'SP-mese'!DL62-'SP-mese'!DK62-'SP-mese'!DK60-'SP-mese'!DK59-'SP-mese'!DK58</f>
        <v>0</v>
      </c>
      <c r="DL19" s="144">
        <f>+'SP-mese'!DL8+'SP-mese'!DL10+'SP-mese'!DL11-'SP-mese'!DM8-'SP-mese'!DM10-'SP-mese'!DM11+'SP-mese'!DM58+'SP-mese'!DM59+'SP-mese'!DM60+'SP-mese'!DM62-'SP-mese'!DL62-'SP-mese'!DL60-'SP-mese'!DL59-'SP-mese'!DL58</f>
        <v>0</v>
      </c>
      <c r="DM19" s="144">
        <f>+'SP-mese'!DM8+'SP-mese'!DM10+'SP-mese'!DM11-'SP-mese'!DN8-'SP-mese'!DN10-'SP-mese'!DN11+'SP-mese'!DN58+'SP-mese'!DN59+'SP-mese'!DN60+'SP-mese'!DN62-'SP-mese'!DM62-'SP-mese'!DM60-'SP-mese'!DM59-'SP-mese'!DM58</f>
        <v>0</v>
      </c>
      <c r="DN19" s="144">
        <f>+'SP-mese'!DN8+'SP-mese'!DN10+'SP-mese'!DN11-'SP-mese'!DO8-'SP-mese'!DO10-'SP-mese'!DO11+'SP-mese'!DO58+'SP-mese'!DO59+'SP-mese'!DO60+'SP-mese'!DO62-'SP-mese'!DN62-'SP-mese'!DN60-'SP-mese'!DN59-'SP-mese'!DN58</f>
        <v>0</v>
      </c>
      <c r="DO19" s="144">
        <f>+'SP-mese'!DO8+'SP-mese'!DO10+'SP-mese'!DO11-'SP-mese'!DP8-'SP-mese'!DP10-'SP-mese'!DP11+'SP-mese'!DP58+'SP-mese'!DP59+'SP-mese'!DP60+'SP-mese'!DP62-'SP-mese'!DO62-'SP-mese'!DO60-'SP-mese'!DO59-'SP-mese'!DO58</f>
        <v>0</v>
      </c>
      <c r="DP19" s="144">
        <f>+'SP-mese'!DP8+'SP-mese'!DP10+'SP-mese'!DP11-'SP-mese'!DQ8-'SP-mese'!DQ10-'SP-mese'!DQ11+'SP-mese'!DQ58+'SP-mese'!DQ59+'SP-mese'!DQ60+'SP-mese'!DQ62-'SP-mese'!DP62-'SP-mese'!DP60-'SP-mese'!DP59-'SP-mese'!DP58</f>
        <v>0</v>
      </c>
      <c r="DQ19" s="144">
        <f>+'SP-mese'!DQ8+'SP-mese'!DQ10+'SP-mese'!DQ11-'SP-mese'!DR8-'SP-mese'!DR10-'SP-mese'!DR11+'SP-mese'!DR58+'SP-mese'!DR59+'SP-mese'!DR60+'SP-mese'!DR62-'SP-mese'!DQ62-'SP-mese'!DQ60-'SP-mese'!DQ59-'SP-mese'!DQ58</f>
        <v>0</v>
      </c>
      <c r="DR19" s="144">
        <f>+'SP-mese'!DR8+'SP-mese'!DR10+'SP-mese'!DR11-'SP-mese'!DS8-'SP-mese'!DS10-'SP-mese'!DS11+'SP-mese'!DS58+'SP-mese'!DS59+'SP-mese'!DS60+'SP-mese'!DS62-'SP-mese'!DR62-'SP-mese'!DR60-'SP-mese'!DR59-'SP-mese'!DR58</f>
        <v>0</v>
      </c>
      <c r="DT19" s="144">
        <f t="shared" si="120"/>
        <v>0</v>
      </c>
      <c r="DU19" s="144">
        <f t="shared" si="120"/>
        <v>0</v>
      </c>
      <c r="DV19" s="144">
        <f t="shared" si="120"/>
        <v>0</v>
      </c>
      <c r="DW19" s="144">
        <f t="shared" si="120"/>
        <v>0</v>
      </c>
      <c r="DX19" s="144">
        <f t="shared" si="120"/>
        <v>0</v>
      </c>
      <c r="DY19" s="144">
        <f t="shared" si="120"/>
        <v>0</v>
      </c>
      <c r="DZ19" s="144">
        <f t="shared" si="120"/>
        <v>0</v>
      </c>
      <c r="EA19" s="144">
        <f t="shared" si="120"/>
        <v>0</v>
      </c>
      <c r="EB19" s="144">
        <f t="shared" si="120"/>
        <v>0</v>
      </c>
      <c r="EC19" s="144">
        <f t="shared" si="120"/>
        <v>0</v>
      </c>
    </row>
    <row r="20" thickTop="1" thickBot="1" ht="15.5">
      <c r="A20" s="301" t="s">
        <v>1246</v>
      </c>
      <c r="B20" s="301"/>
      <c r="C20" s="301">
        <f t="shared" ref="C20:AH20" si="121">SUM(C16:C19)+C13</f>
        <v>0</v>
      </c>
      <c r="D20" s="301">
        <f t="shared" si="121"/>
        <v>0</v>
      </c>
      <c r="E20" s="301">
        <f t="shared" si="121"/>
        <v>0</v>
      </c>
      <c r="F20" s="301">
        <f t="shared" si="121"/>
        <v>0</v>
      </c>
      <c r="G20" s="301">
        <f t="shared" si="121"/>
        <v>0</v>
      </c>
      <c r="H20" s="301">
        <f t="shared" si="121"/>
        <v>0</v>
      </c>
      <c r="I20" s="301">
        <f t="shared" si="121"/>
        <v>0</v>
      </c>
      <c r="J20" s="301">
        <f t="shared" si="121"/>
        <v>0</v>
      </c>
      <c r="K20" s="301">
        <f t="shared" si="121"/>
        <v>0</v>
      </c>
      <c r="L20" s="301">
        <f t="shared" si="121"/>
        <v>0</v>
      </c>
      <c r="M20" s="301">
        <f t="shared" si="121"/>
        <v>0</v>
      </c>
      <c r="N20" s="301">
        <f t="shared" si="121"/>
        <v>0</v>
      </c>
      <c r="O20" s="301">
        <f t="shared" si="121"/>
        <v>0</v>
      </c>
      <c r="P20" s="301">
        <f t="shared" si="121"/>
        <v>0</v>
      </c>
      <c r="Q20" s="301">
        <f t="shared" si="121"/>
        <v>0</v>
      </c>
      <c r="R20" s="301">
        <f t="shared" si="121"/>
        <v>0</v>
      </c>
      <c r="S20" s="301">
        <f t="shared" si="121"/>
        <v>0</v>
      </c>
      <c r="T20" s="301">
        <f t="shared" si="121"/>
        <v>0</v>
      </c>
      <c r="U20" s="301">
        <f t="shared" si="121"/>
        <v>0</v>
      </c>
      <c r="V20" s="301">
        <f t="shared" si="121"/>
        <v>0</v>
      </c>
      <c r="W20" s="301">
        <f t="shared" si="121"/>
        <v>0</v>
      </c>
      <c r="X20" s="301">
        <f t="shared" si="121"/>
        <v>0</v>
      </c>
      <c r="Y20" s="301">
        <f t="shared" si="121"/>
        <v>0</v>
      </c>
      <c r="Z20" s="301">
        <f t="shared" si="121"/>
        <v>0</v>
      </c>
      <c r="AA20" s="301">
        <f t="shared" si="121"/>
        <v>0</v>
      </c>
      <c r="AB20" s="301">
        <f t="shared" si="121"/>
        <v>0</v>
      </c>
      <c r="AC20" s="301">
        <f t="shared" si="121"/>
        <v>0</v>
      </c>
      <c r="AD20" s="301">
        <f t="shared" si="121"/>
        <v>0</v>
      </c>
      <c r="AE20" s="301">
        <f t="shared" si="121"/>
        <v>0</v>
      </c>
      <c r="AF20" s="301">
        <f t="shared" si="121"/>
        <v>0</v>
      </c>
      <c r="AG20" s="301">
        <f t="shared" si="121"/>
        <v>0</v>
      </c>
      <c r="AH20" s="301">
        <f t="shared" si="121"/>
        <v>0</v>
      </c>
      <c r="AI20" s="301">
        <f t="shared" ref="AI20:BN20" si="122">SUM(AI16:AI19)+AI13</f>
        <v>0</v>
      </c>
      <c r="AJ20" s="301">
        <f t="shared" si="122"/>
        <v>0</v>
      </c>
      <c r="AK20" s="301">
        <f t="shared" si="122"/>
        <v>0</v>
      </c>
      <c r="AL20" s="301">
        <f t="shared" si="122"/>
        <v>0</v>
      </c>
      <c r="AM20" s="301">
        <f t="shared" si="122"/>
        <v>0</v>
      </c>
      <c r="AN20" s="301">
        <f t="shared" si="122"/>
        <v>0</v>
      </c>
      <c r="AO20" s="301">
        <f t="shared" si="122"/>
        <v>0</v>
      </c>
      <c r="AP20" s="301">
        <f t="shared" si="122"/>
        <v>0</v>
      </c>
      <c r="AQ20" s="301">
        <f t="shared" si="122"/>
        <v>0</v>
      </c>
      <c r="AR20" s="301">
        <f t="shared" si="122"/>
        <v>0</v>
      </c>
      <c r="AS20" s="301">
        <f t="shared" si="122"/>
        <v>0</v>
      </c>
      <c r="AT20" s="301">
        <f t="shared" si="122"/>
        <v>0</v>
      </c>
      <c r="AU20" s="301">
        <f t="shared" si="122"/>
        <v>0</v>
      </c>
      <c r="AV20" s="301">
        <f t="shared" si="122"/>
        <v>0</v>
      </c>
      <c r="AW20" s="301">
        <f t="shared" si="122"/>
        <v>0</v>
      </c>
      <c r="AX20" s="301">
        <f t="shared" si="122"/>
        <v>0</v>
      </c>
      <c r="AY20" s="301">
        <f t="shared" si="122"/>
        <v>0</v>
      </c>
      <c r="AZ20" s="301">
        <f t="shared" si="122"/>
        <v>0</v>
      </c>
      <c r="BA20" s="301">
        <f t="shared" si="122"/>
        <v>0</v>
      </c>
      <c r="BB20" s="301">
        <f t="shared" si="122"/>
        <v>0</v>
      </c>
      <c r="BC20" s="301">
        <f t="shared" si="122"/>
        <v>0</v>
      </c>
      <c r="BD20" s="301">
        <f t="shared" si="122"/>
        <v>0</v>
      </c>
      <c r="BE20" s="301">
        <f t="shared" si="122"/>
        <v>0</v>
      </c>
      <c r="BF20" s="301">
        <f t="shared" si="122"/>
        <v>0</v>
      </c>
      <c r="BG20" s="301">
        <f t="shared" si="122"/>
        <v>0</v>
      </c>
      <c r="BH20" s="301">
        <f t="shared" si="122"/>
        <v>0</v>
      </c>
      <c r="BI20" s="301">
        <f t="shared" si="122"/>
        <v>0</v>
      </c>
      <c r="BJ20" s="301">
        <f t="shared" si="122"/>
        <v>0</v>
      </c>
      <c r="BK20" s="301">
        <f t="shared" si="122"/>
        <v>0</v>
      </c>
      <c r="BL20" s="301">
        <f t="shared" si="122"/>
        <v>0</v>
      </c>
      <c r="BM20" s="301">
        <f t="shared" si="122"/>
        <v>0</v>
      </c>
      <c r="BN20" s="301">
        <f t="shared" si="122"/>
        <v>0</v>
      </c>
      <c r="BO20" s="301">
        <f t="shared" ref="BO20:CT20" si="123">SUM(BO16:BO19)+BO13</f>
        <v>0</v>
      </c>
      <c r="BP20" s="301">
        <f t="shared" si="123"/>
        <v>0</v>
      </c>
      <c r="BQ20" s="301">
        <f t="shared" si="123"/>
        <v>0</v>
      </c>
      <c r="BR20" s="301">
        <f t="shared" si="123"/>
        <v>0</v>
      </c>
      <c r="BS20" s="301">
        <f t="shared" si="123"/>
        <v>0</v>
      </c>
      <c r="BT20" s="301">
        <f t="shared" si="123"/>
        <v>0</v>
      </c>
      <c r="BU20" s="301">
        <f t="shared" si="123"/>
        <v>0</v>
      </c>
      <c r="BV20" s="301">
        <f t="shared" si="123"/>
        <v>0</v>
      </c>
      <c r="BW20" s="301">
        <f t="shared" si="123"/>
        <v>0</v>
      </c>
      <c r="BX20" s="301">
        <f t="shared" si="123"/>
        <v>0</v>
      </c>
      <c r="BY20" s="301">
        <f t="shared" si="123"/>
        <v>0</v>
      </c>
      <c r="BZ20" s="301">
        <f t="shared" si="123"/>
        <v>0</v>
      </c>
      <c r="CA20" s="301">
        <f t="shared" si="123"/>
        <v>0</v>
      </c>
      <c r="CB20" s="301">
        <f t="shared" si="123"/>
        <v>0</v>
      </c>
      <c r="CC20" s="301">
        <f t="shared" si="123"/>
        <v>0</v>
      </c>
      <c r="CD20" s="301">
        <f t="shared" si="123"/>
        <v>0</v>
      </c>
      <c r="CE20" s="301">
        <f t="shared" si="123"/>
        <v>0</v>
      </c>
      <c r="CF20" s="301">
        <f t="shared" si="123"/>
        <v>0</v>
      </c>
      <c r="CG20" s="301">
        <f t="shared" si="123"/>
        <v>0</v>
      </c>
      <c r="CH20" s="301">
        <f t="shared" si="123"/>
        <v>0</v>
      </c>
      <c r="CI20" s="301">
        <f t="shared" si="123"/>
        <v>0</v>
      </c>
      <c r="CJ20" s="301">
        <f t="shared" si="123"/>
        <v>0</v>
      </c>
      <c r="CK20" s="301">
        <f t="shared" si="123"/>
        <v>0</v>
      </c>
      <c r="CL20" s="301">
        <f t="shared" si="123"/>
        <v>0</v>
      </c>
      <c r="CM20" s="301">
        <f t="shared" si="123"/>
        <v>0</v>
      </c>
      <c r="CN20" s="301">
        <f t="shared" si="123"/>
        <v>0</v>
      </c>
      <c r="CO20" s="301">
        <f t="shared" si="123"/>
        <v>0</v>
      </c>
      <c r="CP20" s="301">
        <f t="shared" si="123"/>
        <v>0</v>
      </c>
      <c r="CQ20" s="301">
        <f t="shared" si="123"/>
        <v>0</v>
      </c>
      <c r="CR20" s="301">
        <f t="shared" si="123"/>
        <v>0</v>
      </c>
      <c r="CS20" s="301">
        <f t="shared" si="123"/>
        <v>0</v>
      </c>
      <c r="CT20" s="301">
        <f t="shared" si="123"/>
        <v>0</v>
      </c>
      <c r="CU20" s="301">
        <f t="shared" ref="CU20:EC20" si="124">SUM(CU16:CU19)+CU13</f>
        <v>0</v>
      </c>
      <c r="CV20" s="301">
        <f t="shared" si="124"/>
        <v>0</v>
      </c>
      <c r="CW20" s="301">
        <f t="shared" si="124"/>
        <v>0</v>
      </c>
      <c r="CX20" s="301">
        <f t="shared" si="124"/>
        <v>0</v>
      </c>
      <c r="CY20" s="301">
        <f t="shared" si="124"/>
        <v>0</v>
      </c>
      <c r="CZ20" s="301">
        <f t="shared" si="124"/>
        <v>0</v>
      </c>
      <c r="DA20" s="301">
        <f t="shared" si="124"/>
        <v>0</v>
      </c>
      <c r="DB20" s="301">
        <f t="shared" si="124"/>
        <v>0</v>
      </c>
      <c r="DC20" s="301">
        <f t="shared" si="124"/>
        <v>0</v>
      </c>
      <c r="DD20" s="301">
        <f t="shared" si="124"/>
        <v>0</v>
      </c>
      <c r="DE20" s="301">
        <f t="shared" si="124"/>
        <v>0</v>
      </c>
      <c r="DF20" s="301">
        <f t="shared" si="124"/>
        <v>0</v>
      </c>
      <c r="DG20" s="301">
        <f t="shared" si="124"/>
        <v>0</v>
      </c>
      <c r="DH20" s="301">
        <f t="shared" si="124"/>
        <v>0</v>
      </c>
      <c r="DI20" s="301">
        <f t="shared" si="124"/>
        <v>0</v>
      </c>
      <c r="DJ20" s="301">
        <f t="shared" si="124"/>
        <v>0</v>
      </c>
      <c r="DK20" s="301">
        <f t="shared" si="124"/>
        <v>0</v>
      </c>
      <c r="DL20" s="301">
        <f t="shared" si="124"/>
        <v>0</v>
      </c>
      <c r="DM20" s="301">
        <f t="shared" si="124"/>
        <v>0</v>
      </c>
      <c r="DN20" s="301">
        <f t="shared" si="124"/>
        <v>0</v>
      </c>
      <c r="DO20" s="301">
        <f t="shared" si="124"/>
        <v>0</v>
      </c>
      <c r="DP20" s="301">
        <f t="shared" si="124"/>
        <v>0</v>
      </c>
      <c r="DQ20" s="301">
        <f t="shared" si="124"/>
        <v>0</v>
      </c>
      <c r="DR20" s="301">
        <f t="shared" si="124"/>
        <v>0</v>
      </c>
      <c r="DT20" s="301">
        <f t="shared" si="124"/>
        <v>0</v>
      </c>
      <c r="DU20" s="301">
        <f t="shared" si="124"/>
        <v>0</v>
      </c>
      <c r="DV20" s="301">
        <f t="shared" si="124"/>
        <v>0</v>
      </c>
      <c r="DW20" s="301">
        <f t="shared" si="124"/>
        <v>0</v>
      </c>
      <c r="DX20" s="301">
        <f t="shared" si="124"/>
        <v>0</v>
      </c>
      <c r="DY20" s="301">
        <f t="shared" si="124"/>
        <v>0</v>
      </c>
      <c r="DZ20" s="301">
        <f t="shared" si="124"/>
        <v>0</v>
      </c>
      <c r="EA20" s="301">
        <f t="shared" si="124"/>
        <v>0</v>
      </c>
      <c r="EB20" s="301">
        <f t="shared" si="124"/>
        <v>0</v>
      </c>
      <c r="EC20" s="301">
        <f t="shared" si="124"/>
        <v>0</v>
      </c>
    </row>
    <row r="21" thickTop="1">
      <c r="A21" s="309"/>
    </row>
    <row r="22" ht="14.5">
      <c r="A22" t="s">
        <v>1247</v>
      </c>
      <c r="C22" s="47">
        <f>-C6+'SP-mese'!C9-'SP-mese'!D9+'SP-mese'!D61-'SP-mese'!C61</f>
        <v>0</v>
      </c>
      <c r="D22" s="47">
        <f>-D6+'SP-mese'!D9-'SP-mese'!E9+'SP-mese'!E61-'SP-mese'!D61</f>
        <v>0</v>
      </c>
      <c r="E22" s="47">
        <f>-E6+'SP-mese'!E9-'SP-mese'!F9+'SP-mese'!F61-'SP-mese'!E61</f>
        <v>0</v>
      </c>
      <c r="F22" s="47">
        <f>-F6+'SP-mese'!F9-'SP-mese'!G9+'SP-mese'!G61-'SP-mese'!F61</f>
        <v>0</v>
      </c>
      <c r="G22" s="47">
        <f>-G6+'SP-mese'!G9-'SP-mese'!H9+'SP-mese'!H61-'SP-mese'!G61</f>
        <v>0</v>
      </c>
      <c r="H22" s="47">
        <f>-H6+'SP-mese'!H9-'SP-mese'!I9+'SP-mese'!I61-'SP-mese'!H61</f>
        <v>0</v>
      </c>
      <c r="I22" s="47">
        <f>-I6+'SP-mese'!I9-'SP-mese'!J9+'SP-mese'!J61-'SP-mese'!I61</f>
        <v>0</v>
      </c>
      <c r="J22" s="47">
        <f>-J6+'SP-mese'!J9-'SP-mese'!K9+'SP-mese'!K61-'SP-mese'!J61</f>
        <v>0</v>
      </c>
      <c r="K22" s="47">
        <f>-K6+'SP-mese'!K9-'SP-mese'!L9+'SP-mese'!L61-'SP-mese'!K61</f>
        <v>0</v>
      </c>
      <c r="L22" s="47">
        <f>-L6+'SP-mese'!L9-'SP-mese'!M9+'SP-mese'!M61-'SP-mese'!L61</f>
        <v>0</v>
      </c>
      <c r="M22" s="47">
        <f>-M6+'SP-mese'!M9-'SP-mese'!N9+'SP-mese'!N61-'SP-mese'!M61</f>
        <v>0</v>
      </c>
      <c r="N22" s="47">
        <f>-N6+'SP-mese'!N9-'SP-mese'!O9+'SP-mese'!O61-'SP-mese'!N61</f>
        <v>0</v>
      </c>
      <c r="O22" s="47">
        <f>-O6+'SP-mese'!O9-'SP-mese'!P9+'SP-mese'!P61-'SP-mese'!O61</f>
        <v>0</v>
      </c>
      <c r="P22" s="47">
        <f>-P6+'SP-mese'!P9-'SP-mese'!Q9+'SP-mese'!Q61-'SP-mese'!P61</f>
        <v>0</v>
      </c>
      <c r="Q22" s="47">
        <f>-Q6+'SP-mese'!Q9-'SP-mese'!R9+'SP-mese'!R61-'SP-mese'!Q61</f>
        <v>0</v>
      </c>
      <c r="R22" s="47">
        <f>-R6+'SP-mese'!R9-'SP-mese'!S9+'SP-mese'!S61-'SP-mese'!R61</f>
        <v>0</v>
      </c>
      <c r="S22" s="47">
        <f>-S6+'SP-mese'!S9-'SP-mese'!T9+'SP-mese'!T61-'SP-mese'!S61</f>
        <v>0</v>
      </c>
      <c r="T22" s="47">
        <f>-T6+'SP-mese'!T9-'SP-mese'!U9+'SP-mese'!U61-'SP-mese'!T61</f>
        <v>0</v>
      </c>
      <c r="U22" s="47">
        <f>-U6+'SP-mese'!U9-'SP-mese'!V9+'SP-mese'!V61-'SP-mese'!U61</f>
        <v>0</v>
      </c>
      <c r="V22" s="47">
        <f>-V6+'SP-mese'!V9-'SP-mese'!W9+'SP-mese'!W61-'SP-mese'!V61</f>
        <v>0</v>
      </c>
      <c r="W22" s="47">
        <f>-W6+'SP-mese'!W9-'SP-mese'!X9+'SP-mese'!X61-'SP-mese'!W61</f>
        <v>0</v>
      </c>
      <c r="X22" s="47">
        <f>-X6+'SP-mese'!X9-'SP-mese'!Y9+'SP-mese'!Y61-'SP-mese'!X61</f>
        <v>0</v>
      </c>
      <c r="Y22" s="47">
        <f>-Y6+'SP-mese'!Y9-'SP-mese'!Z9+'SP-mese'!Z61-'SP-mese'!Y61</f>
        <v>0</v>
      </c>
      <c r="Z22" s="47">
        <f>-Z6+'SP-mese'!Z9-'SP-mese'!AA9+'SP-mese'!AA61-'SP-mese'!Z61</f>
        <v>0</v>
      </c>
      <c r="AA22" s="47">
        <f>-AA6+'SP-mese'!AA9-'SP-mese'!AB9+'SP-mese'!AB61-'SP-mese'!AA61</f>
        <v>0</v>
      </c>
      <c r="AB22" s="47">
        <f>-AB6+'SP-mese'!AB9-'SP-mese'!AC9+'SP-mese'!AC61-'SP-mese'!AB61</f>
        <v>0</v>
      </c>
      <c r="AC22" s="47">
        <f>-AC6+'SP-mese'!AC9-'SP-mese'!AD9+'SP-mese'!AD61-'SP-mese'!AC61</f>
        <v>0</v>
      </c>
      <c r="AD22" s="47">
        <f>-AD6+'SP-mese'!AD9-'SP-mese'!AE9+'SP-mese'!AE61-'SP-mese'!AD61</f>
        <v>0</v>
      </c>
      <c r="AE22" s="47">
        <f>-AE6+'SP-mese'!AE9-'SP-mese'!AF9+'SP-mese'!AF61-'SP-mese'!AE61</f>
        <v>0</v>
      </c>
      <c r="AF22" s="47">
        <f>-AF6+'SP-mese'!AF9-'SP-mese'!AG9+'SP-mese'!AG61-'SP-mese'!AF61</f>
        <v>0</v>
      </c>
      <c r="AG22" s="47">
        <f>-AG6+'SP-mese'!AG9-'SP-mese'!AH9+'SP-mese'!AH61-'SP-mese'!AG61</f>
        <v>0</v>
      </c>
      <c r="AH22" s="47">
        <f>-AH6+'SP-mese'!AH9-'SP-mese'!AI9+'SP-mese'!AI61-'SP-mese'!AH61</f>
        <v>0</v>
      </c>
      <c r="AI22" s="47">
        <f>-AI6+'SP-mese'!AI9-'SP-mese'!AJ9+'SP-mese'!AJ61-'SP-mese'!AI61</f>
        <v>0</v>
      </c>
      <c r="AJ22" s="47">
        <f>-AJ6+'SP-mese'!AJ9-'SP-mese'!AK9+'SP-mese'!AK61-'SP-mese'!AJ61</f>
        <v>0</v>
      </c>
      <c r="AK22" s="47">
        <f>-AK6+'SP-mese'!AK9-'SP-mese'!AL9+'SP-mese'!AL61-'SP-mese'!AK61</f>
        <v>0</v>
      </c>
      <c r="AL22" s="47">
        <f>-AL6+'SP-mese'!AL9-'SP-mese'!AM9+'SP-mese'!AM61-'SP-mese'!AL61</f>
        <v>0</v>
      </c>
      <c r="AM22" s="47">
        <f>-AM6+'SP-mese'!AM9-'SP-mese'!AN9+'SP-mese'!AN61-'SP-mese'!AM61</f>
        <v>0</v>
      </c>
      <c r="AN22" s="47">
        <f>-AN6+'SP-mese'!AN9-'SP-mese'!AO9+'SP-mese'!AO61-'SP-mese'!AN61</f>
        <v>0</v>
      </c>
      <c r="AO22" s="47">
        <f>-AO6+'SP-mese'!AO9-'SP-mese'!AP9+'SP-mese'!AP61-'SP-mese'!AO61</f>
        <v>0</v>
      </c>
      <c r="AP22" s="47">
        <f>-AP6+'SP-mese'!AP9-'SP-mese'!AQ9+'SP-mese'!AQ61-'SP-mese'!AP61</f>
        <v>0</v>
      </c>
      <c r="AQ22" s="47">
        <f>-AQ6+'SP-mese'!AQ9-'SP-mese'!AR9+'SP-mese'!AR61-'SP-mese'!AQ61</f>
        <v>0</v>
      </c>
      <c r="AR22" s="47">
        <f>-AR6+'SP-mese'!AR9-'SP-mese'!AS9+'SP-mese'!AS61-'SP-mese'!AR61</f>
        <v>0</v>
      </c>
      <c r="AS22" s="47">
        <f>-AS6+'SP-mese'!AS9-'SP-mese'!AT9+'SP-mese'!AT61-'SP-mese'!AS61</f>
        <v>0</v>
      </c>
      <c r="AT22" s="47">
        <f>-AT6+'SP-mese'!AT9-'SP-mese'!AU9+'SP-mese'!AU61-'SP-mese'!AT61</f>
        <v>0</v>
      </c>
      <c r="AU22" s="47">
        <f>-AU6+'SP-mese'!AU9-'SP-mese'!AV9+'SP-mese'!AV61-'SP-mese'!AU61</f>
        <v>0</v>
      </c>
      <c r="AV22" s="47">
        <f>-AV6+'SP-mese'!AV9-'SP-mese'!AW9+'SP-mese'!AW61-'SP-mese'!AV61</f>
        <v>0</v>
      </c>
      <c r="AW22" s="47">
        <f>-AW6+'SP-mese'!AW9-'SP-mese'!AX9+'SP-mese'!AX61-'SP-mese'!AW61</f>
        <v>0</v>
      </c>
      <c r="AX22" s="47">
        <f>-AX6+'SP-mese'!AX9-'SP-mese'!AY9+'SP-mese'!AY61-'SP-mese'!AX61</f>
        <v>0</v>
      </c>
      <c r="AY22" s="47">
        <f>-AY6+'SP-mese'!AY9-'SP-mese'!AZ9+'SP-mese'!AZ61-'SP-mese'!AY61</f>
        <v>0</v>
      </c>
      <c r="AZ22" s="47">
        <f>-AZ6+'SP-mese'!AZ9-'SP-mese'!BA9+'SP-mese'!BA61-'SP-mese'!AZ61</f>
        <v>0</v>
      </c>
      <c r="BA22" s="47">
        <f>-BA6+'SP-mese'!BA9-'SP-mese'!BB9+'SP-mese'!BB61-'SP-mese'!BA61</f>
        <v>0</v>
      </c>
      <c r="BB22" s="47">
        <f>-BB6+'SP-mese'!BB9-'SP-mese'!BC9+'SP-mese'!BC61-'SP-mese'!BB61</f>
        <v>0</v>
      </c>
      <c r="BC22" s="47">
        <f>-BC6+'SP-mese'!BC9-'SP-mese'!BD9+'SP-mese'!BD61-'SP-mese'!BC61</f>
        <v>0</v>
      </c>
      <c r="BD22" s="47">
        <f>-BD6+'SP-mese'!BD9-'SP-mese'!BE9+'SP-mese'!BE61-'SP-mese'!BD61</f>
        <v>0</v>
      </c>
      <c r="BE22" s="47">
        <f>-BE6+'SP-mese'!BE9-'SP-mese'!BF9+'SP-mese'!BF61-'SP-mese'!BE61</f>
        <v>0</v>
      </c>
      <c r="BF22" s="47">
        <f>-BF6+'SP-mese'!BF9-'SP-mese'!BG9+'SP-mese'!BG61-'SP-mese'!BF61</f>
        <v>0</v>
      </c>
      <c r="BG22" s="47">
        <f>-BG6+'SP-mese'!BG9-'SP-mese'!BH9+'SP-mese'!BH61-'SP-mese'!BG61</f>
        <v>0</v>
      </c>
      <c r="BH22" s="47">
        <f>-BH6+'SP-mese'!BH9-'SP-mese'!BI9+'SP-mese'!BI61-'SP-mese'!BH61</f>
        <v>0</v>
      </c>
      <c r="BI22" s="47">
        <f>-BI6+'SP-mese'!BI9-'SP-mese'!BJ9+'SP-mese'!BJ61-'SP-mese'!BI61</f>
        <v>0</v>
      </c>
      <c r="BJ22" s="47">
        <f>-BJ6+'SP-mese'!BJ9-'SP-mese'!BK9+'SP-mese'!BK61-'SP-mese'!BJ61</f>
        <v>0</v>
      </c>
      <c r="BK22" s="47">
        <f>-BK6+'SP-mese'!BK9-'SP-mese'!BL9+'SP-mese'!BL61-'SP-mese'!BK61</f>
        <v>0</v>
      </c>
      <c r="BL22" s="47">
        <f>-BL6+'SP-mese'!BL9-'SP-mese'!BM9+'SP-mese'!BM61-'SP-mese'!BL61</f>
        <v>0</v>
      </c>
      <c r="BM22" s="47">
        <f>-BM6+'SP-mese'!BM9-'SP-mese'!BN9+'SP-mese'!BN61-'SP-mese'!BM61</f>
        <v>0</v>
      </c>
      <c r="BN22" s="47">
        <f>-BN6+'SP-mese'!BN9-'SP-mese'!BO9+'SP-mese'!BO61-'SP-mese'!BN61</f>
        <v>0</v>
      </c>
      <c r="BO22" s="47">
        <f>-BO6+'SP-mese'!BO9-'SP-mese'!BP9+'SP-mese'!BP61-'SP-mese'!BO61</f>
        <v>0</v>
      </c>
      <c r="BP22" s="47">
        <f>-BP6+'SP-mese'!BP9-'SP-mese'!BQ9+'SP-mese'!BQ61-'SP-mese'!BP61</f>
        <v>0</v>
      </c>
      <c r="BQ22" s="47">
        <f>-BQ6+'SP-mese'!BQ9-'SP-mese'!BR9+'SP-mese'!BR61-'SP-mese'!BQ61</f>
        <v>0</v>
      </c>
      <c r="BR22" s="47">
        <f>-BR6+'SP-mese'!BR9-'SP-mese'!BS9+'SP-mese'!BS61-'SP-mese'!BR61</f>
        <v>0</v>
      </c>
      <c r="BS22" s="47">
        <f>-BS6+'SP-mese'!BS9-'SP-mese'!BT9+'SP-mese'!BT61-'SP-mese'!BS61</f>
        <v>0</v>
      </c>
      <c r="BT22" s="47">
        <f>-BT6+'SP-mese'!BT9-'SP-mese'!BU9+'SP-mese'!BU61-'SP-mese'!BT61</f>
        <v>0</v>
      </c>
      <c r="BU22" s="47">
        <f>-BU6+'SP-mese'!BU9-'SP-mese'!BV9+'SP-mese'!BV61-'SP-mese'!BU61</f>
        <v>0</v>
      </c>
      <c r="BV22" s="47">
        <f>-BV6+'SP-mese'!BV9-'SP-mese'!BW9+'SP-mese'!BW61-'SP-mese'!BV61</f>
        <v>0</v>
      </c>
      <c r="BW22" s="47">
        <f>-BW6+'SP-mese'!BW9-'SP-mese'!BX9+'SP-mese'!BX61-'SP-mese'!BW61</f>
        <v>0</v>
      </c>
      <c r="BX22" s="47">
        <f>-BX6+'SP-mese'!BX9-'SP-mese'!BY9+'SP-mese'!BY61-'SP-mese'!BX61</f>
        <v>0</v>
      </c>
      <c r="BY22" s="47">
        <f>-BY6+'SP-mese'!BY9-'SP-mese'!BZ9+'SP-mese'!BZ61-'SP-mese'!BY61</f>
        <v>0</v>
      </c>
      <c r="BZ22" s="47">
        <f>-BZ6+'SP-mese'!BZ9-'SP-mese'!CA9+'SP-mese'!CA61-'SP-mese'!BZ61</f>
        <v>0</v>
      </c>
      <c r="CA22" s="47">
        <f>-CA6+'SP-mese'!CA9-'SP-mese'!CB9+'SP-mese'!CB61-'SP-mese'!CA61</f>
        <v>0</v>
      </c>
      <c r="CB22" s="47">
        <f>-CB6+'SP-mese'!CB9-'SP-mese'!CC9+'SP-mese'!CC61-'SP-mese'!CB61</f>
        <v>0</v>
      </c>
      <c r="CC22" s="47">
        <f>-CC6+'SP-mese'!CC9-'SP-mese'!CD9+'SP-mese'!CD61-'SP-mese'!CC61</f>
        <v>0</v>
      </c>
      <c r="CD22" s="47">
        <f>-CD6+'SP-mese'!CD9-'SP-mese'!CE9+'SP-mese'!CE61-'SP-mese'!CD61</f>
        <v>0</v>
      </c>
      <c r="CE22" s="47">
        <f>-CE6+'SP-mese'!CE9-'SP-mese'!CF9+'SP-mese'!CF61-'SP-mese'!CE61</f>
        <v>0</v>
      </c>
      <c r="CF22" s="47">
        <f>-CF6+'SP-mese'!CF9-'SP-mese'!CG9+'SP-mese'!CG61-'SP-mese'!CF61</f>
        <v>0</v>
      </c>
      <c r="CG22" s="47">
        <f>-CG6+'SP-mese'!CG9-'SP-mese'!CH9+'SP-mese'!CH61-'SP-mese'!CG61</f>
        <v>0</v>
      </c>
      <c r="CH22" s="47">
        <f>-CH6+'SP-mese'!CH9-'SP-mese'!CI9+'SP-mese'!CI61-'SP-mese'!CH61</f>
        <v>0</v>
      </c>
      <c r="CI22" s="47">
        <f>-CI6+'SP-mese'!CI9-'SP-mese'!CJ9+'SP-mese'!CJ61-'SP-mese'!CI61</f>
        <v>0</v>
      </c>
      <c r="CJ22" s="47">
        <f>-CJ6+'SP-mese'!CJ9-'SP-mese'!CK9+'SP-mese'!CK61-'SP-mese'!CJ61</f>
        <v>0</v>
      </c>
      <c r="CK22" s="47">
        <f>-CK6+'SP-mese'!CK9-'SP-mese'!CL9+'SP-mese'!CL61-'SP-mese'!CK61</f>
        <v>0</v>
      </c>
      <c r="CL22" s="47">
        <f>-CL6+'SP-mese'!CL9-'SP-mese'!CM9+'SP-mese'!CM61-'SP-mese'!CL61</f>
        <v>0</v>
      </c>
      <c r="CM22" s="47">
        <f>-CM6+'SP-mese'!CM9-'SP-mese'!CN9+'SP-mese'!CN61-'SP-mese'!CM61</f>
        <v>0</v>
      </c>
      <c r="CN22" s="47">
        <f>-CN6+'SP-mese'!CN9-'SP-mese'!CO9+'SP-mese'!CO61-'SP-mese'!CN61</f>
        <v>0</v>
      </c>
      <c r="CO22" s="47">
        <f>-CO6+'SP-mese'!CO9-'SP-mese'!CP9+'SP-mese'!CP61-'SP-mese'!CO61</f>
        <v>0</v>
      </c>
      <c r="CP22" s="47">
        <f>-CP6+'SP-mese'!CP9-'SP-mese'!CQ9+'SP-mese'!CQ61-'SP-mese'!CP61</f>
        <v>0</v>
      </c>
      <c r="CQ22" s="47">
        <f>-CQ6+'SP-mese'!CQ9-'SP-mese'!CR9+'SP-mese'!CR61-'SP-mese'!CQ61</f>
        <v>0</v>
      </c>
      <c r="CR22" s="47">
        <f>-CR6+'SP-mese'!CR9-'SP-mese'!CS9+'SP-mese'!CS61-'SP-mese'!CR61</f>
        <v>0</v>
      </c>
      <c r="CS22" s="47">
        <f>-CS6+'SP-mese'!CS9-'SP-mese'!CT9+'SP-mese'!CT61-'SP-mese'!CS61</f>
        <v>0</v>
      </c>
      <c r="CT22" s="47">
        <f>-CT6+'SP-mese'!CT9-'SP-mese'!CU9+'SP-mese'!CU61-'SP-mese'!CT61</f>
        <v>0</v>
      </c>
      <c r="CU22" s="47">
        <f>-CU6+'SP-mese'!CU9-'SP-mese'!CV9+'SP-mese'!CV61-'SP-mese'!CU61</f>
        <v>0</v>
      </c>
      <c r="CV22" s="47">
        <f>-CV6+'SP-mese'!CV9-'SP-mese'!CW9+'SP-mese'!CW61-'SP-mese'!CV61</f>
        <v>0</v>
      </c>
      <c r="CW22" s="47">
        <f>-CW6+'SP-mese'!CW9-'SP-mese'!CX9+'SP-mese'!CX61-'SP-mese'!CW61</f>
        <v>0</v>
      </c>
      <c r="CX22" s="47">
        <f>-CX6+'SP-mese'!CX9-'SP-mese'!CY9+'SP-mese'!CY61-'SP-mese'!CX61</f>
        <v>0</v>
      </c>
      <c r="CY22" s="47">
        <f>-CY6+'SP-mese'!CY9-'SP-mese'!CZ9+'SP-mese'!CZ61-'SP-mese'!CY61</f>
        <v>0</v>
      </c>
      <c r="CZ22" s="47">
        <f>-CZ6+'SP-mese'!CZ9-'SP-mese'!DA9+'SP-mese'!DA61-'SP-mese'!CZ61</f>
        <v>0</v>
      </c>
      <c r="DA22" s="47">
        <f>-DA6+'SP-mese'!DA9-'SP-mese'!DB9+'SP-mese'!DB61-'SP-mese'!DA61</f>
        <v>0</v>
      </c>
      <c r="DB22" s="47">
        <f>-DB6+'SP-mese'!DB9-'SP-mese'!DC9+'SP-mese'!DC61-'SP-mese'!DB61</f>
        <v>0</v>
      </c>
      <c r="DC22" s="47">
        <f>-DC6+'SP-mese'!DC9-'SP-mese'!DD9+'SP-mese'!DD61-'SP-mese'!DC61</f>
        <v>0</v>
      </c>
      <c r="DD22" s="47">
        <f>-DD6+'SP-mese'!DD9-'SP-mese'!DE9+'SP-mese'!DE61-'SP-mese'!DD61</f>
        <v>0</v>
      </c>
      <c r="DE22" s="47">
        <f>-DE6+'SP-mese'!DE9-'SP-mese'!DF9+'SP-mese'!DF61-'SP-mese'!DE61</f>
        <v>0</v>
      </c>
      <c r="DF22" s="47">
        <f>-DF6+'SP-mese'!DF9-'SP-mese'!DG9+'SP-mese'!DG61-'SP-mese'!DF61</f>
        <v>0</v>
      </c>
      <c r="DG22" s="47">
        <f>-DG6+'SP-mese'!DG9-'SP-mese'!DH9+'SP-mese'!DH61-'SP-mese'!DG61</f>
        <v>0</v>
      </c>
      <c r="DH22" s="47">
        <f>-DH6+'SP-mese'!DH9-'SP-mese'!DI9+'SP-mese'!DI61-'SP-mese'!DH61</f>
        <v>0</v>
      </c>
      <c r="DI22" s="47">
        <f>-DI6+'SP-mese'!DI9-'SP-mese'!DJ9+'SP-mese'!DJ61-'SP-mese'!DI61</f>
        <v>0</v>
      </c>
      <c r="DJ22" s="47">
        <f>-DJ6+'SP-mese'!DJ9-'SP-mese'!DK9+'SP-mese'!DK61-'SP-mese'!DJ61</f>
        <v>0</v>
      </c>
      <c r="DK22" s="47">
        <f>-DK6+'SP-mese'!DK9-'SP-mese'!DL9+'SP-mese'!DL61-'SP-mese'!DK61</f>
        <v>0</v>
      </c>
      <c r="DL22" s="47">
        <f>-DL6+'SP-mese'!DL9-'SP-mese'!DM9+'SP-mese'!DM61-'SP-mese'!DL61</f>
        <v>0</v>
      </c>
      <c r="DM22" s="47">
        <f>-DM6+'SP-mese'!DM9-'SP-mese'!DN9+'SP-mese'!DN61-'SP-mese'!DM61</f>
        <v>0</v>
      </c>
      <c r="DN22" s="47">
        <f>-DN6+'SP-mese'!DN9-'SP-mese'!DO9+'SP-mese'!DO61-'SP-mese'!DN61</f>
        <v>0</v>
      </c>
      <c r="DO22" s="47">
        <f>-DO6+'SP-mese'!DO9-'SP-mese'!DP9+'SP-mese'!DP61-'SP-mese'!DO61</f>
        <v>0</v>
      </c>
      <c r="DP22" s="47">
        <f>-DP6+'SP-mese'!DP9-'SP-mese'!DQ9+'SP-mese'!DQ61-'SP-mese'!DP61</f>
        <v>0</v>
      </c>
      <c r="DQ22" s="47">
        <f>-DQ6+'SP-mese'!DQ9-'SP-mese'!DR9+'SP-mese'!DR61-'SP-mese'!DQ61</f>
        <v>0</v>
      </c>
      <c r="DR22" s="47">
        <f>-DR6+'SP-mese'!DR9-'SP-mese'!DS9+'SP-mese'!DS61-'SP-mese'!DR61</f>
        <v>0</v>
      </c>
      <c r="DT22" s="144">
        <f t="shared" ref="DT22:EC23" si="125">+SUMIF($C$1:$DR$1,DT$1,$C22:$DR22)</f>
        <v>0</v>
      </c>
      <c r="DU22" s="144">
        <f t="shared" si="125"/>
        <v>0</v>
      </c>
      <c r="DV22" s="144">
        <f t="shared" si="125"/>
        <v>0</v>
      </c>
      <c r="DW22" s="144">
        <f t="shared" si="125"/>
        <v>0</v>
      </c>
      <c r="DX22" s="144">
        <f t="shared" si="125"/>
        <v>0</v>
      </c>
      <c r="DY22" s="144">
        <f t="shared" si="125"/>
        <v>0</v>
      </c>
      <c r="DZ22" s="144">
        <f t="shared" si="125"/>
        <v>0</v>
      </c>
      <c r="EA22" s="144">
        <f t="shared" si="125"/>
        <v>0</v>
      </c>
      <c r="EB22" s="144">
        <f t="shared" si="125"/>
        <v>0</v>
      </c>
      <c r="EC22" s="144">
        <f t="shared" si="125"/>
        <v>0</v>
      </c>
    </row>
    <row r="23" thickBot="1">
      <c r="A23" t="s">
        <v>1248</v>
      </c>
      <c r="C23" s="47">
        <f>+'SP-mese'!D70-'SP-mese'!C70+'SP-mese'!D69-'SP-mese'!C69-C11</f>
        <v>0</v>
      </c>
      <c r="D23" s="47">
        <f>+'SP-mese'!E70-'SP-mese'!D70+'SP-mese'!E69-'SP-mese'!D69-D11</f>
        <v>0</v>
      </c>
      <c r="E23" s="47">
        <f>+'SP-mese'!F70-'SP-mese'!E70+'SP-mese'!F69-'SP-mese'!E69-E11</f>
        <v>0</v>
      </c>
      <c r="F23" s="47">
        <f>+'SP-mese'!G70-'SP-mese'!F70+'SP-mese'!G69-'SP-mese'!F69-F11</f>
        <v>0</v>
      </c>
      <c r="G23" s="47">
        <f>+'SP-mese'!H70-'SP-mese'!G70+'SP-mese'!H69-'SP-mese'!G69-G11</f>
        <v>0</v>
      </c>
      <c r="H23" s="47">
        <f>+'SP-mese'!I70-'SP-mese'!H70+'SP-mese'!I69-'SP-mese'!H69-H11</f>
        <v>0</v>
      </c>
      <c r="I23" s="47">
        <f>+'SP-mese'!J70-'SP-mese'!I70+'SP-mese'!J69-'SP-mese'!I69-I11</f>
        <v>0</v>
      </c>
      <c r="J23" s="47">
        <f>+'SP-mese'!K70-'SP-mese'!J70+'SP-mese'!K69-'SP-mese'!J69-J11</f>
        <v>0</v>
      </c>
      <c r="K23" s="47">
        <f>+'SP-mese'!L70-'SP-mese'!K70+'SP-mese'!L69-'SP-mese'!K69-K11</f>
        <v>0</v>
      </c>
      <c r="L23" s="47">
        <f>+'SP-mese'!M70-'SP-mese'!L70+'SP-mese'!M69-'SP-mese'!L69-L11</f>
        <v>0</v>
      </c>
      <c r="M23" s="47">
        <f>+'SP-mese'!N70-'SP-mese'!M70+'SP-mese'!N69-'SP-mese'!M69-M11</f>
        <v>0</v>
      </c>
      <c r="N23" s="47">
        <f>+'SP-mese'!O70-'SP-mese'!N70+'SP-mese'!O69-'SP-mese'!N69-N11</f>
        <v>0</v>
      </c>
      <c r="O23" s="47">
        <f>+'SP-mese'!P70-'SP-mese'!O70+'SP-mese'!P69-'SP-mese'!O69-O11</f>
        <v>0</v>
      </c>
      <c r="P23" s="47">
        <f>+'SP-mese'!Q70-'SP-mese'!P70+'SP-mese'!Q69-'SP-mese'!P69-P11</f>
        <v>0</v>
      </c>
      <c r="Q23" s="47">
        <f>+'SP-mese'!R70-'SP-mese'!Q70+'SP-mese'!R69-'SP-mese'!Q69-Q11</f>
        <v>0</v>
      </c>
      <c r="R23" s="47">
        <f>+'SP-mese'!S70-'SP-mese'!R70+'SP-mese'!S69-'SP-mese'!R69-R11</f>
        <v>0</v>
      </c>
      <c r="S23" s="47">
        <f>+'SP-mese'!T70-'SP-mese'!S70+'SP-mese'!T69-'SP-mese'!S69-S11</f>
        <v>0</v>
      </c>
      <c r="T23" s="47">
        <f>+'SP-mese'!U70-'SP-mese'!T70+'SP-mese'!U69-'SP-mese'!T69-T11</f>
        <v>0</v>
      </c>
      <c r="U23" s="47">
        <f>+'SP-mese'!V70-'SP-mese'!U70+'SP-mese'!V69-'SP-mese'!U69-U11</f>
        <v>0</v>
      </c>
      <c r="V23" s="47">
        <f>+'SP-mese'!W70-'SP-mese'!V70+'SP-mese'!W69-'SP-mese'!V69-V11</f>
        <v>0</v>
      </c>
      <c r="W23" s="47">
        <f>+'SP-mese'!X70-'SP-mese'!W70+'SP-mese'!X69-'SP-mese'!W69-W11</f>
        <v>0</v>
      </c>
      <c r="X23" s="47">
        <f>+'SP-mese'!Y70-'SP-mese'!X70+'SP-mese'!Y69-'SP-mese'!X69-X11</f>
        <v>0</v>
      </c>
      <c r="Y23" s="47">
        <f>+'SP-mese'!Z70-'SP-mese'!Y70+'SP-mese'!Z69-'SP-mese'!Y69-Y11</f>
        <v>0</v>
      </c>
      <c r="Z23" s="47">
        <f>+'SP-mese'!AA70-'SP-mese'!Z70+'SP-mese'!AA69-'SP-mese'!Z69-Z11</f>
        <v>0</v>
      </c>
      <c r="AA23" s="47">
        <f>+'SP-mese'!AB70-'SP-mese'!AA70+'SP-mese'!AB69-'SP-mese'!AA69-AA11</f>
        <v>0</v>
      </c>
      <c r="AB23" s="47">
        <f>+'SP-mese'!AC70-'SP-mese'!AB70+'SP-mese'!AC69-'SP-mese'!AB69-AB11</f>
        <v>0</v>
      </c>
      <c r="AC23" s="47">
        <f>+'SP-mese'!AD70-'SP-mese'!AC70+'SP-mese'!AD69-'SP-mese'!AC69-AC11</f>
        <v>0</v>
      </c>
      <c r="AD23" s="47">
        <f>+'SP-mese'!AE70-'SP-mese'!AD70+'SP-mese'!AE69-'SP-mese'!AD69-AD11</f>
        <v>0</v>
      </c>
      <c r="AE23" s="47">
        <f>+'SP-mese'!AF70-'SP-mese'!AE70+'SP-mese'!AF69-'SP-mese'!AE69-AE11</f>
        <v>0</v>
      </c>
      <c r="AF23" s="47">
        <f>+'SP-mese'!AG70-'SP-mese'!AF70+'SP-mese'!AG69-'SP-mese'!AF69-AF11</f>
        <v>0</v>
      </c>
      <c r="AG23" s="47">
        <f>+'SP-mese'!AH70-'SP-mese'!AG70+'SP-mese'!AH69-'SP-mese'!AG69-AG11</f>
        <v>0</v>
      </c>
      <c r="AH23" s="47">
        <f>+'SP-mese'!AI70-'SP-mese'!AH70+'SP-mese'!AI69-'SP-mese'!AH69-AH11</f>
        <v>0</v>
      </c>
      <c r="AI23" s="47">
        <f>+'SP-mese'!AJ70-'SP-mese'!AI70+'SP-mese'!AJ69-'SP-mese'!AI69-AI11</f>
        <v>0</v>
      </c>
      <c r="AJ23" s="47">
        <f>+'SP-mese'!AK70-'SP-mese'!AJ70+'SP-mese'!AK69-'SP-mese'!AJ69-AJ11</f>
        <v>0</v>
      </c>
      <c r="AK23" s="47">
        <f>+'SP-mese'!AL70-'SP-mese'!AK70+'SP-mese'!AL69-'SP-mese'!AK69-AK11</f>
        <v>0</v>
      </c>
      <c r="AL23" s="47">
        <f>+'SP-mese'!AM70-'SP-mese'!AL70+'SP-mese'!AM69-'SP-mese'!AL69-AL11</f>
        <v>0</v>
      </c>
      <c r="AM23" s="47">
        <f>+'SP-mese'!AN70-'SP-mese'!AM70+'SP-mese'!AN69-'SP-mese'!AM69-AM11</f>
        <v>0</v>
      </c>
      <c r="AN23" s="47">
        <f>+'SP-mese'!AO70-'SP-mese'!AN70+'SP-mese'!AO69-'SP-mese'!AN69-AN11</f>
        <v>0</v>
      </c>
      <c r="AO23" s="47">
        <f>+'SP-mese'!AP70-'SP-mese'!AO70+'SP-mese'!AP69-'SP-mese'!AO69-AO11</f>
        <v>0</v>
      </c>
      <c r="AP23" s="47">
        <f>+'SP-mese'!AQ70-'SP-mese'!AP70+'SP-mese'!AQ69-'SP-mese'!AP69-AP11</f>
        <v>0</v>
      </c>
      <c r="AQ23" s="47">
        <f>+'SP-mese'!AR70-'SP-mese'!AQ70+'SP-mese'!AR69-'SP-mese'!AQ69-AQ11</f>
        <v>0</v>
      </c>
      <c r="AR23" s="47">
        <f>+'SP-mese'!AS70-'SP-mese'!AR70+'SP-mese'!AS69-'SP-mese'!AR69-AR11</f>
        <v>0</v>
      </c>
      <c r="AS23" s="47">
        <f>+'SP-mese'!AT70-'SP-mese'!AS70+'SP-mese'!AT69-'SP-mese'!AS69-AS11</f>
        <v>0</v>
      </c>
      <c r="AT23" s="47">
        <f>+'SP-mese'!AU70-'SP-mese'!AT70+'SP-mese'!AU69-'SP-mese'!AT69-AT11</f>
        <v>0</v>
      </c>
      <c r="AU23" s="47">
        <f>+'SP-mese'!AV70-'SP-mese'!AU70+'SP-mese'!AV69-'SP-mese'!AU69-AU11</f>
        <v>0</v>
      </c>
      <c r="AV23" s="47">
        <f>+'SP-mese'!AW70-'SP-mese'!AV70+'SP-mese'!AW69-'SP-mese'!AV69-AV11</f>
        <v>0</v>
      </c>
      <c r="AW23" s="47">
        <f>+'SP-mese'!AX70-'SP-mese'!AW70+'SP-mese'!AX69-'SP-mese'!AW69-AW11</f>
        <v>0</v>
      </c>
      <c r="AX23" s="47">
        <f>+'SP-mese'!AY70-'SP-mese'!AX70+'SP-mese'!AY69-'SP-mese'!AX69-AX11</f>
        <v>0</v>
      </c>
      <c r="AY23" s="47">
        <f>+'SP-mese'!AZ70-'SP-mese'!AY70+'SP-mese'!AZ69-'SP-mese'!AY69-AY11</f>
        <v>0</v>
      </c>
      <c r="AZ23" s="47">
        <f>+'SP-mese'!BA70-'SP-mese'!AZ70+'SP-mese'!BA69-'SP-mese'!AZ69-AZ11</f>
        <v>0</v>
      </c>
      <c r="BA23" s="47">
        <f>+'SP-mese'!BB70-'SP-mese'!BA70+'SP-mese'!BB69-'SP-mese'!BA69-BA11</f>
        <v>0</v>
      </c>
      <c r="BB23" s="47">
        <f>+'SP-mese'!BC70-'SP-mese'!BB70+'SP-mese'!BC69-'SP-mese'!BB69-BB11</f>
        <v>0</v>
      </c>
      <c r="BC23" s="47">
        <f>+'SP-mese'!BD70-'SP-mese'!BC70+'SP-mese'!BD69-'SP-mese'!BC69-BC11</f>
        <v>0</v>
      </c>
      <c r="BD23" s="47">
        <f>+'SP-mese'!BE70-'SP-mese'!BD70+'SP-mese'!BE69-'SP-mese'!BD69-BD11</f>
        <v>0</v>
      </c>
      <c r="BE23" s="47">
        <f>+'SP-mese'!BF70-'SP-mese'!BE70+'SP-mese'!BF69-'SP-mese'!BE69-BE11</f>
        <v>0</v>
      </c>
      <c r="BF23" s="47">
        <f>+'SP-mese'!BG70-'SP-mese'!BF70+'SP-mese'!BG69-'SP-mese'!BF69-BF11</f>
        <v>0</v>
      </c>
      <c r="BG23" s="47">
        <f>+'SP-mese'!BH70-'SP-mese'!BG70+'SP-mese'!BH69-'SP-mese'!BG69-BG11</f>
        <v>0</v>
      </c>
      <c r="BH23" s="47">
        <f>+'SP-mese'!BI70-'SP-mese'!BH70+'SP-mese'!BI69-'SP-mese'!BH69-BH11</f>
        <v>0</v>
      </c>
      <c r="BI23" s="47">
        <f>+'SP-mese'!BJ70-'SP-mese'!BI70+'SP-mese'!BJ69-'SP-mese'!BI69-BI11</f>
        <v>0</v>
      </c>
      <c r="BJ23" s="47">
        <f>+'SP-mese'!BK70-'SP-mese'!BJ70+'SP-mese'!BK69-'SP-mese'!BJ69-BJ11</f>
        <v>0</v>
      </c>
      <c r="BK23" s="47">
        <f>+'SP-mese'!BL70-'SP-mese'!BK70+'SP-mese'!BL69-'SP-mese'!BK69-BK11</f>
        <v>0</v>
      </c>
      <c r="BL23" s="47">
        <f>+'SP-mese'!BM70-'SP-mese'!BL70+'SP-mese'!BM69-'SP-mese'!BL69-BL11</f>
        <v>0</v>
      </c>
      <c r="BM23" s="47">
        <f>+'SP-mese'!BN70-'SP-mese'!BM70+'SP-mese'!BN69-'SP-mese'!BM69-BM11</f>
        <v>0</v>
      </c>
      <c r="BN23" s="47">
        <f>+'SP-mese'!BO70-'SP-mese'!BN70+'SP-mese'!BO69-'SP-mese'!BN69-BN11</f>
        <v>0</v>
      </c>
      <c r="BO23" s="47">
        <f>+'SP-mese'!BP70-'SP-mese'!BO70+'SP-mese'!BP69-'SP-mese'!BO69-BO11</f>
        <v>0</v>
      </c>
      <c r="BP23" s="47">
        <f>+'SP-mese'!BQ70-'SP-mese'!BP70+'SP-mese'!BQ69-'SP-mese'!BP69-BP11</f>
        <v>0</v>
      </c>
      <c r="BQ23" s="47">
        <f>+'SP-mese'!BR70-'SP-mese'!BQ70+'SP-mese'!BR69-'SP-mese'!BQ69-BQ11</f>
        <v>0</v>
      </c>
      <c r="BR23" s="47">
        <f>+'SP-mese'!BS70-'SP-mese'!BR70+'SP-mese'!BS69-'SP-mese'!BR69-BR11</f>
        <v>0</v>
      </c>
      <c r="BS23" s="47">
        <f>+'SP-mese'!BT70-'SP-mese'!BS70+'SP-mese'!BT69-'SP-mese'!BS69-BS11</f>
        <v>0</v>
      </c>
      <c r="BT23" s="47">
        <f>+'SP-mese'!BU70-'SP-mese'!BT70+'SP-mese'!BU69-'SP-mese'!BT69-BT11</f>
        <v>0</v>
      </c>
      <c r="BU23" s="47">
        <f>+'SP-mese'!BV70-'SP-mese'!BU70+'SP-mese'!BV69-'SP-mese'!BU69-BU11</f>
        <v>0</v>
      </c>
      <c r="BV23" s="47">
        <f>+'SP-mese'!BW70-'SP-mese'!BV70+'SP-mese'!BW69-'SP-mese'!BV69-BV11</f>
        <v>0</v>
      </c>
      <c r="BW23" s="47">
        <f>+'SP-mese'!BX70-'SP-mese'!BW70+'SP-mese'!BX69-'SP-mese'!BW69-BW11</f>
        <v>0</v>
      </c>
      <c r="BX23" s="47">
        <f>+'SP-mese'!BY70-'SP-mese'!BX70+'SP-mese'!BY69-'SP-mese'!BX69-BX11</f>
        <v>0</v>
      </c>
      <c r="BY23" s="47">
        <f>+'SP-mese'!BZ70-'SP-mese'!BY70+'SP-mese'!BZ69-'SP-mese'!BY69-BY11</f>
        <v>0</v>
      </c>
      <c r="BZ23" s="47">
        <f>+'SP-mese'!CA70-'SP-mese'!BZ70+'SP-mese'!CA69-'SP-mese'!BZ69-BZ11</f>
        <v>0</v>
      </c>
      <c r="CA23" s="47">
        <f>+'SP-mese'!CB70-'SP-mese'!CA70+'SP-mese'!CB69-'SP-mese'!CA69-CA11</f>
        <v>0</v>
      </c>
      <c r="CB23" s="47">
        <f>+'SP-mese'!CC70-'SP-mese'!CB70+'SP-mese'!CC69-'SP-mese'!CB69-CB11</f>
        <v>0</v>
      </c>
      <c r="CC23" s="47">
        <f>+'SP-mese'!CD70-'SP-mese'!CC70+'SP-mese'!CD69-'SP-mese'!CC69-CC11</f>
        <v>0</v>
      </c>
      <c r="CD23" s="47">
        <f>+'SP-mese'!CE70-'SP-mese'!CD70+'SP-mese'!CE69-'SP-mese'!CD69-CD11</f>
        <v>0</v>
      </c>
      <c r="CE23" s="47">
        <f>+'SP-mese'!CF70-'SP-mese'!CE70+'SP-mese'!CF69-'SP-mese'!CE69-CE11</f>
        <v>0</v>
      </c>
      <c r="CF23" s="47">
        <f>+'SP-mese'!CG70-'SP-mese'!CF70+'SP-mese'!CG69-'SP-mese'!CF69-CF11</f>
        <v>0</v>
      </c>
      <c r="CG23" s="47">
        <f>+'SP-mese'!CH70-'SP-mese'!CG70+'SP-mese'!CH69-'SP-mese'!CG69-CG11</f>
        <v>0</v>
      </c>
      <c r="CH23" s="47">
        <f>+'SP-mese'!CI70-'SP-mese'!CH70+'SP-mese'!CI69-'SP-mese'!CH69-CH11</f>
        <v>0</v>
      </c>
      <c r="CI23" s="47">
        <f>+'SP-mese'!CJ70-'SP-mese'!CI70+'SP-mese'!CJ69-'SP-mese'!CI69-CI11</f>
        <v>0</v>
      </c>
      <c r="CJ23" s="47">
        <f>+'SP-mese'!CK70-'SP-mese'!CJ70+'SP-mese'!CK69-'SP-mese'!CJ69-CJ11</f>
        <v>0</v>
      </c>
      <c r="CK23" s="47">
        <f>+'SP-mese'!CL70-'SP-mese'!CK70+'SP-mese'!CL69-'SP-mese'!CK69-CK11</f>
        <v>0</v>
      </c>
      <c r="CL23" s="47">
        <f>+'SP-mese'!CM70-'SP-mese'!CL70+'SP-mese'!CM69-'SP-mese'!CL69-CL11</f>
        <v>0</v>
      </c>
      <c r="CM23" s="47">
        <f>+'SP-mese'!CN70-'SP-mese'!CM70+'SP-mese'!CN69-'SP-mese'!CM69-CM11</f>
        <v>0</v>
      </c>
      <c r="CN23" s="47">
        <f>+'SP-mese'!CO70-'SP-mese'!CN70+'SP-mese'!CO69-'SP-mese'!CN69-CN11</f>
        <v>0</v>
      </c>
      <c r="CO23" s="47">
        <f>+'SP-mese'!CP70-'SP-mese'!CO70+'SP-mese'!CP69-'SP-mese'!CO69-CO11</f>
        <v>0</v>
      </c>
      <c r="CP23" s="47">
        <f>+'SP-mese'!CQ70-'SP-mese'!CP70+'SP-mese'!CQ69-'SP-mese'!CP69-CP11</f>
        <v>0</v>
      </c>
      <c r="CQ23" s="47">
        <f>+'SP-mese'!CR70-'SP-mese'!CQ70+'SP-mese'!CR69-'SP-mese'!CQ69-CQ11</f>
        <v>0</v>
      </c>
      <c r="CR23" s="47">
        <f>+'SP-mese'!CS70-'SP-mese'!CR70+'SP-mese'!CS69-'SP-mese'!CR69-CR11</f>
        <v>0</v>
      </c>
      <c r="CS23" s="47">
        <f>+'SP-mese'!CT70-'SP-mese'!CS70+'SP-mese'!CT69-'SP-mese'!CS69-CS11</f>
        <v>0</v>
      </c>
      <c r="CT23" s="47">
        <f>+'SP-mese'!CU70-'SP-mese'!CT70+'SP-mese'!CU69-'SP-mese'!CT69-CT11</f>
        <v>0</v>
      </c>
      <c r="CU23" s="47">
        <f>+'SP-mese'!CV70-'SP-mese'!CU70+'SP-mese'!CV69-'SP-mese'!CU69-CU11</f>
        <v>0</v>
      </c>
      <c r="CV23" s="47">
        <f>+'SP-mese'!CW70-'SP-mese'!CV70+'SP-mese'!CW69-'SP-mese'!CV69-CV11</f>
        <v>0</v>
      </c>
      <c r="CW23" s="47">
        <f>+'SP-mese'!CX70-'SP-mese'!CW70+'SP-mese'!CX69-'SP-mese'!CW69-CW11</f>
        <v>0</v>
      </c>
      <c r="CX23" s="47">
        <f>+'SP-mese'!CY70-'SP-mese'!CX70+'SP-mese'!CY69-'SP-mese'!CX69-CX11</f>
        <v>0</v>
      </c>
      <c r="CY23" s="47">
        <f>+'SP-mese'!CZ70-'SP-mese'!CY70+'SP-mese'!CZ69-'SP-mese'!CY69-CY11</f>
        <v>0</v>
      </c>
      <c r="CZ23" s="47">
        <f>+'SP-mese'!DA70-'SP-mese'!CZ70+'SP-mese'!DA69-'SP-mese'!CZ69-CZ11</f>
        <v>0</v>
      </c>
      <c r="DA23" s="47">
        <f>+'SP-mese'!DB70-'SP-mese'!DA70+'SP-mese'!DB69-'SP-mese'!DA69-DA11</f>
        <v>0</v>
      </c>
      <c r="DB23" s="47">
        <f>+'SP-mese'!DC70-'SP-mese'!DB70+'SP-mese'!DC69-'SP-mese'!DB69-DB11</f>
        <v>0</v>
      </c>
      <c r="DC23" s="47">
        <f>+'SP-mese'!DD70-'SP-mese'!DC70+'SP-mese'!DD69-'SP-mese'!DC69-DC11</f>
        <v>0</v>
      </c>
      <c r="DD23" s="47">
        <f>+'SP-mese'!DE70-'SP-mese'!DD70+'SP-mese'!DE69-'SP-mese'!DD69-DD11</f>
        <v>0</v>
      </c>
      <c r="DE23" s="47">
        <f>+'SP-mese'!DF70-'SP-mese'!DE70+'SP-mese'!DF69-'SP-mese'!DE69-DE11</f>
        <v>0</v>
      </c>
      <c r="DF23" s="47">
        <f>+'SP-mese'!DG70-'SP-mese'!DF70+'SP-mese'!DG69-'SP-mese'!DF69-DF11</f>
        <v>0</v>
      </c>
      <c r="DG23" s="47">
        <f>+'SP-mese'!DH70-'SP-mese'!DG70+'SP-mese'!DH69-'SP-mese'!DG69-DG11</f>
        <v>0</v>
      </c>
      <c r="DH23" s="47">
        <f>+'SP-mese'!DI70-'SP-mese'!DH70+'SP-mese'!DI69-'SP-mese'!DH69-DH11</f>
        <v>0</v>
      </c>
      <c r="DI23" s="47">
        <f>+'SP-mese'!DJ70-'SP-mese'!DI70+'SP-mese'!DJ69-'SP-mese'!DI69-DI11</f>
        <v>0</v>
      </c>
      <c r="DJ23" s="47">
        <f>+'SP-mese'!DK70-'SP-mese'!DJ70+'SP-mese'!DK69-'SP-mese'!DJ69-DJ11</f>
        <v>0</v>
      </c>
      <c r="DK23" s="47">
        <f>+'SP-mese'!DL70-'SP-mese'!DK70+'SP-mese'!DL69-'SP-mese'!DK69-DK11</f>
        <v>0</v>
      </c>
      <c r="DL23" s="47">
        <f>+'SP-mese'!DM70-'SP-mese'!DL70+'SP-mese'!DM69-'SP-mese'!DL69-DL11</f>
        <v>0</v>
      </c>
      <c r="DM23" s="47">
        <f>+'SP-mese'!DN70-'SP-mese'!DM70+'SP-mese'!DN69-'SP-mese'!DM69-DM11</f>
        <v>0</v>
      </c>
      <c r="DN23" s="47">
        <f>+'SP-mese'!DO70-'SP-mese'!DN70+'SP-mese'!DO69-'SP-mese'!DN69-DN11</f>
        <v>0</v>
      </c>
      <c r="DO23" s="47">
        <f>+'SP-mese'!DP70-'SP-mese'!DO70+'SP-mese'!DP69-'SP-mese'!DO69-DO11</f>
        <v>0</v>
      </c>
      <c r="DP23" s="47">
        <f>+'SP-mese'!DQ70-'SP-mese'!DP70+'SP-mese'!DQ69-'SP-mese'!DP69-DP11</f>
        <v>0</v>
      </c>
      <c r="DQ23" s="47">
        <f>+'SP-mese'!DR70-'SP-mese'!DQ70+'SP-mese'!DR69-'SP-mese'!DQ69-DQ11</f>
        <v>0</v>
      </c>
      <c r="DR23" s="47">
        <f>+'SP-mese'!DS70-'SP-mese'!DR70+'SP-mese'!DS69-'SP-mese'!DR69-DR11</f>
        <v>0</v>
      </c>
      <c r="DT23" s="144">
        <f t="shared" si="125"/>
        <v>0</v>
      </c>
      <c r="DU23" s="144">
        <f t="shared" si="125"/>
        <v>0</v>
      </c>
      <c r="DV23" s="144">
        <f t="shared" si="125"/>
        <v>0</v>
      </c>
      <c r="DW23" s="144">
        <f t="shared" si="125"/>
        <v>0</v>
      </c>
      <c r="DX23" s="144">
        <f t="shared" si="125"/>
        <v>0</v>
      </c>
      <c r="DY23" s="144">
        <f t="shared" si="125"/>
        <v>0</v>
      </c>
      <c r="DZ23" s="144">
        <f t="shared" si="125"/>
        <v>0</v>
      </c>
      <c r="EA23" s="144">
        <f t="shared" si="125"/>
        <v>0</v>
      </c>
      <c r="EB23" s="144">
        <f t="shared" si="125"/>
        <v>0</v>
      </c>
      <c r="EC23" s="144">
        <f t="shared" si="125"/>
        <v>0</v>
      </c>
    </row>
    <row r="24" thickTop="1" thickBot="1" ht="15.5">
      <c r="A24" s="301" t="s">
        <v>1249</v>
      </c>
      <c r="B24" s="301"/>
      <c r="C24" s="301">
        <f>SUM(C22:C23)+C20</f>
        <v>0</v>
      </c>
      <c r="D24" s="301">
        <f>SUM(D22:D23)+D20</f>
        <v>0</v>
      </c>
      <c r="E24" s="301">
        <f t="shared" ref="E24:I24" si="126">SUM(E22:E23)+E20</f>
        <v>0</v>
      </c>
      <c r="F24" s="301">
        <f t="shared" si="126"/>
        <v>0</v>
      </c>
      <c r="G24" s="301">
        <f t="shared" si="126"/>
        <v>0</v>
      </c>
      <c r="H24" s="301">
        <f t="shared" si="126"/>
        <v>0</v>
      </c>
      <c r="I24" s="301">
        <f t="shared" si="126"/>
        <v>0</v>
      </c>
      <c r="J24" s="301">
        <f t="shared" ref="J24" si="127">SUM(J22:J23)+J20</f>
        <v>0</v>
      </c>
      <c r="K24" s="301">
        <f t="shared" ref="K24" si="128">SUM(K22:K23)+K20</f>
        <v>0</v>
      </c>
      <c r="L24" s="301">
        <f t="shared" ref="L24" si="129">SUM(L22:L23)+L20</f>
        <v>0</v>
      </c>
      <c r="M24" s="301">
        <f t="shared" ref="M24" si="130">SUM(M22:M23)+M20</f>
        <v>0</v>
      </c>
      <c r="N24" s="301">
        <f t="shared" ref="N24" si="131">SUM(N22:N23)+N20</f>
        <v>0</v>
      </c>
      <c r="O24" s="301">
        <f t="shared" ref="O24" si="132">SUM(O22:O23)+O20</f>
        <v>0</v>
      </c>
      <c r="P24" s="301">
        <f t="shared" ref="P24" si="133">SUM(P22:P23)+P20</f>
        <v>0</v>
      </c>
      <c r="Q24" s="301">
        <f t="shared" ref="Q24" si="134">SUM(Q22:Q23)+Q20</f>
        <v>0</v>
      </c>
      <c r="R24" s="301">
        <f t="shared" ref="R24" si="135">SUM(R22:R23)+R20</f>
        <v>0</v>
      </c>
      <c r="S24" s="301">
        <f t="shared" ref="S24" si="136">SUM(S22:S23)+S20</f>
        <v>0</v>
      </c>
      <c r="T24" s="301">
        <f t="shared" ref="T24" si="137">SUM(T22:T23)+T20</f>
        <v>0</v>
      </c>
      <c r="U24" s="301">
        <f t="shared" ref="U24" si="138">SUM(U22:U23)+U20</f>
        <v>0</v>
      </c>
      <c r="V24" s="301">
        <f t="shared" ref="V24" si="139">SUM(V22:V23)+V20</f>
        <v>0</v>
      </c>
      <c r="W24" s="301">
        <f t="shared" ref="W24" si="140">SUM(W22:W23)+W20</f>
        <v>0</v>
      </c>
      <c r="X24" s="301">
        <f t="shared" ref="X24" si="141">SUM(X22:X23)+X20</f>
        <v>0</v>
      </c>
      <c r="Y24" s="301">
        <f t="shared" ref="Y24" si="142">SUM(Y22:Y23)+Y20</f>
        <v>0</v>
      </c>
      <c r="Z24" s="301">
        <f t="shared" ref="Z24" si="143">SUM(Z22:Z23)+Z20</f>
        <v>0</v>
      </c>
      <c r="AA24" s="301">
        <f t="shared" ref="AA24" si="144">SUM(AA22:AA23)+AA20</f>
        <v>0</v>
      </c>
      <c r="AB24" s="301">
        <f t="shared" ref="AB24" si="145">SUM(AB22:AB23)+AB20</f>
        <v>0</v>
      </c>
      <c r="AC24" s="301">
        <f t="shared" ref="AC24" si="146">SUM(AC22:AC23)+AC20</f>
        <v>0</v>
      </c>
      <c r="AD24" s="301">
        <f t="shared" ref="AD24" si="147">SUM(AD22:AD23)+AD20</f>
        <v>0</v>
      </c>
      <c r="AE24" s="301">
        <f t="shared" ref="AE24" si="148">SUM(AE22:AE23)+AE20</f>
        <v>0</v>
      </c>
      <c r="AF24" s="301">
        <f t="shared" ref="AF24" si="149">SUM(AF22:AF23)+AF20</f>
        <v>0</v>
      </c>
      <c r="AG24" s="301">
        <f t="shared" ref="AG24" si="150">SUM(AG22:AG23)+AG20</f>
        <v>0</v>
      </c>
      <c r="AH24" s="301">
        <f t="shared" ref="AH24" si="151">SUM(AH22:AH23)+AH20</f>
        <v>0</v>
      </c>
      <c r="AI24" s="301">
        <f t="shared" ref="AI24" si="152">SUM(AI22:AI23)+AI20</f>
        <v>0</v>
      </c>
      <c r="AJ24" s="301">
        <f t="shared" ref="AJ24" si="153">SUM(AJ22:AJ23)+AJ20</f>
        <v>0</v>
      </c>
      <c r="AK24" s="301">
        <f t="shared" ref="AK24" si="154">SUM(AK22:AK23)+AK20</f>
        <v>0</v>
      </c>
      <c r="AL24" s="301">
        <f t="shared" ref="AL24" si="155">SUM(AL22:AL23)+AL20</f>
        <v>0</v>
      </c>
      <c r="AM24" s="301">
        <f t="shared" ref="AM24" si="156">SUM(AM22:AM23)+AM20</f>
        <v>0</v>
      </c>
      <c r="AN24" s="301">
        <f t="shared" ref="AN24" si="157">SUM(AN22:AN23)+AN20</f>
        <v>0</v>
      </c>
      <c r="AO24" s="301">
        <f t="shared" ref="AO24" si="158">SUM(AO22:AO23)+AO20</f>
        <v>0</v>
      </c>
      <c r="AP24" s="301">
        <f t="shared" ref="AP24" si="159">SUM(AP22:AP23)+AP20</f>
        <v>0</v>
      </c>
      <c r="AQ24" s="301">
        <f t="shared" ref="AQ24" si="160">SUM(AQ22:AQ23)+AQ20</f>
        <v>0</v>
      </c>
      <c r="AR24" s="301">
        <f t="shared" ref="AR24" si="161">SUM(AR22:AR23)+AR20</f>
        <v>0</v>
      </c>
      <c r="AS24" s="301">
        <f t="shared" ref="AS24" si="162">SUM(AS22:AS23)+AS20</f>
        <v>0</v>
      </c>
      <c r="AT24" s="301">
        <f t="shared" ref="AT24" si="163">SUM(AT22:AT23)+AT20</f>
        <v>0</v>
      </c>
      <c r="AU24" s="301">
        <f t="shared" ref="AU24" si="164">SUM(AU22:AU23)+AU20</f>
        <v>0</v>
      </c>
      <c r="AV24" s="301">
        <f t="shared" ref="AV24" si="165">SUM(AV22:AV23)+AV20</f>
        <v>0</v>
      </c>
      <c r="AW24" s="301">
        <f t="shared" ref="AW24" si="166">SUM(AW22:AW23)+AW20</f>
        <v>0</v>
      </c>
      <c r="AX24" s="301">
        <f t="shared" ref="AX24" si="167">SUM(AX22:AX23)+AX20</f>
        <v>0</v>
      </c>
      <c r="AY24" s="301">
        <f t="shared" ref="AY24" si="168">SUM(AY22:AY23)+AY20</f>
        <v>0</v>
      </c>
      <c r="AZ24" s="301">
        <f t="shared" ref="AZ24" si="169">SUM(AZ22:AZ23)+AZ20</f>
        <v>0</v>
      </c>
      <c r="BA24" s="301">
        <f t="shared" ref="BA24" si="170">SUM(BA22:BA23)+BA20</f>
        <v>0</v>
      </c>
      <c r="BB24" s="301">
        <f t="shared" ref="BB24" si="171">SUM(BB22:BB23)+BB20</f>
        <v>0</v>
      </c>
      <c r="BC24" s="301">
        <f t="shared" ref="BC24" si="172">SUM(BC22:BC23)+BC20</f>
        <v>0</v>
      </c>
      <c r="BD24" s="301">
        <f t="shared" ref="BD24" si="173">SUM(BD22:BD23)+BD20</f>
        <v>0</v>
      </c>
      <c r="BE24" s="301">
        <f t="shared" ref="BE24" si="174">SUM(BE22:BE23)+BE20</f>
        <v>0</v>
      </c>
      <c r="BF24" s="301">
        <f t="shared" ref="BF24" si="175">SUM(BF22:BF23)+BF20</f>
        <v>0</v>
      </c>
      <c r="BG24" s="301">
        <f t="shared" ref="BG24" si="176">SUM(BG22:BG23)+BG20</f>
        <v>0</v>
      </c>
      <c r="BH24" s="301">
        <f t="shared" ref="BH24" si="177">SUM(BH22:BH23)+BH20</f>
        <v>0</v>
      </c>
      <c r="BI24" s="301">
        <f t="shared" ref="BI24" si="178">SUM(BI22:BI23)+BI20</f>
        <v>0</v>
      </c>
      <c r="BJ24" s="301">
        <f t="shared" ref="BJ24" si="179">SUM(BJ22:BJ23)+BJ20</f>
        <v>0</v>
      </c>
      <c r="BK24" s="301">
        <f t="shared" ref="BK24" si="180">SUM(BK22:BK23)+BK20</f>
        <v>0</v>
      </c>
      <c r="BL24" s="301">
        <f t="shared" ref="BL24" si="181">SUM(BL22:BL23)+BL20</f>
        <v>0</v>
      </c>
      <c r="BM24" s="301">
        <f t="shared" ref="BM24" si="182">SUM(BM22:BM23)+BM20</f>
        <v>0</v>
      </c>
      <c r="BN24" s="301">
        <f t="shared" ref="BN24" si="183">SUM(BN22:BN23)+BN20</f>
        <v>0</v>
      </c>
      <c r="BO24" s="301">
        <f t="shared" ref="BO24" si="184">SUM(BO22:BO23)+BO20</f>
        <v>0</v>
      </c>
      <c r="BP24" s="301">
        <f t="shared" ref="BP24" si="185">SUM(BP22:BP23)+BP20</f>
        <v>0</v>
      </c>
      <c r="BQ24" s="301">
        <f t="shared" ref="BQ24" si="186">SUM(BQ22:BQ23)+BQ20</f>
        <v>0</v>
      </c>
      <c r="BR24" s="301">
        <f t="shared" ref="BR24" si="187">SUM(BR22:BR23)+BR20</f>
        <v>0</v>
      </c>
      <c r="BS24" s="301">
        <f t="shared" ref="BS24" si="188">SUM(BS22:BS23)+BS20</f>
        <v>0</v>
      </c>
      <c r="BT24" s="301">
        <f t="shared" ref="BT24" si="189">SUM(BT22:BT23)+BT20</f>
        <v>0</v>
      </c>
      <c r="BU24" s="301">
        <f t="shared" ref="BU24" si="190">SUM(BU22:BU23)+BU20</f>
        <v>0</v>
      </c>
      <c r="BV24" s="301">
        <f t="shared" ref="BV24" si="191">SUM(BV22:BV23)+BV20</f>
        <v>0</v>
      </c>
      <c r="BW24" s="301">
        <f t="shared" ref="BW24" si="192">SUM(BW22:BW23)+BW20</f>
        <v>0</v>
      </c>
      <c r="BX24" s="301">
        <f t="shared" ref="BX24" si="193">SUM(BX22:BX23)+BX20</f>
        <v>0</v>
      </c>
      <c r="BY24" s="301">
        <f t="shared" ref="BY24" si="194">SUM(BY22:BY23)+BY20</f>
        <v>0</v>
      </c>
      <c r="BZ24" s="301">
        <f t="shared" ref="BZ24" si="195">SUM(BZ22:BZ23)+BZ20</f>
        <v>0</v>
      </c>
      <c r="CA24" s="301">
        <f t="shared" ref="CA24" si="196">SUM(CA22:CA23)+CA20</f>
        <v>0</v>
      </c>
      <c r="CB24" s="301">
        <f t="shared" ref="CB24" si="197">SUM(CB22:CB23)+CB20</f>
        <v>0</v>
      </c>
      <c r="CC24" s="301">
        <f t="shared" ref="CC24" si="198">SUM(CC22:CC23)+CC20</f>
        <v>0</v>
      </c>
      <c r="CD24" s="301">
        <f t="shared" ref="CD24" si="199">SUM(CD22:CD23)+CD20</f>
        <v>0</v>
      </c>
      <c r="CE24" s="301">
        <f t="shared" ref="CE24" si="200">SUM(CE22:CE23)+CE20</f>
        <v>0</v>
      </c>
      <c r="CF24" s="301">
        <f t="shared" ref="CF24" si="201">SUM(CF22:CF23)+CF20</f>
        <v>0</v>
      </c>
      <c r="CG24" s="301">
        <f t="shared" ref="CG24" si="202">SUM(CG22:CG23)+CG20</f>
        <v>0</v>
      </c>
      <c r="CH24" s="301">
        <f t="shared" ref="CH24" si="203">SUM(CH22:CH23)+CH20</f>
        <v>0</v>
      </c>
      <c r="CI24" s="301">
        <f t="shared" ref="CI24" si="204">SUM(CI22:CI23)+CI20</f>
        <v>0</v>
      </c>
      <c r="CJ24" s="301">
        <f t="shared" ref="CJ24" si="205">SUM(CJ22:CJ23)+CJ20</f>
        <v>0</v>
      </c>
      <c r="CK24" s="301">
        <f t="shared" ref="CK24" si="206">SUM(CK22:CK23)+CK20</f>
        <v>0</v>
      </c>
      <c r="CL24" s="301">
        <f t="shared" ref="CL24" si="207">SUM(CL22:CL23)+CL20</f>
        <v>0</v>
      </c>
      <c r="CM24" s="301">
        <f t="shared" ref="CM24" si="208">SUM(CM22:CM23)+CM20</f>
        <v>0</v>
      </c>
      <c r="CN24" s="301">
        <f t="shared" ref="CN24" si="209">SUM(CN22:CN23)+CN20</f>
        <v>0</v>
      </c>
      <c r="CO24" s="301">
        <f t="shared" ref="CO24" si="210">SUM(CO22:CO23)+CO20</f>
        <v>0</v>
      </c>
      <c r="CP24" s="301">
        <f t="shared" ref="CP24" si="211">SUM(CP22:CP23)+CP20</f>
        <v>0</v>
      </c>
      <c r="CQ24" s="301">
        <f t="shared" ref="CQ24" si="212">SUM(CQ22:CQ23)+CQ20</f>
        <v>0</v>
      </c>
      <c r="CR24" s="301">
        <f t="shared" ref="CR24" si="213">SUM(CR22:CR23)+CR20</f>
        <v>0</v>
      </c>
      <c r="CS24" s="301">
        <f t="shared" ref="CS24" si="214">SUM(CS22:CS23)+CS20</f>
        <v>0</v>
      </c>
      <c r="CT24" s="301">
        <f t="shared" ref="CT24" si="215">SUM(CT22:CT23)+CT20</f>
        <v>0</v>
      </c>
      <c r="CU24" s="301">
        <f t="shared" ref="CU24" si="216">SUM(CU22:CU23)+CU20</f>
        <v>0</v>
      </c>
      <c r="CV24" s="301">
        <f t="shared" ref="CV24" si="217">SUM(CV22:CV23)+CV20</f>
        <v>0</v>
      </c>
      <c r="CW24" s="301">
        <f t="shared" ref="CW24" si="218">SUM(CW22:CW23)+CW20</f>
        <v>0</v>
      </c>
      <c r="CX24" s="301">
        <f t="shared" ref="CX24" si="219">SUM(CX22:CX23)+CX20</f>
        <v>0</v>
      </c>
      <c r="CY24" s="301">
        <f t="shared" ref="CY24" si="220">SUM(CY22:CY23)+CY20</f>
        <v>0</v>
      </c>
      <c r="CZ24" s="301">
        <f t="shared" ref="CZ24" si="221">SUM(CZ22:CZ23)+CZ20</f>
        <v>0</v>
      </c>
      <c r="DA24" s="301">
        <f t="shared" ref="DA24" si="222">SUM(DA22:DA23)+DA20</f>
        <v>0</v>
      </c>
      <c r="DB24" s="301">
        <f t="shared" ref="DB24" si="223">SUM(DB22:DB23)+DB20</f>
        <v>0</v>
      </c>
      <c r="DC24" s="301">
        <f t="shared" ref="DC24" si="224">SUM(DC22:DC23)+DC20</f>
        <v>0</v>
      </c>
      <c r="DD24" s="301">
        <f t="shared" ref="DD24" si="225">SUM(DD22:DD23)+DD20</f>
        <v>0</v>
      </c>
      <c r="DE24" s="301">
        <f t="shared" ref="DE24" si="226">SUM(DE22:DE23)+DE20</f>
        <v>0</v>
      </c>
      <c r="DF24" s="301">
        <f t="shared" ref="DF24" si="227">SUM(DF22:DF23)+DF20</f>
        <v>0</v>
      </c>
      <c r="DG24" s="301">
        <f t="shared" ref="DG24" si="228">SUM(DG22:DG23)+DG20</f>
        <v>0</v>
      </c>
      <c r="DH24" s="301">
        <f t="shared" ref="DH24" si="229">SUM(DH22:DH23)+DH20</f>
        <v>0</v>
      </c>
      <c r="DI24" s="301">
        <f t="shared" ref="DI24" si="230">SUM(DI22:DI23)+DI20</f>
        <v>0</v>
      </c>
      <c r="DJ24" s="301">
        <f t="shared" ref="DJ24" si="231">SUM(DJ22:DJ23)+DJ20</f>
        <v>0</v>
      </c>
      <c r="DK24" s="301">
        <f t="shared" ref="DK24" si="232">SUM(DK22:DK23)+DK20</f>
        <v>0</v>
      </c>
      <c r="DL24" s="301">
        <f t="shared" ref="DL24" si="233">SUM(DL22:DL23)+DL20</f>
        <v>0</v>
      </c>
      <c r="DM24" s="301">
        <f t="shared" ref="DM24" si="234">SUM(DM22:DM23)+DM20</f>
        <v>0</v>
      </c>
      <c r="DN24" s="301">
        <f t="shared" ref="DN24" si="235">SUM(DN22:DN23)+DN20</f>
        <v>0</v>
      </c>
      <c r="DO24" s="301">
        <f t="shared" ref="DO24" si="236">SUM(DO22:DO23)+DO20</f>
        <v>0</v>
      </c>
      <c r="DP24" s="301">
        <f t="shared" ref="DP24" si="237">SUM(DP22:DP23)+DP20</f>
        <v>0</v>
      </c>
      <c r="DQ24" s="301">
        <f t="shared" ref="DQ24" si="238">SUM(DQ22:DQ23)+DQ20</f>
        <v>0</v>
      </c>
      <c r="DR24" s="301">
        <f t="shared" ref="DR24:EC24" si="239">SUM(DR22:DR23)+DR20</f>
        <v>0</v>
      </c>
      <c r="DT24" s="301">
        <f t="shared" si="239"/>
        <v>0</v>
      </c>
      <c r="DU24" s="301">
        <f t="shared" si="239"/>
        <v>0</v>
      </c>
      <c r="DV24" s="301">
        <f t="shared" si="239"/>
        <v>0</v>
      </c>
      <c r="DW24" s="301">
        <f t="shared" si="239"/>
        <v>0</v>
      </c>
      <c r="DX24" s="301">
        <f t="shared" si="239"/>
        <v>0</v>
      </c>
      <c r="DY24" s="301">
        <f t="shared" si="239"/>
        <v>0</v>
      </c>
      <c r="DZ24" s="301">
        <f t="shared" si="239"/>
        <v>0</v>
      </c>
      <c r="EA24" s="301">
        <f t="shared" si="239"/>
        <v>0</v>
      </c>
      <c r="EB24" s="301">
        <f t="shared" si="239"/>
        <v>0</v>
      </c>
      <c r="EC24" s="301">
        <f t="shared" si="239"/>
        <v>0</v>
      </c>
    </row>
    <row r="25" thickTop="1" thickBot="1" ht="15.5">
      <c r="A25" s="18"/>
    </row>
    <row r="26" thickTop="1" thickBot="1" ht="15.5">
      <c r="A26" s="311" t="s">
        <v>1250</v>
      </c>
      <c r="B26" s="311"/>
      <c r="C26" s="311">
        <f>+C24</f>
        <v>0</v>
      </c>
      <c r="D26" s="311">
        <f>+D24</f>
        <v>0</v>
      </c>
      <c r="E26" s="311">
        <f t="shared" ref="E26:I26" si="240">+E24</f>
        <v>0</v>
      </c>
      <c r="F26" s="311">
        <f t="shared" si="240"/>
        <v>0</v>
      </c>
      <c r="G26" s="311">
        <f t="shared" si="240"/>
        <v>0</v>
      </c>
      <c r="H26" s="311">
        <f t="shared" si="240"/>
        <v>0</v>
      </c>
      <c r="I26" s="311">
        <f t="shared" si="240"/>
        <v>0</v>
      </c>
      <c r="J26" s="311">
        <f t="shared" ref="J26:BP26" si="241">+J24</f>
        <v>0</v>
      </c>
      <c r="K26" s="311">
        <f t="shared" si="241"/>
        <v>0</v>
      </c>
      <c r="L26" s="311">
        <f t="shared" si="241"/>
        <v>0</v>
      </c>
      <c r="M26" s="311">
        <f t="shared" si="241"/>
        <v>0</v>
      </c>
      <c r="N26" s="311">
        <f t="shared" si="241"/>
        <v>0</v>
      </c>
      <c r="O26" s="311">
        <f t="shared" si="241"/>
        <v>0</v>
      </c>
      <c r="P26" s="311">
        <f t="shared" si="241"/>
        <v>0</v>
      </c>
      <c r="Q26" s="311">
        <f t="shared" si="241"/>
        <v>0</v>
      </c>
      <c r="R26" s="311">
        <f t="shared" si="241"/>
        <v>0</v>
      </c>
      <c r="S26" s="311">
        <f t="shared" si="241"/>
        <v>0</v>
      </c>
      <c r="T26" s="311">
        <f t="shared" si="241"/>
        <v>0</v>
      </c>
      <c r="U26" s="311">
        <f t="shared" si="241"/>
        <v>0</v>
      </c>
      <c r="V26" s="311">
        <f t="shared" si="241"/>
        <v>0</v>
      </c>
      <c r="W26" s="311">
        <f t="shared" si="241"/>
        <v>0</v>
      </c>
      <c r="X26" s="311">
        <f t="shared" si="241"/>
        <v>0</v>
      </c>
      <c r="Y26" s="311">
        <f t="shared" si="241"/>
        <v>0</v>
      </c>
      <c r="Z26" s="311">
        <f t="shared" si="241"/>
        <v>0</v>
      </c>
      <c r="AA26" s="311">
        <f t="shared" si="241"/>
        <v>0</v>
      </c>
      <c r="AB26" s="311">
        <f t="shared" si="241"/>
        <v>0</v>
      </c>
      <c r="AC26" s="311">
        <f t="shared" si="241"/>
        <v>0</v>
      </c>
      <c r="AD26" s="311">
        <f t="shared" si="241"/>
        <v>0</v>
      </c>
      <c r="AE26" s="311">
        <f t="shared" si="241"/>
        <v>0</v>
      </c>
      <c r="AF26" s="311">
        <f t="shared" si="241"/>
        <v>0</v>
      </c>
      <c r="AG26" s="311">
        <f t="shared" si="241"/>
        <v>0</v>
      </c>
      <c r="AH26" s="311">
        <f t="shared" si="241"/>
        <v>0</v>
      </c>
      <c r="AI26" s="311">
        <f t="shared" si="241"/>
        <v>0</v>
      </c>
      <c r="AJ26" s="311">
        <f t="shared" si="241"/>
        <v>0</v>
      </c>
      <c r="AK26" s="311">
        <f t="shared" si="241"/>
        <v>0</v>
      </c>
      <c r="AL26" s="311">
        <f t="shared" si="241"/>
        <v>0</v>
      </c>
      <c r="AM26" s="311">
        <f t="shared" si="241"/>
        <v>0</v>
      </c>
      <c r="AN26" s="311">
        <f t="shared" si="241"/>
        <v>0</v>
      </c>
      <c r="AO26" s="311">
        <f t="shared" si="241"/>
        <v>0</v>
      </c>
      <c r="AP26" s="311">
        <f t="shared" si="241"/>
        <v>0</v>
      </c>
      <c r="AQ26" s="311">
        <f t="shared" si="241"/>
        <v>0</v>
      </c>
      <c r="AR26" s="311">
        <f t="shared" si="241"/>
        <v>0</v>
      </c>
      <c r="AS26" s="311">
        <f t="shared" si="241"/>
        <v>0</v>
      </c>
      <c r="AT26" s="311">
        <f t="shared" si="241"/>
        <v>0</v>
      </c>
      <c r="AU26" s="311">
        <f t="shared" si="241"/>
        <v>0</v>
      </c>
      <c r="AV26" s="311">
        <f t="shared" si="241"/>
        <v>0</v>
      </c>
      <c r="AW26" s="311">
        <f t="shared" si="241"/>
        <v>0</v>
      </c>
      <c r="AX26" s="311">
        <f t="shared" si="241"/>
        <v>0</v>
      </c>
      <c r="AY26" s="311">
        <f t="shared" si="241"/>
        <v>0</v>
      </c>
      <c r="AZ26" s="311">
        <f t="shared" si="241"/>
        <v>0</v>
      </c>
      <c r="BA26" s="311">
        <f t="shared" si="241"/>
        <v>0</v>
      </c>
      <c r="BB26" s="311">
        <f t="shared" si="241"/>
        <v>0</v>
      </c>
      <c r="BC26" s="311">
        <f t="shared" si="241"/>
        <v>0</v>
      </c>
      <c r="BD26" s="311">
        <f t="shared" si="241"/>
        <v>0</v>
      </c>
      <c r="BE26" s="311">
        <f t="shared" si="241"/>
        <v>0</v>
      </c>
      <c r="BF26" s="311">
        <f t="shared" si="241"/>
        <v>0</v>
      </c>
      <c r="BG26" s="311">
        <f t="shared" si="241"/>
        <v>0</v>
      </c>
      <c r="BH26" s="311">
        <f t="shared" si="241"/>
        <v>0</v>
      </c>
      <c r="BI26" s="311">
        <f t="shared" si="241"/>
        <v>0</v>
      </c>
      <c r="BJ26" s="311">
        <f t="shared" si="241"/>
        <v>0</v>
      </c>
      <c r="BK26" s="311">
        <f t="shared" si="241"/>
        <v>0</v>
      </c>
      <c r="BL26" s="311">
        <f t="shared" si="241"/>
        <v>0</v>
      </c>
      <c r="BM26" s="311">
        <f t="shared" si="241"/>
        <v>0</v>
      </c>
      <c r="BN26" s="311">
        <f t="shared" si="241"/>
        <v>0</v>
      </c>
      <c r="BO26" s="311">
        <f t="shared" si="241"/>
        <v>0</v>
      </c>
      <c r="BP26" s="311">
        <f t="shared" si="241"/>
        <v>0</v>
      </c>
      <c r="BQ26" s="311">
        <f t="shared" ref="BQ26:EB26" si="242">+BQ24</f>
        <v>0</v>
      </c>
      <c r="BR26" s="311">
        <f t="shared" si="242"/>
        <v>0</v>
      </c>
      <c r="BS26" s="311">
        <f t="shared" si="242"/>
        <v>0</v>
      </c>
      <c r="BT26" s="311">
        <f t="shared" si="242"/>
        <v>0</v>
      </c>
      <c r="BU26" s="311">
        <f t="shared" si="242"/>
        <v>0</v>
      </c>
      <c r="BV26" s="311">
        <f t="shared" si="242"/>
        <v>0</v>
      </c>
      <c r="BW26" s="311">
        <f t="shared" si="242"/>
        <v>0</v>
      </c>
      <c r="BX26" s="311">
        <f t="shared" si="242"/>
        <v>0</v>
      </c>
      <c r="BY26" s="311">
        <f t="shared" si="242"/>
        <v>0</v>
      </c>
      <c r="BZ26" s="311">
        <f t="shared" si="242"/>
        <v>0</v>
      </c>
      <c r="CA26" s="311">
        <f t="shared" si="242"/>
        <v>0</v>
      </c>
      <c r="CB26" s="311">
        <f t="shared" si="242"/>
        <v>0</v>
      </c>
      <c r="CC26" s="311">
        <f t="shared" si="242"/>
        <v>0</v>
      </c>
      <c r="CD26" s="311">
        <f t="shared" si="242"/>
        <v>0</v>
      </c>
      <c r="CE26" s="311">
        <f t="shared" si="242"/>
        <v>0</v>
      </c>
      <c r="CF26" s="311">
        <f t="shared" si="242"/>
        <v>0</v>
      </c>
      <c r="CG26" s="311">
        <f t="shared" si="242"/>
        <v>0</v>
      </c>
      <c r="CH26" s="311">
        <f t="shared" si="242"/>
        <v>0</v>
      </c>
      <c r="CI26" s="311">
        <f t="shared" si="242"/>
        <v>0</v>
      </c>
      <c r="CJ26" s="311">
        <f t="shared" si="242"/>
        <v>0</v>
      </c>
      <c r="CK26" s="311">
        <f t="shared" si="242"/>
        <v>0</v>
      </c>
      <c r="CL26" s="311">
        <f t="shared" si="242"/>
        <v>0</v>
      </c>
      <c r="CM26" s="311">
        <f t="shared" si="242"/>
        <v>0</v>
      </c>
      <c r="CN26" s="311">
        <f t="shared" si="242"/>
        <v>0</v>
      </c>
      <c r="CO26" s="311">
        <f t="shared" si="242"/>
        <v>0</v>
      </c>
      <c r="CP26" s="311">
        <f t="shared" si="242"/>
        <v>0</v>
      </c>
      <c r="CQ26" s="311">
        <f t="shared" si="242"/>
        <v>0</v>
      </c>
      <c r="CR26" s="311">
        <f t="shared" si="242"/>
        <v>0</v>
      </c>
      <c r="CS26" s="311">
        <f t="shared" si="242"/>
        <v>0</v>
      </c>
      <c r="CT26" s="311">
        <f t="shared" si="242"/>
        <v>0</v>
      </c>
      <c r="CU26" s="311">
        <f t="shared" si="242"/>
        <v>0</v>
      </c>
      <c r="CV26" s="311">
        <f t="shared" si="242"/>
        <v>0</v>
      </c>
      <c r="CW26" s="311">
        <f t="shared" si="242"/>
        <v>0</v>
      </c>
      <c r="CX26" s="311">
        <f t="shared" si="242"/>
        <v>0</v>
      </c>
      <c r="CY26" s="311">
        <f t="shared" si="242"/>
        <v>0</v>
      </c>
      <c r="CZ26" s="311">
        <f t="shared" si="242"/>
        <v>0</v>
      </c>
      <c r="DA26" s="311">
        <f t="shared" si="242"/>
        <v>0</v>
      </c>
      <c r="DB26" s="311">
        <f t="shared" si="242"/>
        <v>0</v>
      </c>
      <c r="DC26" s="311">
        <f t="shared" si="242"/>
        <v>0</v>
      </c>
      <c r="DD26" s="311">
        <f t="shared" si="242"/>
        <v>0</v>
      </c>
      <c r="DE26" s="311">
        <f t="shared" si="242"/>
        <v>0</v>
      </c>
      <c r="DF26" s="311">
        <f t="shared" si="242"/>
        <v>0</v>
      </c>
      <c r="DG26" s="311">
        <f t="shared" si="242"/>
        <v>0</v>
      </c>
      <c r="DH26" s="311">
        <f t="shared" si="242"/>
        <v>0</v>
      </c>
      <c r="DI26" s="311">
        <f t="shared" si="242"/>
        <v>0</v>
      </c>
      <c r="DJ26" s="311">
        <f t="shared" si="242"/>
        <v>0</v>
      </c>
      <c r="DK26" s="311">
        <f t="shared" si="242"/>
        <v>0</v>
      </c>
      <c r="DL26" s="311">
        <f t="shared" si="242"/>
        <v>0</v>
      </c>
      <c r="DM26" s="311">
        <f t="shared" si="242"/>
        <v>0</v>
      </c>
      <c r="DN26" s="311">
        <f t="shared" si="242"/>
        <v>0</v>
      </c>
      <c r="DO26" s="311">
        <f t="shared" si="242"/>
        <v>0</v>
      </c>
      <c r="DP26" s="311">
        <f t="shared" si="242"/>
        <v>0</v>
      </c>
      <c r="DQ26" s="311">
        <f t="shared" si="242"/>
        <v>0</v>
      </c>
      <c r="DR26" s="311">
        <f t="shared" si="242"/>
        <v>0</v>
      </c>
      <c r="DT26" s="301">
        <f t="shared" si="242"/>
        <v>0</v>
      </c>
      <c r="DU26" s="301">
        <f t="shared" si="242"/>
        <v>0</v>
      </c>
      <c r="DV26" s="301">
        <f t="shared" si="242"/>
        <v>0</v>
      </c>
      <c r="DW26" s="301">
        <f t="shared" si="242"/>
        <v>0</v>
      </c>
      <c r="DX26" s="301">
        <f t="shared" si="242"/>
        <v>0</v>
      </c>
      <c r="DY26" s="301">
        <f t="shared" si="242"/>
        <v>0</v>
      </c>
      <c r="DZ26" s="301">
        <f t="shared" si="242"/>
        <v>0</v>
      </c>
      <c r="EA26" s="301">
        <f t="shared" si="242"/>
        <v>0</v>
      </c>
      <c r="EB26" s="301">
        <f t="shared" si="242"/>
        <v>0</v>
      </c>
      <c r="EC26" s="301">
        <f t="shared" ref="EC26" si="243">+EC24</f>
        <v>0</v>
      </c>
    </row>
    <row r="27" thickTop="1">
      <c r="A27" s="18"/>
    </row>
    <row r="28" ht="14.5">
      <c r="A28" s="312" t="s">
        <v>1251</v>
      </c>
      <c r="C28" s="144">
        <f t="shared" ref="C28:AH28" si="244">+C30+C33+C36</f>
        <v>0</v>
      </c>
      <c r="D28" s="144">
        <f t="shared" si="244"/>
        <v>0</v>
      </c>
      <c r="E28" s="144">
        <f t="shared" si="244"/>
        <v>0</v>
      </c>
      <c r="F28" s="144">
        <f t="shared" si="244"/>
        <v>0</v>
      </c>
      <c r="G28" s="144">
        <f t="shared" si="244"/>
        <v>0</v>
      </c>
      <c r="H28" s="144">
        <f t="shared" si="244"/>
        <v>0</v>
      </c>
      <c r="I28" s="144">
        <f t="shared" si="244"/>
        <v>0</v>
      </c>
      <c r="J28" s="144">
        <f t="shared" si="244"/>
        <v>0</v>
      </c>
      <c r="K28" s="144">
        <f t="shared" si="244"/>
        <v>0</v>
      </c>
      <c r="L28" s="144">
        <f t="shared" si="244"/>
        <v>0</v>
      </c>
      <c r="M28" s="144">
        <f t="shared" si="244"/>
        <v>0</v>
      </c>
      <c r="N28" s="144">
        <f t="shared" si="244"/>
        <v>0</v>
      </c>
      <c r="O28" s="144">
        <f t="shared" si="244"/>
        <v>0</v>
      </c>
      <c r="P28" s="144">
        <f t="shared" si="244"/>
        <v>0</v>
      </c>
      <c r="Q28" s="144">
        <f t="shared" si="244"/>
        <v>0</v>
      </c>
      <c r="R28" s="144">
        <f t="shared" si="244"/>
        <v>0</v>
      </c>
      <c r="S28" s="144">
        <f t="shared" si="244"/>
        <v>0</v>
      </c>
      <c r="T28" s="144">
        <f t="shared" si="244"/>
        <v>0</v>
      </c>
      <c r="U28" s="144">
        <f t="shared" si="244"/>
        <v>0</v>
      </c>
      <c r="V28" s="144">
        <f t="shared" si="244"/>
        <v>0</v>
      </c>
      <c r="W28" s="144">
        <f t="shared" si="244"/>
        <v>0</v>
      </c>
      <c r="X28" s="144">
        <f t="shared" si="244"/>
        <v>0</v>
      </c>
      <c r="Y28" s="144">
        <f t="shared" si="244"/>
        <v>0</v>
      </c>
      <c r="Z28" s="144">
        <f t="shared" si="244"/>
        <v>0</v>
      </c>
      <c r="AA28" s="144">
        <f t="shared" si="244"/>
        <v>0</v>
      </c>
      <c r="AB28" s="144">
        <f t="shared" si="244"/>
        <v>0</v>
      </c>
      <c r="AC28" s="144">
        <f t="shared" si="244"/>
        <v>0</v>
      </c>
      <c r="AD28" s="144">
        <f t="shared" si="244"/>
        <v>0</v>
      </c>
      <c r="AE28" s="144">
        <f t="shared" si="244"/>
        <v>0</v>
      </c>
      <c r="AF28" s="144">
        <f t="shared" si="244"/>
        <v>0</v>
      </c>
      <c r="AG28" s="144">
        <f t="shared" si="244"/>
        <v>0</v>
      </c>
      <c r="AH28" s="144">
        <f t="shared" si="244"/>
        <v>0</v>
      </c>
      <c r="AI28" s="144">
        <f t="shared" ref="AI28:BN28" si="245">+AI30+AI33+AI36</f>
        <v>0</v>
      </c>
      <c r="AJ28" s="144">
        <f t="shared" si="245"/>
        <v>0</v>
      </c>
      <c r="AK28" s="144">
        <f t="shared" si="245"/>
        <v>0</v>
      </c>
      <c r="AL28" s="144">
        <f t="shared" si="245"/>
        <v>0</v>
      </c>
      <c r="AM28" s="144">
        <f t="shared" si="245"/>
        <v>0</v>
      </c>
      <c r="AN28" s="144">
        <f t="shared" si="245"/>
        <v>0</v>
      </c>
      <c r="AO28" s="144">
        <f t="shared" si="245"/>
        <v>0</v>
      </c>
      <c r="AP28" s="144">
        <f t="shared" si="245"/>
        <v>0</v>
      </c>
      <c r="AQ28" s="144">
        <f t="shared" si="245"/>
        <v>0</v>
      </c>
      <c r="AR28" s="144">
        <f t="shared" si="245"/>
        <v>0</v>
      </c>
      <c r="AS28" s="144">
        <f t="shared" si="245"/>
        <v>0</v>
      </c>
      <c r="AT28" s="144">
        <f t="shared" si="245"/>
        <v>0</v>
      </c>
      <c r="AU28" s="144">
        <f t="shared" si="245"/>
        <v>0</v>
      </c>
      <c r="AV28" s="144">
        <f t="shared" si="245"/>
        <v>0</v>
      </c>
      <c r="AW28" s="144">
        <f t="shared" si="245"/>
        <v>0</v>
      </c>
      <c r="AX28" s="144">
        <f t="shared" si="245"/>
        <v>0</v>
      </c>
      <c r="AY28" s="144">
        <f t="shared" si="245"/>
        <v>0</v>
      </c>
      <c r="AZ28" s="144">
        <f t="shared" si="245"/>
        <v>0</v>
      </c>
      <c r="BA28" s="144">
        <f t="shared" si="245"/>
        <v>0</v>
      </c>
      <c r="BB28" s="144">
        <f t="shared" si="245"/>
        <v>0</v>
      </c>
      <c r="BC28" s="144">
        <f t="shared" si="245"/>
        <v>0</v>
      </c>
      <c r="BD28" s="144">
        <f t="shared" si="245"/>
        <v>0</v>
      </c>
      <c r="BE28" s="144">
        <f t="shared" si="245"/>
        <v>0</v>
      </c>
      <c r="BF28" s="144">
        <f t="shared" si="245"/>
        <v>0</v>
      </c>
      <c r="BG28" s="144">
        <f t="shared" si="245"/>
        <v>0</v>
      </c>
      <c r="BH28" s="144">
        <f t="shared" si="245"/>
        <v>0</v>
      </c>
      <c r="BI28" s="144">
        <f t="shared" si="245"/>
        <v>0</v>
      </c>
      <c r="BJ28" s="144">
        <f t="shared" si="245"/>
        <v>0</v>
      </c>
      <c r="BK28" s="144">
        <f t="shared" si="245"/>
        <v>0</v>
      </c>
      <c r="BL28" s="144">
        <f t="shared" si="245"/>
        <v>0</v>
      </c>
      <c r="BM28" s="144">
        <f t="shared" si="245"/>
        <v>0</v>
      </c>
      <c r="BN28" s="144">
        <f t="shared" si="245"/>
        <v>0</v>
      </c>
      <c r="BO28" s="144">
        <f t="shared" ref="BO28:CT28" si="246">+BO30+BO33+BO36</f>
        <v>0</v>
      </c>
      <c r="BP28" s="144">
        <f t="shared" si="246"/>
        <v>0</v>
      </c>
      <c r="BQ28" s="144">
        <f t="shared" si="246"/>
        <v>0</v>
      </c>
      <c r="BR28" s="144">
        <f t="shared" si="246"/>
        <v>0</v>
      </c>
      <c r="BS28" s="144">
        <f t="shared" si="246"/>
        <v>0</v>
      </c>
      <c r="BT28" s="144">
        <f t="shared" si="246"/>
        <v>0</v>
      </c>
      <c r="BU28" s="144">
        <f t="shared" si="246"/>
        <v>0</v>
      </c>
      <c r="BV28" s="144">
        <f t="shared" si="246"/>
        <v>0</v>
      </c>
      <c r="BW28" s="144">
        <f t="shared" si="246"/>
        <v>0</v>
      </c>
      <c r="BX28" s="144">
        <f t="shared" si="246"/>
        <v>0</v>
      </c>
      <c r="BY28" s="144">
        <f t="shared" si="246"/>
        <v>0</v>
      </c>
      <c r="BZ28" s="144">
        <f t="shared" si="246"/>
        <v>0</v>
      </c>
      <c r="CA28" s="144">
        <f t="shared" si="246"/>
        <v>0</v>
      </c>
      <c r="CB28" s="144">
        <f t="shared" si="246"/>
        <v>0</v>
      </c>
      <c r="CC28" s="144">
        <f t="shared" si="246"/>
        <v>0</v>
      </c>
      <c r="CD28" s="144">
        <f t="shared" si="246"/>
        <v>0</v>
      </c>
      <c r="CE28" s="144">
        <f t="shared" si="246"/>
        <v>0</v>
      </c>
      <c r="CF28" s="144">
        <f t="shared" si="246"/>
        <v>0</v>
      </c>
      <c r="CG28" s="144">
        <f t="shared" si="246"/>
        <v>0</v>
      </c>
      <c r="CH28" s="144">
        <f t="shared" si="246"/>
        <v>0</v>
      </c>
      <c r="CI28" s="144">
        <f t="shared" si="246"/>
        <v>0</v>
      </c>
      <c r="CJ28" s="144">
        <f t="shared" si="246"/>
        <v>0</v>
      </c>
      <c r="CK28" s="144">
        <f t="shared" si="246"/>
        <v>0</v>
      </c>
      <c r="CL28" s="144">
        <f t="shared" si="246"/>
        <v>0</v>
      </c>
      <c r="CM28" s="144">
        <f t="shared" si="246"/>
        <v>0</v>
      </c>
      <c r="CN28" s="144">
        <f t="shared" si="246"/>
        <v>0</v>
      </c>
      <c r="CO28" s="144">
        <f t="shared" si="246"/>
        <v>0</v>
      </c>
      <c r="CP28" s="144">
        <f t="shared" si="246"/>
        <v>0</v>
      </c>
      <c r="CQ28" s="144">
        <f t="shared" si="246"/>
        <v>0</v>
      </c>
      <c r="CR28" s="144">
        <f t="shared" si="246"/>
        <v>0</v>
      </c>
      <c r="CS28" s="144">
        <f t="shared" si="246"/>
        <v>0</v>
      </c>
      <c r="CT28" s="144">
        <f t="shared" si="246"/>
        <v>0</v>
      </c>
      <c r="CU28" s="144">
        <f t="shared" ref="CU28:DR28" si="247">+CU30+CU33+CU36</f>
        <v>0</v>
      </c>
      <c r="CV28" s="144">
        <f t="shared" si="247"/>
        <v>0</v>
      </c>
      <c r="CW28" s="144">
        <f t="shared" si="247"/>
        <v>0</v>
      </c>
      <c r="CX28" s="144">
        <f t="shared" si="247"/>
        <v>0</v>
      </c>
      <c r="CY28" s="144">
        <f t="shared" si="247"/>
        <v>0</v>
      </c>
      <c r="CZ28" s="144">
        <f t="shared" si="247"/>
        <v>0</v>
      </c>
      <c r="DA28" s="144">
        <f t="shared" si="247"/>
        <v>0</v>
      </c>
      <c r="DB28" s="144">
        <f t="shared" si="247"/>
        <v>0</v>
      </c>
      <c r="DC28" s="144">
        <f t="shared" si="247"/>
        <v>0</v>
      </c>
      <c r="DD28" s="144">
        <f t="shared" si="247"/>
        <v>0</v>
      </c>
      <c r="DE28" s="144">
        <f t="shared" si="247"/>
        <v>0</v>
      </c>
      <c r="DF28" s="144">
        <f t="shared" si="247"/>
        <v>0</v>
      </c>
      <c r="DG28" s="144">
        <f t="shared" si="247"/>
        <v>0</v>
      </c>
      <c r="DH28" s="144">
        <f t="shared" si="247"/>
        <v>0</v>
      </c>
      <c r="DI28" s="144">
        <f t="shared" si="247"/>
        <v>0</v>
      </c>
      <c r="DJ28" s="144">
        <f t="shared" si="247"/>
        <v>0</v>
      </c>
      <c r="DK28" s="144">
        <f t="shared" si="247"/>
        <v>0</v>
      </c>
      <c r="DL28" s="144">
        <f t="shared" si="247"/>
        <v>0</v>
      </c>
      <c r="DM28" s="144">
        <f t="shared" si="247"/>
        <v>0</v>
      </c>
      <c r="DN28" s="144">
        <f t="shared" si="247"/>
        <v>0</v>
      </c>
      <c r="DO28" s="144">
        <f t="shared" si="247"/>
        <v>0</v>
      </c>
      <c r="DP28" s="144">
        <f t="shared" si="247"/>
        <v>0</v>
      </c>
      <c r="DQ28" s="144">
        <f t="shared" si="247"/>
        <v>0</v>
      </c>
      <c r="DR28" s="144">
        <f t="shared" si="247"/>
        <v>0</v>
      </c>
      <c r="DT28" s="144">
        <f t="shared" ref="DT28:EC28" si="248">+DT30+DT33+DT36</f>
        <v>0</v>
      </c>
      <c r="DU28" s="144">
        <f t="shared" si="248"/>
        <v>0</v>
      </c>
      <c r="DV28" s="144">
        <f t="shared" si="248"/>
        <v>0</v>
      </c>
      <c r="DW28" s="144">
        <f t="shared" si="248"/>
        <v>0</v>
      </c>
      <c r="DX28" s="144">
        <f t="shared" si="248"/>
        <v>0</v>
      </c>
      <c r="DY28" s="144">
        <f t="shared" si="248"/>
        <v>0</v>
      </c>
      <c r="DZ28" s="144">
        <f t="shared" si="248"/>
        <v>0</v>
      </c>
      <c r="EA28" s="144">
        <f t="shared" si="248"/>
        <v>0</v>
      </c>
      <c r="EB28" s="144">
        <f t="shared" si="248"/>
        <v>0</v>
      </c>
      <c r="EC28" s="144">
        <f t="shared" si="248"/>
        <v>0</v>
      </c>
    </row>
    <row r="29" ht="14.5">
      <c r="A29" s="107"/>
      <c r="DT29" s="144"/>
      <c r="DU29" s="144"/>
      <c r="DV29" s="144"/>
      <c r="DW29" s="144"/>
      <c r="DX29" s="144"/>
      <c r="DY29" s="144"/>
      <c r="DZ29" s="144"/>
      <c r="EA29" s="144"/>
      <c r="EB29" s="144"/>
      <c r="EC29" s="144"/>
    </row>
    <row r="30" ht="14.5">
      <c r="A30" s="3" t="s">
        <v>731</v>
      </c>
      <c r="C30" s="100">
        <f>+C31</f>
        <v>0</v>
      </c>
      <c r="D30" s="100">
        <f t="shared" ref="D30:BO30" si="249">+D31</f>
        <v>0</v>
      </c>
      <c r="E30" s="100">
        <f t="shared" si="249"/>
        <v>0</v>
      </c>
      <c r="F30" s="100">
        <f t="shared" si="249"/>
        <v>0</v>
      </c>
      <c r="G30" s="100">
        <f t="shared" si="249"/>
        <v>0</v>
      </c>
      <c r="H30" s="100">
        <f t="shared" si="249"/>
        <v>0</v>
      </c>
      <c r="I30" s="100">
        <f t="shared" si="249"/>
        <v>0</v>
      </c>
      <c r="J30" s="100">
        <f t="shared" si="249"/>
        <v>0</v>
      </c>
      <c r="K30" s="100">
        <f t="shared" si="249"/>
        <v>0</v>
      </c>
      <c r="L30" s="100">
        <f t="shared" si="249"/>
        <v>0</v>
      </c>
      <c r="M30" s="100">
        <f t="shared" si="249"/>
        <v>0</v>
      </c>
      <c r="N30" s="100">
        <f t="shared" si="249"/>
        <v>0</v>
      </c>
      <c r="O30" s="100">
        <f t="shared" si="249"/>
        <v>0</v>
      </c>
      <c r="P30" s="100">
        <f t="shared" si="249"/>
        <v>0</v>
      </c>
      <c r="Q30" s="100">
        <f t="shared" si="249"/>
        <v>0</v>
      </c>
      <c r="R30" s="100">
        <f t="shared" si="249"/>
        <v>0</v>
      </c>
      <c r="S30" s="100">
        <f t="shared" si="249"/>
        <v>0</v>
      </c>
      <c r="T30" s="100">
        <f t="shared" si="249"/>
        <v>0</v>
      </c>
      <c r="U30" s="100">
        <f t="shared" si="249"/>
        <v>0</v>
      </c>
      <c r="V30" s="100">
        <f t="shared" si="249"/>
        <v>0</v>
      </c>
      <c r="W30" s="100">
        <f t="shared" si="249"/>
        <v>0</v>
      </c>
      <c r="X30" s="100">
        <f t="shared" si="249"/>
        <v>0</v>
      </c>
      <c r="Y30" s="100">
        <f t="shared" si="249"/>
        <v>0</v>
      </c>
      <c r="Z30" s="100">
        <f t="shared" si="249"/>
        <v>0</v>
      </c>
      <c r="AA30" s="100">
        <f t="shared" si="249"/>
        <v>0</v>
      </c>
      <c r="AB30" s="100">
        <f t="shared" si="249"/>
        <v>0</v>
      </c>
      <c r="AC30" s="100">
        <f t="shared" si="249"/>
        <v>0</v>
      </c>
      <c r="AD30" s="100">
        <f t="shared" si="249"/>
        <v>0</v>
      </c>
      <c r="AE30" s="100">
        <f t="shared" si="249"/>
        <v>0</v>
      </c>
      <c r="AF30" s="100">
        <f t="shared" si="249"/>
        <v>0</v>
      </c>
      <c r="AG30" s="100">
        <f t="shared" si="249"/>
        <v>0</v>
      </c>
      <c r="AH30" s="100">
        <f t="shared" si="249"/>
        <v>0</v>
      </c>
      <c r="AI30" s="100">
        <f t="shared" si="249"/>
        <v>0</v>
      </c>
      <c r="AJ30" s="100">
        <f t="shared" si="249"/>
        <v>0</v>
      </c>
      <c r="AK30" s="100">
        <f t="shared" si="249"/>
        <v>0</v>
      </c>
      <c r="AL30" s="100">
        <f t="shared" si="249"/>
        <v>0</v>
      </c>
      <c r="AM30" s="100">
        <f t="shared" si="249"/>
        <v>0</v>
      </c>
      <c r="AN30" s="100">
        <f t="shared" si="249"/>
        <v>0</v>
      </c>
      <c r="AO30" s="100">
        <f t="shared" si="249"/>
        <v>0</v>
      </c>
      <c r="AP30" s="100">
        <f t="shared" si="249"/>
        <v>0</v>
      </c>
      <c r="AQ30" s="100">
        <f t="shared" si="249"/>
        <v>0</v>
      </c>
      <c r="AR30" s="100">
        <f t="shared" si="249"/>
        <v>0</v>
      </c>
      <c r="AS30" s="100">
        <f t="shared" si="249"/>
        <v>0</v>
      </c>
      <c r="AT30" s="100">
        <f t="shared" si="249"/>
        <v>0</v>
      </c>
      <c r="AU30" s="100">
        <f t="shared" si="249"/>
        <v>0</v>
      </c>
      <c r="AV30" s="100">
        <f t="shared" si="249"/>
        <v>0</v>
      </c>
      <c r="AW30" s="100">
        <f t="shared" si="249"/>
        <v>0</v>
      </c>
      <c r="AX30" s="100">
        <f t="shared" si="249"/>
        <v>0</v>
      </c>
      <c r="AY30" s="100">
        <f t="shared" si="249"/>
        <v>0</v>
      </c>
      <c r="AZ30" s="100">
        <f t="shared" si="249"/>
        <v>0</v>
      </c>
      <c r="BA30" s="100">
        <f t="shared" si="249"/>
        <v>0</v>
      </c>
      <c r="BB30" s="100">
        <f t="shared" si="249"/>
        <v>0</v>
      </c>
      <c r="BC30" s="100">
        <f t="shared" si="249"/>
        <v>0</v>
      </c>
      <c r="BD30" s="100">
        <f t="shared" si="249"/>
        <v>0</v>
      </c>
      <c r="BE30" s="100">
        <f t="shared" si="249"/>
        <v>0</v>
      </c>
      <c r="BF30" s="100">
        <f t="shared" si="249"/>
        <v>0</v>
      </c>
      <c r="BG30" s="100">
        <f t="shared" si="249"/>
        <v>0</v>
      </c>
      <c r="BH30" s="100">
        <f t="shared" si="249"/>
        <v>0</v>
      </c>
      <c r="BI30" s="100">
        <f t="shared" si="249"/>
        <v>0</v>
      </c>
      <c r="BJ30" s="100">
        <f t="shared" si="249"/>
        <v>0</v>
      </c>
      <c r="BK30" s="100">
        <f t="shared" si="249"/>
        <v>0</v>
      </c>
      <c r="BL30" s="100">
        <f t="shared" si="249"/>
        <v>0</v>
      </c>
      <c r="BM30" s="100">
        <f t="shared" si="249"/>
        <v>0</v>
      </c>
      <c r="BN30" s="100">
        <f t="shared" si="249"/>
        <v>0</v>
      </c>
      <c r="BO30" s="100">
        <f t="shared" si="249"/>
        <v>0</v>
      </c>
      <c r="BP30" s="100">
        <f t="shared" ref="BP30:DR30" si="250">+BP31</f>
        <v>0</v>
      </c>
      <c r="BQ30" s="100">
        <f t="shared" si="250"/>
        <v>0</v>
      </c>
      <c r="BR30" s="100">
        <f t="shared" si="250"/>
        <v>0</v>
      </c>
      <c r="BS30" s="100">
        <f t="shared" si="250"/>
        <v>0</v>
      </c>
      <c r="BT30" s="100">
        <f t="shared" si="250"/>
        <v>0</v>
      </c>
      <c r="BU30" s="100">
        <f t="shared" si="250"/>
        <v>0</v>
      </c>
      <c r="BV30" s="100">
        <f t="shared" si="250"/>
        <v>0</v>
      </c>
      <c r="BW30" s="100">
        <f t="shared" si="250"/>
        <v>0</v>
      </c>
      <c r="BX30" s="100">
        <f t="shared" si="250"/>
        <v>0</v>
      </c>
      <c r="BY30" s="100">
        <f t="shared" si="250"/>
        <v>0</v>
      </c>
      <c r="BZ30" s="100">
        <f t="shared" si="250"/>
        <v>0</v>
      </c>
      <c r="CA30" s="100">
        <f t="shared" si="250"/>
        <v>0</v>
      </c>
      <c r="CB30" s="100">
        <f t="shared" si="250"/>
        <v>0</v>
      </c>
      <c r="CC30" s="100">
        <f t="shared" si="250"/>
        <v>0</v>
      </c>
      <c r="CD30" s="100">
        <f t="shared" si="250"/>
        <v>0</v>
      </c>
      <c r="CE30" s="100">
        <f t="shared" si="250"/>
        <v>0</v>
      </c>
      <c r="CF30" s="100">
        <f t="shared" si="250"/>
        <v>0</v>
      </c>
      <c r="CG30" s="100">
        <f t="shared" si="250"/>
        <v>0</v>
      </c>
      <c r="CH30" s="100">
        <f t="shared" si="250"/>
        <v>0</v>
      </c>
      <c r="CI30" s="100">
        <f t="shared" si="250"/>
        <v>0</v>
      </c>
      <c r="CJ30" s="100">
        <f t="shared" si="250"/>
        <v>0</v>
      </c>
      <c r="CK30" s="100">
        <f t="shared" si="250"/>
        <v>0</v>
      </c>
      <c r="CL30" s="100">
        <f t="shared" si="250"/>
        <v>0</v>
      </c>
      <c r="CM30" s="100">
        <f t="shared" si="250"/>
        <v>0</v>
      </c>
      <c r="CN30" s="100">
        <f t="shared" si="250"/>
        <v>0</v>
      </c>
      <c r="CO30" s="100">
        <f t="shared" si="250"/>
        <v>0</v>
      </c>
      <c r="CP30" s="100">
        <f t="shared" si="250"/>
        <v>0</v>
      </c>
      <c r="CQ30" s="100">
        <f t="shared" si="250"/>
        <v>0</v>
      </c>
      <c r="CR30" s="100">
        <f t="shared" si="250"/>
        <v>0</v>
      </c>
      <c r="CS30" s="100">
        <f t="shared" si="250"/>
        <v>0</v>
      </c>
      <c r="CT30" s="100">
        <f t="shared" si="250"/>
        <v>0</v>
      </c>
      <c r="CU30" s="100">
        <f t="shared" si="250"/>
        <v>0</v>
      </c>
      <c r="CV30" s="100">
        <f t="shared" si="250"/>
        <v>0</v>
      </c>
      <c r="CW30" s="100">
        <f t="shared" si="250"/>
        <v>0</v>
      </c>
      <c r="CX30" s="100">
        <f t="shared" si="250"/>
        <v>0</v>
      </c>
      <c r="CY30" s="100">
        <f t="shared" si="250"/>
        <v>0</v>
      </c>
      <c r="CZ30" s="100">
        <f t="shared" si="250"/>
        <v>0</v>
      </c>
      <c r="DA30" s="100">
        <f t="shared" si="250"/>
        <v>0</v>
      </c>
      <c r="DB30" s="100">
        <f t="shared" si="250"/>
        <v>0</v>
      </c>
      <c r="DC30" s="100">
        <f t="shared" si="250"/>
        <v>0</v>
      </c>
      <c r="DD30" s="100">
        <f t="shared" si="250"/>
        <v>0</v>
      </c>
      <c r="DE30" s="100">
        <f t="shared" si="250"/>
        <v>0</v>
      </c>
      <c r="DF30" s="100">
        <f t="shared" si="250"/>
        <v>0</v>
      </c>
      <c r="DG30" s="100">
        <f t="shared" si="250"/>
        <v>0</v>
      </c>
      <c r="DH30" s="100">
        <f t="shared" si="250"/>
        <v>0</v>
      </c>
      <c r="DI30" s="100">
        <f t="shared" si="250"/>
        <v>0</v>
      </c>
      <c r="DJ30" s="100">
        <f t="shared" si="250"/>
        <v>0</v>
      </c>
      <c r="DK30" s="100">
        <f t="shared" si="250"/>
        <v>0</v>
      </c>
      <c r="DL30" s="100">
        <f t="shared" si="250"/>
        <v>0</v>
      </c>
      <c r="DM30" s="100">
        <f t="shared" si="250"/>
        <v>0</v>
      </c>
      <c r="DN30" s="100">
        <f t="shared" si="250"/>
        <v>0</v>
      </c>
      <c r="DO30" s="100">
        <f t="shared" si="250"/>
        <v>0</v>
      </c>
      <c r="DP30" s="100">
        <f t="shared" si="250"/>
        <v>0</v>
      </c>
      <c r="DQ30" s="100">
        <f t="shared" si="250"/>
        <v>0</v>
      </c>
      <c r="DR30" s="100">
        <f t="shared" si="250"/>
        <v>0</v>
      </c>
      <c r="DT30" s="100">
        <f>+DT31</f>
        <v>0</v>
      </c>
      <c r="DU30" s="100">
        <f t="shared" ref="DU30:EC30" si="251">+DU31</f>
        <v>0</v>
      </c>
      <c r="DV30" s="100">
        <f t="shared" si="251"/>
        <v>0</v>
      </c>
      <c r="DW30" s="100">
        <f t="shared" si="251"/>
        <v>0</v>
      </c>
      <c r="DX30" s="100">
        <f t="shared" si="251"/>
        <v>0</v>
      </c>
      <c r="DY30" s="100">
        <f t="shared" si="251"/>
        <v>0</v>
      </c>
      <c r="DZ30" s="100">
        <f t="shared" si="251"/>
        <v>0</v>
      </c>
      <c r="EA30" s="100">
        <f t="shared" si="251"/>
        <v>0</v>
      </c>
      <c r="EB30" s="100">
        <f t="shared" si="251"/>
        <v>0</v>
      </c>
      <c r="EC30" s="100">
        <f t="shared" si="251"/>
        <v>0</v>
      </c>
    </row>
    <row r="31" ht="14.5">
      <c r="A31" t="s">
        <v>1252</v>
      </c>
      <c r="C31" s="144">
        <f>+'SP-mese'!C31-'SP-mese'!D31-'CE-mese'!C43</f>
        <v>0</v>
      </c>
      <c r="D31" s="144">
        <f>+'SP-mese'!D31-'SP-mese'!E31-'CE-mese'!D43</f>
        <v>0</v>
      </c>
      <c r="E31" s="144">
        <f>+'SP-mese'!E31-'SP-mese'!F31-'CE-mese'!E43</f>
        <v>0</v>
      </c>
      <c r="F31" s="144">
        <f>+'SP-mese'!F31-'SP-mese'!G31-'CE-mese'!F43</f>
        <v>0</v>
      </c>
      <c r="G31" s="144">
        <f>+'SP-mese'!G31-'SP-mese'!H31-'CE-mese'!G43</f>
        <v>0</v>
      </c>
      <c r="H31" s="144">
        <f>+'SP-mese'!H31-'SP-mese'!I31-'CE-mese'!H43</f>
        <v>0</v>
      </c>
      <c r="I31" s="144">
        <f>+'SP-mese'!I31-'SP-mese'!J31-'CE-mese'!I43</f>
        <v>0</v>
      </c>
      <c r="J31" s="144">
        <f>+'SP-mese'!J31-'SP-mese'!K31-'CE-mese'!J43</f>
        <v>0</v>
      </c>
      <c r="K31" s="144">
        <f>+'SP-mese'!K31-'SP-mese'!L31-'CE-mese'!K43</f>
        <v>0</v>
      </c>
      <c r="L31" s="144">
        <f>+'SP-mese'!L31-'SP-mese'!M31-'CE-mese'!L43</f>
        <v>0</v>
      </c>
      <c r="M31" s="144">
        <f>+'SP-mese'!M31-'SP-mese'!N31-'CE-mese'!M43</f>
        <v>0</v>
      </c>
      <c r="N31" s="144">
        <f>+'SP-mese'!N31-'SP-mese'!O31-'CE-mese'!N43</f>
        <v>0</v>
      </c>
      <c r="O31" s="144">
        <f>+'SP-mese'!O31-'SP-mese'!P31-'CE-mese'!O43</f>
        <v>0</v>
      </c>
      <c r="P31" s="144">
        <f>+'SP-mese'!P31-'SP-mese'!Q31-'CE-mese'!P43</f>
        <v>0</v>
      </c>
      <c r="Q31" s="144">
        <f>+'SP-mese'!Q31-'SP-mese'!R31-'CE-mese'!Q43</f>
        <v>0</v>
      </c>
      <c r="R31" s="144">
        <f>+'SP-mese'!R31-'SP-mese'!S31-'CE-mese'!R43</f>
        <v>0</v>
      </c>
      <c r="S31" s="144">
        <f>+'SP-mese'!S31-'SP-mese'!T31-'CE-mese'!S43</f>
        <v>0</v>
      </c>
      <c r="T31" s="144">
        <f>+'SP-mese'!T31-'SP-mese'!U31-'CE-mese'!T43</f>
        <v>0</v>
      </c>
      <c r="U31" s="144">
        <f>+'SP-mese'!U31-'SP-mese'!V31-'CE-mese'!U43</f>
        <v>0</v>
      </c>
      <c r="V31" s="144">
        <f>+'SP-mese'!V31-'SP-mese'!W31-'CE-mese'!V43</f>
        <v>0</v>
      </c>
      <c r="W31" s="144">
        <f>+'SP-mese'!W31-'SP-mese'!X31-'CE-mese'!W43</f>
        <v>0</v>
      </c>
      <c r="X31" s="144">
        <f>+'SP-mese'!X31-'SP-mese'!Y31-'CE-mese'!X43</f>
        <v>0</v>
      </c>
      <c r="Y31" s="144">
        <f>+'SP-mese'!Y31-'SP-mese'!Z31-'CE-mese'!Y43</f>
        <v>0</v>
      </c>
      <c r="Z31" s="144">
        <f>+'SP-mese'!Z31-'SP-mese'!AA31-'CE-mese'!Z43</f>
        <v>0</v>
      </c>
      <c r="AA31" s="144">
        <f>+'SP-mese'!AA31-'SP-mese'!AB31-'CE-mese'!AA43</f>
        <v>0</v>
      </c>
      <c r="AB31" s="144">
        <f>+'SP-mese'!AB31-'SP-mese'!AC31-'CE-mese'!AB43</f>
        <v>0</v>
      </c>
      <c r="AC31" s="144">
        <f>+'SP-mese'!AC31-'SP-mese'!AD31-'CE-mese'!AC43</f>
        <v>0</v>
      </c>
      <c r="AD31" s="144">
        <f>+'SP-mese'!AD31-'SP-mese'!AE31-'CE-mese'!AD43</f>
        <v>0</v>
      </c>
      <c r="AE31" s="144">
        <f>+'SP-mese'!AE31-'SP-mese'!AF31-'CE-mese'!AE43</f>
        <v>0</v>
      </c>
      <c r="AF31" s="144">
        <f>+'SP-mese'!AF31-'SP-mese'!AG31-'CE-mese'!AF43</f>
        <v>0</v>
      </c>
      <c r="AG31" s="144">
        <f>+'SP-mese'!AG31-'SP-mese'!AH31-'CE-mese'!AG43</f>
        <v>0</v>
      </c>
      <c r="AH31" s="144">
        <f>+'SP-mese'!AH31-'SP-mese'!AI31-'CE-mese'!AH43</f>
        <v>0</v>
      </c>
      <c r="AI31" s="144">
        <f>+'SP-mese'!AI31-'SP-mese'!AJ31-'CE-mese'!AI43</f>
        <v>0</v>
      </c>
      <c r="AJ31" s="144">
        <f>+'SP-mese'!AJ31-'SP-mese'!AK31-'CE-mese'!AJ43</f>
        <v>0</v>
      </c>
      <c r="AK31" s="144">
        <f>+'SP-mese'!AK31-'SP-mese'!AL31-'CE-mese'!AK43</f>
        <v>0</v>
      </c>
      <c r="AL31" s="144">
        <f>+'SP-mese'!AL31-'SP-mese'!AM31-'CE-mese'!AL43</f>
        <v>0</v>
      </c>
      <c r="AM31" s="144">
        <f>+'SP-mese'!AM31-'SP-mese'!AN31-'CE-mese'!AM43</f>
        <v>0</v>
      </c>
      <c r="AN31" s="144">
        <f>+'SP-mese'!AN31-'SP-mese'!AO31-'CE-mese'!AN43</f>
        <v>0</v>
      </c>
      <c r="AO31" s="144">
        <f>+'SP-mese'!AO31-'SP-mese'!AP31-'CE-mese'!AO43</f>
        <v>0</v>
      </c>
      <c r="AP31" s="144">
        <f>+'SP-mese'!AP31-'SP-mese'!AQ31-'CE-mese'!AP43</f>
        <v>0</v>
      </c>
      <c r="AQ31" s="144">
        <f>+'SP-mese'!AQ31-'SP-mese'!AR31-'CE-mese'!AQ43</f>
        <v>0</v>
      </c>
      <c r="AR31" s="144">
        <f>+'SP-mese'!AR31-'SP-mese'!AS31-'CE-mese'!AR43</f>
        <v>0</v>
      </c>
      <c r="AS31" s="144">
        <f>+'SP-mese'!AS31-'SP-mese'!AT31-'CE-mese'!AS43</f>
        <v>0</v>
      </c>
      <c r="AT31" s="144">
        <f>+'SP-mese'!AT31-'SP-mese'!AU31-'CE-mese'!AT43</f>
        <v>0</v>
      </c>
      <c r="AU31" s="144">
        <f>+'SP-mese'!AU31-'SP-mese'!AV31-'CE-mese'!AU43</f>
        <v>0</v>
      </c>
      <c r="AV31" s="144">
        <f>+'SP-mese'!AV31-'SP-mese'!AW31-'CE-mese'!AV43</f>
        <v>0</v>
      </c>
      <c r="AW31" s="144">
        <f>+'SP-mese'!AW31-'SP-mese'!AX31-'CE-mese'!AW43</f>
        <v>0</v>
      </c>
      <c r="AX31" s="144">
        <f>+'SP-mese'!AX31-'SP-mese'!AY31-'CE-mese'!AX43</f>
        <v>0</v>
      </c>
      <c r="AY31" s="144">
        <f>+'SP-mese'!AY31-'SP-mese'!AZ31-'CE-mese'!AY43</f>
        <v>0</v>
      </c>
      <c r="AZ31" s="144">
        <f>+'SP-mese'!AZ31-'SP-mese'!BA31-'CE-mese'!AZ43</f>
        <v>0</v>
      </c>
      <c r="BA31" s="144">
        <f>+'SP-mese'!BA31-'SP-mese'!BB31-'CE-mese'!BA43</f>
        <v>0</v>
      </c>
      <c r="BB31" s="144">
        <f>+'SP-mese'!BB31-'SP-mese'!BC31-'CE-mese'!BB43</f>
        <v>0</v>
      </c>
      <c r="BC31" s="144">
        <f>+'SP-mese'!BC31-'SP-mese'!BD31-'CE-mese'!BC43</f>
        <v>0</v>
      </c>
      <c r="BD31" s="144">
        <f>+'SP-mese'!BD31-'SP-mese'!BE31-'CE-mese'!BD43</f>
        <v>0</v>
      </c>
      <c r="BE31" s="144">
        <f>+'SP-mese'!BE31-'SP-mese'!BF31-'CE-mese'!BE43</f>
        <v>0</v>
      </c>
      <c r="BF31" s="144">
        <f>+'SP-mese'!BF31-'SP-mese'!BG31-'CE-mese'!BF43</f>
        <v>0</v>
      </c>
      <c r="BG31" s="144">
        <f>+'SP-mese'!BG31-'SP-mese'!BH31-'CE-mese'!BG43</f>
        <v>0</v>
      </c>
      <c r="BH31" s="144">
        <f>+'SP-mese'!BH31-'SP-mese'!BI31-'CE-mese'!BH43</f>
        <v>0</v>
      </c>
      <c r="BI31" s="144">
        <f>+'SP-mese'!BI31-'SP-mese'!BJ31-'CE-mese'!BI43</f>
        <v>0</v>
      </c>
      <c r="BJ31" s="144">
        <f>+'SP-mese'!BJ31-'SP-mese'!BK31-'CE-mese'!BJ43</f>
        <v>0</v>
      </c>
      <c r="BK31" s="144">
        <f>+'SP-mese'!BK31-'SP-mese'!BL31-'CE-mese'!BK43</f>
        <v>0</v>
      </c>
      <c r="BL31" s="144">
        <f>+'SP-mese'!BL31-'SP-mese'!BM31-'CE-mese'!BL43</f>
        <v>0</v>
      </c>
      <c r="BM31" s="144">
        <f>+'SP-mese'!BM31-'SP-mese'!BN31-'CE-mese'!BM43</f>
        <v>0</v>
      </c>
      <c r="BN31" s="144">
        <f>+'SP-mese'!BN31-'SP-mese'!BO31-'CE-mese'!BN43</f>
        <v>0</v>
      </c>
      <c r="BO31" s="144">
        <f>+'SP-mese'!BO31-'SP-mese'!BP31-'CE-mese'!BO43</f>
        <v>0</v>
      </c>
      <c r="BP31" s="144">
        <f>+'SP-mese'!BP31-'SP-mese'!BQ31-'CE-mese'!BP43</f>
        <v>0</v>
      </c>
      <c r="BQ31" s="144">
        <f>+'SP-mese'!BQ31-'SP-mese'!BR31-'CE-mese'!BQ43</f>
        <v>0</v>
      </c>
      <c r="BR31" s="144">
        <f>+'SP-mese'!BR31-'SP-mese'!BS31-'CE-mese'!BR43</f>
        <v>0</v>
      </c>
      <c r="BS31" s="144">
        <f>+'SP-mese'!BS31-'SP-mese'!BT31-'CE-mese'!BS43</f>
        <v>0</v>
      </c>
      <c r="BT31" s="144">
        <f>+'SP-mese'!BT31-'SP-mese'!BU31-'CE-mese'!BT43</f>
        <v>0</v>
      </c>
      <c r="BU31" s="144">
        <f>+'SP-mese'!BU31-'SP-mese'!BV31-'CE-mese'!BU43</f>
        <v>0</v>
      </c>
      <c r="BV31" s="144">
        <f>+'SP-mese'!BV31-'SP-mese'!BW31-'CE-mese'!BV43</f>
        <v>0</v>
      </c>
      <c r="BW31" s="144">
        <f>+'SP-mese'!BW31-'SP-mese'!BX31-'CE-mese'!BW43</f>
        <v>0</v>
      </c>
      <c r="BX31" s="144">
        <f>+'SP-mese'!BX31-'SP-mese'!BY31-'CE-mese'!BX43</f>
        <v>0</v>
      </c>
      <c r="BY31" s="144">
        <f>+'SP-mese'!BY31-'SP-mese'!BZ31-'CE-mese'!BY43</f>
        <v>0</v>
      </c>
      <c r="BZ31" s="144">
        <f>+'SP-mese'!BZ31-'SP-mese'!CA31-'CE-mese'!BZ43</f>
        <v>0</v>
      </c>
      <c r="CA31" s="144">
        <f>+'SP-mese'!CA31-'SP-mese'!CB31-'CE-mese'!CA43</f>
        <v>0</v>
      </c>
      <c r="CB31" s="144">
        <f>+'SP-mese'!CB31-'SP-mese'!CC31-'CE-mese'!CB43</f>
        <v>0</v>
      </c>
      <c r="CC31" s="144">
        <f>+'SP-mese'!CC31-'SP-mese'!CD31-'CE-mese'!CC43</f>
        <v>0</v>
      </c>
      <c r="CD31" s="144">
        <f>+'SP-mese'!CD31-'SP-mese'!CE31-'CE-mese'!CD43</f>
        <v>0</v>
      </c>
      <c r="CE31" s="144">
        <f>+'SP-mese'!CE31-'SP-mese'!CF31-'CE-mese'!CE43</f>
        <v>0</v>
      </c>
      <c r="CF31" s="144">
        <f>+'SP-mese'!CF31-'SP-mese'!CG31-'CE-mese'!CF43</f>
        <v>0</v>
      </c>
      <c r="CG31" s="144">
        <f>+'SP-mese'!CG31-'SP-mese'!CH31-'CE-mese'!CG43</f>
        <v>0</v>
      </c>
      <c r="CH31" s="144">
        <f>+'SP-mese'!CH31-'SP-mese'!CI31-'CE-mese'!CH43</f>
        <v>0</v>
      </c>
      <c r="CI31" s="144">
        <f>+'SP-mese'!CI31-'SP-mese'!CJ31-'CE-mese'!CI43</f>
        <v>0</v>
      </c>
      <c r="CJ31" s="144">
        <f>+'SP-mese'!CJ31-'SP-mese'!CK31-'CE-mese'!CJ43</f>
        <v>0</v>
      </c>
      <c r="CK31" s="144">
        <f>+'SP-mese'!CK31-'SP-mese'!CL31-'CE-mese'!CK43</f>
        <v>0</v>
      </c>
      <c r="CL31" s="144">
        <f>+'SP-mese'!CL31-'SP-mese'!CM31-'CE-mese'!CL43</f>
        <v>0</v>
      </c>
      <c r="CM31" s="144">
        <f>+'SP-mese'!CM31-'SP-mese'!CN31-'CE-mese'!CM43</f>
        <v>0</v>
      </c>
      <c r="CN31" s="144">
        <f>+'SP-mese'!CN31-'SP-mese'!CO31-'CE-mese'!CN43</f>
        <v>0</v>
      </c>
      <c r="CO31" s="144">
        <f>+'SP-mese'!CO31-'SP-mese'!CP31-'CE-mese'!CO43</f>
        <v>0</v>
      </c>
      <c r="CP31" s="144">
        <f>+'SP-mese'!CP31-'SP-mese'!CQ31-'CE-mese'!CP43</f>
        <v>0</v>
      </c>
      <c r="CQ31" s="144">
        <f>+'SP-mese'!CQ31-'SP-mese'!CR31-'CE-mese'!CQ43</f>
        <v>0</v>
      </c>
      <c r="CR31" s="144">
        <f>+'SP-mese'!CR31-'SP-mese'!CS31-'CE-mese'!CR43</f>
        <v>0</v>
      </c>
      <c r="CS31" s="144">
        <f>+'SP-mese'!CS31-'SP-mese'!CT31-'CE-mese'!CS43</f>
        <v>0</v>
      </c>
      <c r="CT31" s="144">
        <f>+'SP-mese'!CT31-'SP-mese'!CU31-'CE-mese'!CT43</f>
        <v>0</v>
      </c>
      <c r="CU31" s="144">
        <f>+'SP-mese'!CU31-'SP-mese'!CV31-'CE-mese'!CU43</f>
        <v>0</v>
      </c>
      <c r="CV31" s="144">
        <f>+'SP-mese'!CV31-'SP-mese'!CW31-'CE-mese'!CV43</f>
        <v>0</v>
      </c>
      <c r="CW31" s="144">
        <f>+'SP-mese'!CW31-'SP-mese'!CX31-'CE-mese'!CW43</f>
        <v>0</v>
      </c>
      <c r="CX31" s="144">
        <f>+'SP-mese'!CX31-'SP-mese'!CY31-'CE-mese'!CX43</f>
        <v>0</v>
      </c>
      <c r="CY31" s="144">
        <f>+'SP-mese'!CY31-'SP-mese'!CZ31-'CE-mese'!CY43</f>
        <v>0</v>
      </c>
      <c r="CZ31" s="144">
        <f>+'SP-mese'!CZ31-'SP-mese'!DA31-'CE-mese'!CZ43</f>
        <v>0</v>
      </c>
      <c r="DA31" s="144">
        <f>+'SP-mese'!DA31-'SP-mese'!DB31-'CE-mese'!DA43</f>
        <v>0</v>
      </c>
      <c r="DB31" s="144">
        <f>+'SP-mese'!DB31-'SP-mese'!DC31-'CE-mese'!DB43</f>
        <v>0</v>
      </c>
      <c r="DC31" s="144">
        <f>+'SP-mese'!DC31-'SP-mese'!DD31-'CE-mese'!DC43</f>
        <v>0</v>
      </c>
      <c r="DD31" s="144">
        <f>+'SP-mese'!DD31-'SP-mese'!DE31-'CE-mese'!DD43</f>
        <v>0</v>
      </c>
      <c r="DE31" s="144">
        <f>+'SP-mese'!DE31-'SP-mese'!DF31-'CE-mese'!DE43</f>
        <v>0</v>
      </c>
      <c r="DF31" s="144">
        <f>+'SP-mese'!DF31-'SP-mese'!DG31-'CE-mese'!DF43</f>
        <v>0</v>
      </c>
      <c r="DG31" s="144">
        <f>+'SP-mese'!DG31-'SP-mese'!DH31-'CE-mese'!DG43</f>
        <v>0</v>
      </c>
      <c r="DH31" s="144">
        <f>+'SP-mese'!DH31-'SP-mese'!DI31-'CE-mese'!DH43</f>
        <v>0</v>
      </c>
      <c r="DI31" s="144">
        <f>+'SP-mese'!DI31-'SP-mese'!DJ31-'CE-mese'!DI43</f>
        <v>0</v>
      </c>
      <c r="DJ31" s="144">
        <f>+'SP-mese'!DJ31-'SP-mese'!DK31-'CE-mese'!DJ43</f>
        <v>0</v>
      </c>
      <c r="DK31" s="144">
        <f>+'SP-mese'!DK31-'SP-mese'!DL31-'CE-mese'!DK43</f>
        <v>0</v>
      </c>
      <c r="DL31" s="144">
        <f>+'SP-mese'!DL31-'SP-mese'!DM31-'CE-mese'!DL43</f>
        <v>0</v>
      </c>
      <c r="DM31" s="144">
        <f>+'SP-mese'!DM31-'SP-mese'!DN31-'CE-mese'!DM43</f>
        <v>0</v>
      </c>
      <c r="DN31" s="144">
        <f>+'SP-mese'!DN31-'SP-mese'!DO31-'CE-mese'!DN43</f>
        <v>0</v>
      </c>
      <c r="DO31" s="144">
        <f>+'SP-mese'!DO31-'SP-mese'!DP31-'CE-mese'!DO43</f>
        <v>0</v>
      </c>
      <c r="DP31" s="144">
        <f>+'SP-mese'!DP31-'SP-mese'!DQ31-'CE-mese'!DP43</f>
        <v>0</v>
      </c>
      <c r="DQ31" s="144">
        <f>+'SP-mese'!DQ31-'SP-mese'!DR31-'CE-mese'!DQ43</f>
        <v>0</v>
      </c>
      <c r="DR31" s="144">
        <f>+'SP-mese'!DR31-'SP-mese'!DS31-'CE-mese'!DR43</f>
        <v>0</v>
      </c>
      <c r="DT31" s="144">
        <f t="shared" ref="DT31:EC31" si="252">+SUMIF($C$1:$DR$1,DT$1,$C31:$DR31)</f>
        <v>0</v>
      </c>
      <c r="DU31" s="144">
        <f t="shared" si="252"/>
        <v>0</v>
      </c>
      <c r="DV31" s="144">
        <f t="shared" si="252"/>
        <v>0</v>
      </c>
      <c r="DW31" s="144">
        <f t="shared" si="252"/>
        <v>0</v>
      </c>
      <c r="DX31" s="144">
        <f t="shared" si="252"/>
        <v>0</v>
      </c>
      <c r="DY31" s="144">
        <f t="shared" si="252"/>
        <v>0</v>
      </c>
      <c r="DZ31" s="144">
        <f t="shared" si="252"/>
        <v>0</v>
      </c>
      <c r="EA31" s="144">
        <f t="shared" si="252"/>
        <v>0</v>
      </c>
      <c r="EB31" s="144">
        <f t="shared" si="252"/>
        <v>0</v>
      </c>
      <c r="EC31" s="144">
        <f t="shared" si="252"/>
        <v>0</v>
      </c>
    </row>
    <row r="32" ht="14.5">
      <c r="DT32" s="144"/>
      <c r="DU32" s="144"/>
      <c r="DV32" s="144"/>
      <c r="DW32" s="144"/>
      <c r="DX32" s="144"/>
      <c r="DY32" s="144"/>
      <c r="DZ32" s="144"/>
      <c r="EA32" s="144"/>
      <c r="EB32" s="144"/>
      <c r="EC32" s="144"/>
    </row>
    <row r="33" ht="14.5">
      <c r="A33" s="3" t="s">
        <v>730</v>
      </c>
      <c r="C33" s="100">
        <f>+C34</f>
        <v>0</v>
      </c>
      <c r="D33" s="100">
        <f t="shared" ref="D33:BO33" si="253">+D34</f>
        <v>0</v>
      </c>
      <c r="E33" s="100">
        <f t="shared" si="253"/>
        <v>0</v>
      </c>
      <c r="F33" s="100">
        <f t="shared" si="253"/>
        <v>0</v>
      </c>
      <c r="G33" s="100">
        <f t="shared" si="253"/>
        <v>0</v>
      </c>
      <c r="H33" s="100">
        <f t="shared" si="253"/>
        <v>0</v>
      </c>
      <c r="I33" s="100">
        <f t="shared" si="253"/>
        <v>0</v>
      </c>
      <c r="J33" s="100">
        <f t="shared" si="253"/>
        <v>0</v>
      </c>
      <c r="K33" s="100">
        <f t="shared" si="253"/>
        <v>0</v>
      </c>
      <c r="L33" s="100">
        <f t="shared" si="253"/>
        <v>0</v>
      </c>
      <c r="M33" s="100">
        <f t="shared" si="253"/>
        <v>0</v>
      </c>
      <c r="N33" s="100">
        <f t="shared" si="253"/>
        <v>0</v>
      </c>
      <c r="O33" s="100">
        <f t="shared" si="253"/>
        <v>0</v>
      </c>
      <c r="P33" s="100">
        <f t="shared" si="253"/>
        <v>0</v>
      </c>
      <c r="Q33" s="100">
        <f t="shared" si="253"/>
        <v>0</v>
      </c>
      <c r="R33" s="100">
        <f t="shared" si="253"/>
        <v>0</v>
      </c>
      <c r="S33" s="100">
        <f t="shared" si="253"/>
        <v>0</v>
      </c>
      <c r="T33" s="100">
        <f t="shared" si="253"/>
        <v>0</v>
      </c>
      <c r="U33" s="100">
        <f t="shared" si="253"/>
        <v>0</v>
      </c>
      <c r="V33" s="100">
        <f t="shared" si="253"/>
        <v>0</v>
      </c>
      <c r="W33" s="100">
        <f t="shared" si="253"/>
        <v>0</v>
      </c>
      <c r="X33" s="100">
        <f t="shared" si="253"/>
        <v>0</v>
      </c>
      <c r="Y33" s="100">
        <f t="shared" si="253"/>
        <v>0</v>
      </c>
      <c r="Z33" s="100">
        <f t="shared" si="253"/>
        <v>0</v>
      </c>
      <c r="AA33" s="100">
        <f t="shared" si="253"/>
        <v>0</v>
      </c>
      <c r="AB33" s="100">
        <f t="shared" si="253"/>
        <v>0</v>
      </c>
      <c r="AC33" s="100">
        <f t="shared" si="253"/>
        <v>0</v>
      </c>
      <c r="AD33" s="100">
        <f t="shared" si="253"/>
        <v>0</v>
      </c>
      <c r="AE33" s="100">
        <f t="shared" si="253"/>
        <v>0</v>
      </c>
      <c r="AF33" s="100">
        <f t="shared" si="253"/>
        <v>0</v>
      </c>
      <c r="AG33" s="100">
        <f t="shared" si="253"/>
        <v>0</v>
      </c>
      <c r="AH33" s="100">
        <f t="shared" si="253"/>
        <v>0</v>
      </c>
      <c r="AI33" s="100">
        <f t="shared" si="253"/>
        <v>0</v>
      </c>
      <c r="AJ33" s="100">
        <f t="shared" si="253"/>
        <v>0</v>
      </c>
      <c r="AK33" s="100">
        <f t="shared" si="253"/>
        <v>0</v>
      </c>
      <c r="AL33" s="100">
        <f t="shared" si="253"/>
        <v>0</v>
      </c>
      <c r="AM33" s="100">
        <f t="shared" si="253"/>
        <v>0</v>
      </c>
      <c r="AN33" s="100">
        <f t="shared" si="253"/>
        <v>0</v>
      </c>
      <c r="AO33" s="100">
        <f t="shared" si="253"/>
        <v>0</v>
      </c>
      <c r="AP33" s="100">
        <f t="shared" si="253"/>
        <v>0</v>
      </c>
      <c r="AQ33" s="100">
        <f t="shared" si="253"/>
        <v>0</v>
      </c>
      <c r="AR33" s="100">
        <f t="shared" si="253"/>
        <v>0</v>
      </c>
      <c r="AS33" s="100">
        <f t="shared" si="253"/>
        <v>0</v>
      </c>
      <c r="AT33" s="100">
        <f t="shared" si="253"/>
        <v>0</v>
      </c>
      <c r="AU33" s="100">
        <f t="shared" si="253"/>
        <v>0</v>
      </c>
      <c r="AV33" s="100">
        <f t="shared" si="253"/>
        <v>0</v>
      </c>
      <c r="AW33" s="100">
        <f t="shared" si="253"/>
        <v>0</v>
      </c>
      <c r="AX33" s="100">
        <f t="shared" si="253"/>
        <v>0</v>
      </c>
      <c r="AY33" s="100">
        <f t="shared" si="253"/>
        <v>0</v>
      </c>
      <c r="AZ33" s="100">
        <f t="shared" si="253"/>
        <v>0</v>
      </c>
      <c r="BA33" s="100">
        <f t="shared" si="253"/>
        <v>0</v>
      </c>
      <c r="BB33" s="100">
        <f t="shared" si="253"/>
        <v>0</v>
      </c>
      <c r="BC33" s="100">
        <f t="shared" si="253"/>
        <v>0</v>
      </c>
      <c r="BD33" s="100">
        <f t="shared" si="253"/>
        <v>0</v>
      </c>
      <c r="BE33" s="100">
        <f t="shared" si="253"/>
        <v>0</v>
      </c>
      <c r="BF33" s="100">
        <f t="shared" si="253"/>
        <v>0</v>
      </c>
      <c r="BG33" s="100">
        <f t="shared" si="253"/>
        <v>0</v>
      </c>
      <c r="BH33" s="100">
        <f t="shared" si="253"/>
        <v>0</v>
      </c>
      <c r="BI33" s="100">
        <f t="shared" si="253"/>
        <v>0</v>
      </c>
      <c r="BJ33" s="100">
        <f t="shared" si="253"/>
        <v>0</v>
      </c>
      <c r="BK33" s="100">
        <f t="shared" si="253"/>
        <v>0</v>
      </c>
      <c r="BL33" s="100">
        <f t="shared" si="253"/>
        <v>0</v>
      </c>
      <c r="BM33" s="100">
        <f t="shared" si="253"/>
        <v>0</v>
      </c>
      <c r="BN33" s="100">
        <f t="shared" si="253"/>
        <v>0</v>
      </c>
      <c r="BO33" s="100">
        <f t="shared" si="253"/>
        <v>0</v>
      </c>
      <c r="BP33" s="100">
        <f t="shared" ref="BP33:DR33" si="254">+BP34</f>
        <v>0</v>
      </c>
      <c r="BQ33" s="100">
        <f t="shared" si="254"/>
        <v>0</v>
      </c>
      <c r="BR33" s="100">
        <f t="shared" si="254"/>
        <v>0</v>
      </c>
      <c r="BS33" s="100">
        <f t="shared" si="254"/>
        <v>0</v>
      </c>
      <c r="BT33" s="100">
        <f t="shared" si="254"/>
        <v>0</v>
      </c>
      <c r="BU33" s="100">
        <f t="shared" si="254"/>
        <v>0</v>
      </c>
      <c r="BV33" s="100">
        <f t="shared" si="254"/>
        <v>0</v>
      </c>
      <c r="BW33" s="100">
        <f t="shared" si="254"/>
        <v>0</v>
      </c>
      <c r="BX33" s="100">
        <f t="shared" si="254"/>
        <v>0</v>
      </c>
      <c r="BY33" s="100">
        <f t="shared" si="254"/>
        <v>0</v>
      </c>
      <c r="BZ33" s="100">
        <f t="shared" si="254"/>
        <v>0</v>
      </c>
      <c r="CA33" s="100">
        <f t="shared" si="254"/>
        <v>0</v>
      </c>
      <c r="CB33" s="100">
        <f t="shared" si="254"/>
        <v>0</v>
      </c>
      <c r="CC33" s="100">
        <f t="shared" si="254"/>
        <v>0</v>
      </c>
      <c r="CD33" s="100">
        <f t="shared" si="254"/>
        <v>0</v>
      </c>
      <c r="CE33" s="100">
        <f t="shared" si="254"/>
        <v>0</v>
      </c>
      <c r="CF33" s="100">
        <f t="shared" si="254"/>
        <v>0</v>
      </c>
      <c r="CG33" s="100">
        <f t="shared" si="254"/>
        <v>0</v>
      </c>
      <c r="CH33" s="100">
        <f t="shared" si="254"/>
        <v>0</v>
      </c>
      <c r="CI33" s="100">
        <f t="shared" si="254"/>
        <v>0</v>
      </c>
      <c r="CJ33" s="100">
        <f t="shared" si="254"/>
        <v>0</v>
      </c>
      <c r="CK33" s="100">
        <f t="shared" si="254"/>
        <v>0</v>
      </c>
      <c r="CL33" s="100">
        <f t="shared" si="254"/>
        <v>0</v>
      </c>
      <c r="CM33" s="100">
        <f t="shared" si="254"/>
        <v>0</v>
      </c>
      <c r="CN33" s="100">
        <f t="shared" si="254"/>
        <v>0</v>
      </c>
      <c r="CO33" s="100">
        <f t="shared" si="254"/>
        <v>0</v>
      </c>
      <c r="CP33" s="100">
        <f t="shared" si="254"/>
        <v>0</v>
      </c>
      <c r="CQ33" s="100">
        <f t="shared" si="254"/>
        <v>0</v>
      </c>
      <c r="CR33" s="100">
        <f t="shared" si="254"/>
        <v>0</v>
      </c>
      <c r="CS33" s="100">
        <f t="shared" si="254"/>
        <v>0</v>
      </c>
      <c r="CT33" s="100">
        <f t="shared" si="254"/>
        <v>0</v>
      </c>
      <c r="CU33" s="100">
        <f t="shared" si="254"/>
        <v>0</v>
      </c>
      <c r="CV33" s="100">
        <f t="shared" si="254"/>
        <v>0</v>
      </c>
      <c r="CW33" s="100">
        <f t="shared" si="254"/>
        <v>0</v>
      </c>
      <c r="CX33" s="100">
        <f t="shared" si="254"/>
        <v>0</v>
      </c>
      <c r="CY33" s="100">
        <f t="shared" si="254"/>
        <v>0</v>
      </c>
      <c r="CZ33" s="100">
        <f t="shared" si="254"/>
        <v>0</v>
      </c>
      <c r="DA33" s="100">
        <f t="shared" si="254"/>
        <v>0</v>
      </c>
      <c r="DB33" s="100">
        <f t="shared" si="254"/>
        <v>0</v>
      </c>
      <c r="DC33" s="100">
        <f t="shared" si="254"/>
        <v>0</v>
      </c>
      <c r="DD33" s="100">
        <f t="shared" si="254"/>
        <v>0</v>
      </c>
      <c r="DE33" s="100">
        <f t="shared" si="254"/>
        <v>0</v>
      </c>
      <c r="DF33" s="100">
        <f t="shared" si="254"/>
        <v>0</v>
      </c>
      <c r="DG33" s="100">
        <f t="shared" si="254"/>
        <v>0</v>
      </c>
      <c r="DH33" s="100">
        <f t="shared" si="254"/>
        <v>0</v>
      </c>
      <c r="DI33" s="100">
        <f t="shared" si="254"/>
        <v>0</v>
      </c>
      <c r="DJ33" s="100">
        <f t="shared" si="254"/>
        <v>0</v>
      </c>
      <c r="DK33" s="100">
        <f t="shared" si="254"/>
        <v>0</v>
      </c>
      <c r="DL33" s="100">
        <f t="shared" si="254"/>
        <v>0</v>
      </c>
      <c r="DM33" s="100">
        <f t="shared" si="254"/>
        <v>0</v>
      </c>
      <c r="DN33" s="100">
        <f t="shared" si="254"/>
        <v>0</v>
      </c>
      <c r="DO33" s="100">
        <f t="shared" si="254"/>
        <v>0</v>
      </c>
      <c r="DP33" s="100">
        <f t="shared" si="254"/>
        <v>0</v>
      </c>
      <c r="DQ33" s="100">
        <f t="shared" si="254"/>
        <v>0</v>
      </c>
      <c r="DR33" s="100">
        <f t="shared" si="254"/>
        <v>0</v>
      </c>
      <c r="DT33" s="144">
        <f t="shared" ref="DT33:DT36" si="255">+SUMIF($C$1:$DR$1,DT$1,C33:DR33)</f>
        <v>0</v>
      </c>
      <c r="DU33" s="144">
        <f t="shared" ref="DU33:DU36" si="256">+SUMIF($C$1:$DR$1,DU$1,D33:DS33)</f>
        <v>0</v>
      </c>
      <c r="DV33" s="144">
        <f t="shared" ref="DV33:DV36" si="257">+SUMIF($C$1:$DR$1,DV$1,E33:DT33)</f>
        <v>0</v>
      </c>
      <c r="DW33" s="144">
        <f t="shared" ref="DW33:DW36" si="258">+SUMIF($C$1:$DR$1,DW$1,F33:DU33)</f>
        <v>0</v>
      </c>
      <c r="DX33" s="144">
        <f t="shared" ref="DX33:DX36" si="259">+SUMIF($C$1:$DR$1,DX$1,G33:DV33)</f>
        <v>0</v>
      </c>
      <c r="DY33" s="144">
        <f t="shared" ref="DY33:DY36" si="260">+SUMIF($C$1:$DR$1,DY$1,H33:DW33)</f>
        <v>0</v>
      </c>
      <c r="DZ33" s="144">
        <f t="shared" ref="DZ33:DZ36" si="261">+SUMIF($C$1:$DR$1,DZ$1,I33:DX33)</f>
        <v>0</v>
      </c>
      <c r="EA33" s="144">
        <f t="shared" ref="EA33:EA36" si="262">+SUMIF($C$1:$DR$1,EA$1,J33:DY33)</f>
        <v>0</v>
      </c>
      <c r="EB33" s="144">
        <f t="shared" ref="EB33:EB36" si="263">+SUMIF($C$1:$DR$1,EB$1,K33:DZ33)</f>
        <v>0</v>
      </c>
      <c r="EC33" s="144">
        <f t="shared" ref="EC33:EC36" si="264">+SUMIF($C$1:$DR$1,EC$1,L33:EA33)</f>
        <v>0</v>
      </c>
    </row>
    <row r="34" ht="14.5">
      <c r="A34" t="s">
        <v>1252</v>
      </c>
      <c r="C34" s="144">
        <f>+'SP-mese'!C43-'SP-mese'!D43-'CE-mese'!C44</f>
        <v>0</v>
      </c>
      <c r="D34" s="144">
        <f>+'SP-mese'!D43-'SP-mese'!E43-'CE-mese'!D44</f>
        <v>0</v>
      </c>
      <c r="E34" s="144">
        <f>+'SP-mese'!E43-'SP-mese'!F43-'CE-mese'!E44</f>
        <v>0</v>
      </c>
      <c r="F34" s="144">
        <f>+'SP-mese'!F43-'SP-mese'!G43-'CE-mese'!F44</f>
        <v>0</v>
      </c>
      <c r="G34" s="144">
        <f>+'SP-mese'!G43-'SP-mese'!H43-'CE-mese'!G44</f>
        <v>0</v>
      </c>
      <c r="H34" s="144">
        <f>+'SP-mese'!H43-'SP-mese'!I43-'CE-mese'!H44</f>
        <v>0</v>
      </c>
      <c r="I34" s="144">
        <f>+'SP-mese'!I43-'SP-mese'!J43-'CE-mese'!I44</f>
        <v>0</v>
      </c>
      <c r="J34" s="144">
        <f>+'SP-mese'!J43-'SP-mese'!K43-'CE-mese'!J44</f>
        <v>0</v>
      </c>
      <c r="K34" s="144">
        <f>+'SP-mese'!K43-'SP-mese'!L43-'CE-mese'!K44</f>
        <v>0</v>
      </c>
      <c r="L34" s="144">
        <f>+'SP-mese'!L43-'SP-mese'!M43-'CE-mese'!L44</f>
        <v>0</v>
      </c>
      <c r="M34" s="144">
        <f>+'SP-mese'!M43-'SP-mese'!N43-'CE-mese'!M44</f>
        <v>0</v>
      </c>
      <c r="N34" s="144">
        <f>+'SP-mese'!N43-'SP-mese'!O43-'CE-mese'!N44</f>
        <v>0</v>
      </c>
      <c r="O34" s="144">
        <f>+'SP-mese'!O43-'SP-mese'!P43-'CE-mese'!O44</f>
        <v>0</v>
      </c>
      <c r="P34" s="144">
        <f>+'SP-mese'!P43-'SP-mese'!Q43-'CE-mese'!P44</f>
        <v>0</v>
      </c>
      <c r="Q34" s="144">
        <f>+'SP-mese'!Q43-'SP-mese'!R43-'CE-mese'!Q44</f>
        <v>0</v>
      </c>
      <c r="R34" s="144">
        <f>+'SP-mese'!R43-'SP-mese'!S43-'CE-mese'!R44</f>
        <v>0</v>
      </c>
      <c r="S34" s="144">
        <f>+'SP-mese'!S43-'SP-mese'!T43-'CE-mese'!S44</f>
        <v>0</v>
      </c>
      <c r="T34" s="144">
        <f>+'SP-mese'!T43-'SP-mese'!U43-'CE-mese'!T44</f>
        <v>0</v>
      </c>
      <c r="U34" s="144">
        <f>+'SP-mese'!U43-'SP-mese'!V43-'CE-mese'!U44</f>
        <v>0</v>
      </c>
      <c r="V34" s="144">
        <f>+'SP-mese'!V43-'SP-mese'!W43-'CE-mese'!V44</f>
        <v>0</v>
      </c>
      <c r="W34" s="144">
        <f>+'SP-mese'!W43-'SP-mese'!X43-'CE-mese'!W44</f>
        <v>0</v>
      </c>
      <c r="X34" s="144">
        <f>+'SP-mese'!X43-'SP-mese'!Y43-'CE-mese'!X44</f>
        <v>0</v>
      </c>
      <c r="Y34" s="144">
        <f>+'SP-mese'!Y43-'SP-mese'!Z43-'CE-mese'!Y44</f>
        <v>0</v>
      </c>
      <c r="Z34" s="144">
        <f>+'SP-mese'!Z43-'SP-mese'!AA43-'CE-mese'!Z44</f>
        <v>0</v>
      </c>
      <c r="AA34" s="144">
        <f>+'SP-mese'!AA43-'SP-mese'!AB43-'CE-mese'!AA44</f>
        <v>0</v>
      </c>
      <c r="AB34" s="144">
        <f>+'SP-mese'!AB43-'SP-mese'!AC43-'CE-mese'!AB44</f>
        <v>0</v>
      </c>
      <c r="AC34" s="144">
        <f>+'SP-mese'!AC43-'SP-mese'!AD43-'CE-mese'!AC44</f>
        <v>0</v>
      </c>
      <c r="AD34" s="144">
        <f>+'SP-mese'!AD43-'SP-mese'!AE43-'CE-mese'!AD44</f>
        <v>0</v>
      </c>
      <c r="AE34" s="144">
        <f>+'SP-mese'!AE43-'SP-mese'!AF43-'CE-mese'!AE44</f>
        <v>0</v>
      </c>
      <c r="AF34" s="144">
        <f>+'SP-mese'!AF43-'SP-mese'!AG43-'CE-mese'!AF44</f>
        <v>0</v>
      </c>
      <c r="AG34" s="144">
        <f>+'SP-mese'!AG43-'SP-mese'!AH43-'CE-mese'!AG44</f>
        <v>0</v>
      </c>
      <c r="AH34" s="144">
        <f>+'SP-mese'!AH43-'SP-mese'!AI43-'CE-mese'!AH44</f>
        <v>0</v>
      </c>
      <c r="AI34" s="144">
        <f>+'SP-mese'!AI43-'SP-mese'!AJ43-'CE-mese'!AI44</f>
        <v>0</v>
      </c>
      <c r="AJ34" s="144">
        <f>+'SP-mese'!AJ43-'SP-mese'!AK43-'CE-mese'!AJ44</f>
        <v>0</v>
      </c>
      <c r="AK34" s="144">
        <f>+'SP-mese'!AK43-'SP-mese'!AL43-'CE-mese'!AK44</f>
        <v>0</v>
      </c>
      <c r="AL34" s="144">
        <f>+'SP-mese'!AL43-'SP-mese'!AM43-'CE-mese'!AL44</f>
        <v>0</v>
      </c>
      <c r="AM34" s="144">
        <f>+'SP-mese'!AM43-'SP-mese'!AN43-'CE-mese'!AM44</f>
        <v>0</v>
      </c>
      <c r="AN34" s="144">
        <f>+'SP-mese'!AN43-'SP-mese'!AO43-'CE-mese'!AN44</f>
        <v>0</v>
      </c>
      <c r="AO34" s="144">
        <f>+'SP-mese'!AO43-'SP-mese'!AP43-'CE-mese'!AO44</f>
        <v>0</v>
      </c>
      <c r="AP34" s="144">
        <f>+'SP-mese'!AP43-'SP-mese'!AQ43-'CE-mese'!AP44</f>
        <v>0</v>
      </c>
      <c r="AQ34" s="144">
        <f>+'SP-mese'!AQ43-'SP-mese'!AR43-'CE-mese'!AQ44</f>
        <v>0</v>
      </c>
      <c r="AR34" s="144">
        <f>+'SP-mese'!AR43-'SP-mese'!AS43-'CE-mese'!AR44</f>
        <v>0</v>
      </c>
      <c r="AS34" s="144">
        <f>+'SP-mese'!AS43-'SP-mese'!AT43-'CE-mese'!AS44</f>
        <v>0</v>
      </c>
      <c r="AT34" s="144">
        <f>+'SP-mese'!AT43-'SP-mese'!AU43-'CE-mese'!AT44</f>
        <v>0</v>
      </c>
      <c r="AU34" s="144">
        <f>+'SP-mese'!AU43-'SP-mese'!AV43-'CE-mese'!AU44</f>
        <v>0</v>
      </c>
      <c r="AV34" s="144">
        <f>+'SP-mese'!AV43-'SP-mese'!AW43-'CE-mese'!AV44</f>
        <v>0</v>
      </c>
      <c r="AW34" s="144">
        <f>+'SP-mese'!AW43-'SP-mese'!AX43-'CE-mese'!AW44</f>
        <v>0</v>
      </c>
      <c r="AX34" s="144">
        <f>+'SP-mese'!AX43-'SP-mese'!AY43-'CE-mese'!AX44</f>
        <v>0</v>
      </c>
      <c r="AY34" s="144">
        <f>+'SP-mese'!AY43-'SP-mese'!AZ43-'CE-mese'!AY44</f>
        <v>0</v>
      </c>
      <c r="AZ34" s="144">
        <f>+'SP-mese'!AZ43-'SP-mese'!BA43-'CE-mese'!AZ44</f>
        <v>0</v>
      </c>
      <c r="BA34" s="144">
        <f>+'SP-mese'!BA43-'SP-mese'!BB43-'CE-mese'!BA44</f>
        <v>0</v>
      </c>
      <c r="BB34" s="144">
        <f>+'SP-mese'!BB43-'SP-mese'!BC43-'CE-mese'!BB44</f>
        <v>0</v>
      </c>
      <c r="BC34" s="144">
        <f>+'SP-mese'!BC43-'SP-mese'!BD43-'CE-mese'!BC44</f>
        <v>0</v>
      </c>
      <c r="BD34" s="144">
        <f>+'SP-mese'!BD43-'SP-mese'!BE43-'CE-mese'!BD44</f>
        <v>0</v>
      </c>
      <c r="BE34" s="144">
        <f>+'SP-mese'!BE43-'SP-mese'!BF43-'CE-mese'!BE44</f>
        <v>0</v>
      </c>
      <c r="BF34" s="144">
        <f>+'SP-mese'!BF43-'SP-mese'!BG43-'CE-mese'!BF44</f>
        <v>0</v>
      </c>
      <c r="BG34" s="144">
        <f>+'SP-mese'!BG43-'SP-mese'!BH43-'CE-mese'!BG44</f>
        <v>0</v>
      </c>
      <c r="BH34" s="144">
        <f>+'SP-mese'!BH43-'SP-mese'!BI43-'CE-mese'!BH44</f>
        <v>0</v>
      </c>
      <c r="BI34" s="144">
        <f>+'SP-mese'!BI43-'SP-mese'!BJ43-'CE-mese'!BI44</f>
        <v>0</v>
      </c>
      <c r="BJ34" s="144">
        <f>+'SP-mese'!BJ43-'SP-mese'!BK43-'CE-mese'!BJ44</f>
        <v>0</v>
      </c>
      <c r="BK34" s="144">
        <f>+'SP-mese'!BK43-'SP-mese'!BL43-'CE-mese'!BK44</f>
        <v>0</v>
      </c>
      <c r="BL34" s="144">
        <f>+'SP-mese'!BL43-'SP-mese'!BM43-'CE-mese'!BL44</f>
        <v>0</v>
      </c>
      <c r="BM34" s="144">
        <f>+'SP-mese'!BM43-'SP-mese'!BN43-'CE-mese'!BM44</f>
        <v>0</v>
      </c>
      <c r="BN34" s="144">
        <f>+'SP-mese'!BN43-'SP-mese'!BO43-'CE-mese'!BN44</f>
        <v>0</v>
      </c>
      <c r="BO34" s="144">
        <f>+'SP-mese'!BO43-'SP-mese'!BP43-'CE-mese'!BO44</f>
        <v>0</v>
      </c>
      <c r="BP34" s="144">
        <f>+'SP-mese'!BP43-'SP-mese'!BQ43-'CE-mese'!BP44</f>
        <v>0</v>
      </c>
      <c r="BQ34" s="144">
        <f>+'SP-mese'!BQ43-'SP-mese'!BR43-'CE-mese'!BQ44</f>
        <v>0</v>
      </c>
      <c r="BR34" s="144">
        <f>+'SP-mese'!BR43-'SP-mese'!BS43-'CE-mese'!BR44</f>
        <v>0</v>
      </c>
      <c r="BS34" s="144">
        <f>+'SP-mese'!BS43-'SP-mese'!BT43-'CE-mese'!BS44</f>
        <v>0</v>
      </c>
      <c r="BT34" s="144">
        <f>+'SP-mese'!BT43-'SP-mese'!BU43-'CE-mese'!BT44</f>
        <v>0</v>
      </c>
      <c r="BU34" s="144">
        <f>+'SP-mese'!BU43-'SP-mese'!BV43-'CE-mese'!BU44</f>
        <v>0</v>
      </c>
      <c r="BV34" s="144">
        <f>+'SP-mese'!BV43-'SP-mese'!BW43-'CE-mese'!BV44</f>
        <v>0</v>
      </c>
      <c r="BW34" s="144">
        <f>+'SP-mese'!BW43-'SP-mese'!BX43-'CE-mese'!BW44</f>
        <v>0</v>
      </c>
      <c r="BX34" s="144">
        <f>+'SP-mese'!BX43-'SP-mese'!BY43-'CE-mese'!BX44</f>
        <v>0</v>
      </c>
      <c r="BY34" s="144">
        <f>+'SP-mese'!BY43-'SP-mese'!BZ43-'CE-mese'!BY44</f>
        <v>0</v>
      </c>
      <c r="BZ34" s="144">
        <f>+'SP-mese'!BZ43-'SP-mese'!CA43-'CE-mese'!BZ44</f>
        <v>0</v>
      </c>
      <c r="CA34" s="144">
        <f>+'SP-mese'!CA43-'SP-mese'!CB43-'CE-mese'!CA44</f>
        <v>0</v>
      </c>
      <c r="CB34" s="144">
        <f>+'SP-mese'!CB43-'SP-mese'!CC43-'CE-mese'!CB44</f>
        <v>0</v>
      </c>
      <c r="CC34" s="144">
        <f>+'SP-mese'!CC43-'SP-mese'!CD43-'CE-mese'!CC44</f>
        <v>0</v>
      </c>
      <c r="CD34" s="144">
        <f>+'SP-mese'!CD43-'SP-mese'!CE43-'CE-mese'!CD44</f>
        <v>0</v>
      </c>
      <c r="CE34" s="144">
        <f>+'SP-mese'!CE43-'SP-mese'!CF43-'CE-mese'!CE44</f>
        <v>0</v>
      </c>
      <c r="CF34" s="144">
        <f>+'SP-mese'!CF43-'SP-mese'!CG43-'CE-mese'!CF44</f>
        <v>0</v>
      </c>
      <c r="CG34" s="144">
        <f>+'SP-mese'!CG43-'SP-mese'!CH43-'CE-mese'!CG44</f>
        <v>0</v>
      </c>
      <c r="CH34" s="144">
        <f>+'SP-mese'!CH43-'SP-mese'!CI43-'CE-mese'!CH44</f>
        <v>0</v>
      </c>
      <c r="CI34" s="144">
        <f>+'SP-mese'!CI43-'SP-mese'!CJ43-'CE-mese'!CI44</f>
        <v>0</v>
      </c>
      <c r="CJ34" s="144">
        <f>+'SP-mese'!CJ43-'SP-mese'!CK43-'CE-mese'!CJ44</f>
        <v>0</v>
      </c>
      <c r="CK34" s="144">
        <f>+'SP-mese'!CK43-'SP-mese'!CL43-'CE-mese'!CK44</f>
        <v>0</v>
      </c>
      <c r="CL34" s="144">
        <f>+'SP-mese'!CL43-'SP-mese'!CM43-'CE-mese'!CL44</f>
        <v>0</v>
      </c>
      <c r="CM34" s="144">
        <f>+'SP-mese'!CM43-'SP-mese'!CN43-'CE-mese'!CM44</f>
        <v>0</v>
      </c>
      <c r="CN34" s="144">
        <f>+'SP-mese'!CN43-'SP-mese'!CO43-'CE-mese'!CN44</f>
        <v>0</v>
      </c>
      <c r="CO34" s="144">
        <f>+'SP-mese'!CO43-'SP-mese'!CP43-'CE-mese'!CO44</f>
        <v>0</v>
      </c>
      <c r="CP34" s="144">
        <f>+'SP-mese'!CP43-'SP-mese'!CQ43-'CE-mese'!CP44</f>
        <v>0</v>
      </c>
      <c r="CQ34" s="144">
        <f>+'SP-mese'!CQ43-'SP-mese'!CR43-'CE-mese'!CQ44</f>
        <v>0</v>
      </c>
      <c r="CR34" s="144">
        <f>+'SP-mese'!CR43-'SP-mese'!CS43-'CE-mese'!CR44</f>
        <v>0</v>
      </c>
      <c r="CS34" s="144">
        <f>+'SP-mese'!CS43-'SP-mese'!CT43-'CE-mese'!CS44</f>
        <v>0</v>
      </c>
      <c r="CT34" s="144">
        <f>+'SP-mese'!CT43-'SP-mese'!CU43-'CE-mese'!CT44</f>
        <v>0</v>
      </c>
      <c r="CU34" s="144">
        <f>+'SP-mese'!CU43-'SP-mese'!CV43-'CE-mese'!CU44</f>
        <v>0</v>
      </c>
      <c r="CV34" s="144">
        <f>+'SP-mese'!CV43-'SP-mese'!CW43-'CE-mese'!CV44</f>
        <v>0</v>
      </c>
      <c r="CW34" s="144">
        <f>+'SP-mese'!CW43-'SP-mese'!CX43-'CE-mese'!CW44</f>
        <v>0</v>
      </c>
      <c r="CX34" s="144">
        <f>+'SP-mese'!CX43-'SP-mese'!CY43-'CE-mese'!CX44</f>
        <v>0</v>
      </c>
      <c r="CY34" s="144">
        <f>+'SP-mese'!CY43-'SP-mese'!CZ43-'CE-mese'!CY44</f>
        <v>0</v>
      </c>
      <c r="CZ34" s="144">
        <f>+'SP-mese'!CZ43-'SP-mese'!DA43-'CE-mese'!CZ44</f>
        <v>0</v>
      </c>
      <c r="DA34" s="144">
        <f>+'SP-mese'!DA43-'SP-mese'!DB43-'CE-mese'!DA44</f>
        <v>0</v>
      </c>
      <c r="DB34" s="144">
        <f>+'SP-mese'!DB43-'SP-mese'!DC43-'CE-mese'!DB44</f>
        <v>0</v>
      </c>
      <c r="DC34" s="144">
        <f>+'SP-mese'!DC43-'SP-mese'!DD43-'CE-mese'!DC44</f>
        <v>0</v>
      </c>
      <c r="DD34" s="144">
        <f>+'SP-mese'!DD43-'SP-mese'!DE43-'CE-mese'!DD44</f>
        <v>0</v>
      </c>
      <c r="DE34" s="144">
        <f>+'SP-mese'!DE43-'SP-mese'!DF43-'CE-mese'!DE44</f>
        <v>0</v>
      </c>
      <c r="DF34" s="144">
        <f>+'SP-mese'!DF43-'SP-mese'!DG43-'CE-mese'!DF44</f>
        <v>0</v>
      </c>
      <c r="DG34" s="144">
        <f>+'SP-mese'!DG43-'SP-mese'!DH43-'CE-mese'!DG44</f>
        <v>0</v>
      </c>
      <c r="DH34" s="144">
        <f>+'SP-mese'!DH43-'SP-mese'!DI43-'CE-mese'!DH44</f>
        <v>0</v>
      </c>
      <c r="DI34" s="144">
        <f>+'SP-mese'!DI43-'SP-mese'!DJ43-'CE-mese'!DI44</f>
        <v>0</v>
      </c>
      <c r="DJ34" s="144">
        <f>+'SP-mese'!DJ43-'SP-mese'!DK43-'CE-mese'!DJ44</f>
        <v>0</v>
      </c>
      <c r="DK34" s="144">
        <f>+'SP-mese'!DK43-'SP-mese'!DL43-'CE-mese'!DK44</f>
        <v>0</v>
      </c>
      <c r="DL34" s="144">
        <f>+'SP-mese'!DL43-'SP-mese'!DM43-'CE-mese'!DL44</f>
        <v>0</v>
      </c>
      <c r="DM34" s="144">
        <f>+'SP-mese'!DM43-'SP-mese'!DN43-'CE-mese'!DM44</f>
        <v>0</v>
      </c>
      <c r="DN34" s="144">
        <f>+'SP-mese'!DN43-'SP-mese'!DO43-'CE-mese'!DN44</f>
        <v>0</v>
      </c>
      <c r="DO34" s="144">
        <f>+'SP-mese'!DO43-'SP-mese'!DP43-'CE-mese'!DO44</f>
        <v>0</v>
      </c>
      <c r="DP34" s="144">
        <f>+'SP-mese'!DP43-'SP-mese'!DQ43-'CE-mese'!DP44</f>
        <v>0</v>
      </c>
      <c r="DQ34" s="144">
        <f>+'SP-mese'!DQ43-'SP-mese'!DR43-'CE-mese'!DQ44</f>
        <v>0</v>
      </c>
      <c r="DR34" s="144">
        <f>+'SP-mese'!DR43-'SP-mese'!DS43-'CE-mese'!DR44</f>
        <v>0</v>
      </c>
      <c r="DT34" s="144">
        <f t="shared" ref="DT34:EC34" si="265">+SUMIF($C$1:$DR$1,DT$1,$C34:$DR34)</f>
        <v>0</v>
      </c>
      <c r="DU34" s="144">
        <f t="shared" si="265"/>
        <v>0</v>
      </c>
      <c r="DV34" s="144">
        <f t="shared" si="265"/>
        <v>0</v>
      </c>
      <c r="DW34" s="144">
        <f t="shared" si="265"/>
        <v>0</v>
      </c>
      <c r="DX34" s="144">
        <f t="shared" si="265"/>
        <v>0</v>
      </c>
      <c r="DY34" s="144">
        <f t="shared" si="265"/>
        <v>0</v>
      </c>
      <c r="DZ34" s="144">
        <f t="shared" si="265"/>
        <v>0</v>
      </c>
      <c r="EA34" s="144">
        <f t="shared" si="265"/>
        <v>0</v>
      </c>
      <c r="EB34" s="144">
        <f t="shared" si="265"/>
        <v>0</v>
      </c>
      <c r="EC34" s="144">
        <f t="shared" si="265"/>
        <v>0</v>
      </c>
    </row>
    <row r="35" ht="14.5">
      <c r="DT35" s="144"/>
      <c r="DU35" s="144"/>
      <c r="DV35" s="144"/>
      <c r="DW35" s="144"/>
      <c r="DX35" s="144"/>
      <c r="DY35" s="144"/>
      <c r="DZ35" s="144"/>
      <c r="EA35" s="144"/>
      <c r="EB35" s="144"/>
      <c r="EC35" s="144"/>
    </row>
    <row r="36" ht="14.5">
      <c r="A36" s="3" t="s">
        <v>729</v>
      </c>
      <c r="C36" s="100">
        <f>+C37</f>
        <v>0</v>
      </c>
      <c r="D36" s="100">
        <f t="shared" ref="D36:BO36" si="266">+D37</f>
        <v>0</v>
      </c>
      <c r="E36" s="100">
        <f t="shared" si="266"/>
        <v>0</v>
      </c>
      <c r="F36" s="100">
        <f t="shared" si="266"/>
        <v>0</v>
      </c>
      <c r="G36" s="100">
        <f t="shared" si="266"/>
        <v>0</v>
      </c>
      <c r="H36" s="100">
        <f t="shared" si="266"/>
        <v>0</v>
      </c>
      <c r="I36" s="100">
        <f t="shared" si="266"/>
        <v>0</v>
      </c>
      <c r="J36" s="100">
        <f t="shared" si="266"/>
        <v>0</v>
      </c>
      <c r="K36" s="100">
        <f t="shared" si="266"/>
        <v>0</v>
      </c>
      <c r="L36" s="100">
        <f t="shared" si="266"/>
        <v>0</v>
      </c>
      <c r="M36" s="100">
        <f t="shared" si="266"/>
        <v>0</v>
      </c>
      <c r="N36" s="100">
        <f t="shared" si="266"/>
        <v>0</v>
      </c>
      <c r="O36" s="100">
        <f t="shared" si="266"/>
        <v>0</v>
      </c>
      <c r="P36" s="100">
        <f t="shared" si="266"/>
        <v>0</v>
      </c>
      <c r="Q36" s="100">
        <f t="shared" si="266"/>
        <v>0</v>
      </c>
      <c r="R36" s="100">
        <f t="shared" si="266"/>
        <v>0</v>
      </c>
      <c r="S36" s="100">
        <f t="shared" si="266"/>
        <v>0</v>
      </c>
      <c r="T36" s="100">
        <f t="shared" si="266"/>
        <v>0</v>
      </c>
      <c r="U36" s="100">
        <f t="shared" si="266"/>
        <v>0</v>
      </c>
      <c r="V36" s="100">
        <f t="shared" si="266"/>
        <v>0</v>
      </c>
      <c r="W36" s="100">
        <f t="shared" si="266"/>
        <v>0</v>
      </c>
      <c r="X36" s="100">
        <f t="shared" si="266"/>
        <v>0</v>
      </c>
      <c r="Y36" s="100">
        <f t="shared" si="266"/>
        <v>0</v>
      </c>
      <c r="Z36" s="100">
        <f t="shared" si="266"/>
        <v>0</v>
      </c>
      <c r="AA36" s="100">
        <f t="shared" si="266"/>
        <v>0</v>
      </c>
      <c r="AB36" s="100">
        <f t="shared" si="266"/>
        <v>0</v>
      </c>
      <c r="AC36" s="100">
        <f t="shared" si="266"/>
        <v>0</v>
      </c>
      <c r="AD36" s="100">
        <f t="shared" si="266"/>
        <v>0</v>
      </c>
      <c r="AE36" s="100">
        <f t="shared" si="266"/>
        <v>0</v>
      </c>
      <c r="AF36" s="100">
        <f t="shared" si="266"/>
        <v>0</v>
      </c>
      <c r="AG36" s="100">
        <f t="shared" si="266"/>
        <v>0</v>
      </c>
      <c r="AH36" s="100">
        <f t="shared" si="266"/>
        <v>0</v>
      </c>
      <c r="AI36" s="100">
        <f t="shared" si="266"/>
        <v>0</v>
      </c>
      <c r="AJ36" s="100">
        <f t="shared" si="266"/>
        <v>0</v>
      </c>
      <c r="AK36" s="100">
        <f t="shared" si="266"/>
        <v>0</v>
      </c>
      <c r="AL36" s="100">
        <f t="shared" si="266"/>
        <v>0</v>
      </c>
      <c r="AM36" s="100">
        <f t="shared" si="266"/>
        <v>0</v>
      </c>
      <c r="AN36" s="100">
        <f t="shared" si="266"/>
        <v>0</v>
      </c>
      <c r="AO36" s="100">
        <f t="shared" si="266"/>
        <v>0</v>
      </c>
      <c r="AP36" s="100">
        <f t="shared" si="266"/>
        <v>0</v>
      </c>
      <c r="AQ36" s="100">
        <f t="shared" si="266"/>
        <v>0</v>
      </c>
      <c r="AR36" s="100">
        <f t="shared" si="266"/>
        <v>0</v>
      </c>
      <c r="AS36" s="100">
        <f t="shared" si="266"/>
        <v>0</v>
      </c>
      <c r="AT36" s="100">
        <f t="shared" si="266"/>
        <v>0</v>
      </c>
      <c r="AU36" s="100">
        <f t="shared" si="266"/>
        <v>0</v>
      </c>
      <c r="AV36" s="100">
        <f t="shared" si="266"/>
        <v>0</v>
      </c>
      <c r="AW36" s="100">
        <f t="shared" si="266"/>
        <v>0</v>
      </c>
      <c r="AX36" s="100">
        <f t="shared" si="266"/>
        <v>0</v>
      </c>
      <c r="AY36" s="100">
        <f t="shared" si="266"/>
        <v>0</v>
      </c>
      <c r="AZ36" s="100">
        <f t="shared" si="266"/>
        <v>0</v>
      </c>
      <c r="BA36" s="100">
        <f t="shared" si="266"/>
        <v>0</v>
      </c>
      <c r="BB36" s="100">
        <f t="shared" si="266"/>
        <v>0</v>
      </c>
      <c r="BC36" s="100">
        <f t="shared" si="266"/>
        <v>0</v>
      </c>
      <c r="BD36" s="100">
        <f t="shared" si="266"/>
        <v>0</v>
      </c>
      <c r="BE36" s="100">
        <f t="shared" si="266"/>
        <v>0</v>
      </c>
      <c r="BF36" s="100">
        <f t="shared" si="266"/>
        <v>0</v>
      </c>
      <c r="BG36" s="100">
        <f t="shared" si="266"/>
        <v>0</v>
      </c>
      <c r="BH36" s="100">
        <f t="shared" si="266"/>
        <v>0</v>
      </c>
      <c r="BI36" s="100">
        <f t="shared" si="266"/>
        <v>0</v>
      </c>
      <c r="BJ36" s="100">
        <f t="shared" si="266"/>
        <v>0</v>
      </c>
      <c r="BK36" s="100">
        <f t="shared" si="266"/>
        <v>0</v>
      </c>
      <c r="BL36" s="100">
        <f t="shared" si="266"/>
        <v>0</v>
      </c>
      <c r="BM36" s="100">
        <f t="shared" si="266"/>
        <v>0</v>
      </c>
      <c r="BN36" s="100">
        <f t="shared" si="266"/>
        <v>0</v>
      </c>
      <c r="BO36" s="100">
        <f t="shared" si="266"/>
        <v>0</v>
      </c>
      <c r="BP36" s="100">
        <f t="shared" ref="BP36:DR36" si="267">+BP37</f>
        <v>0</v>
      </c>
      <c r="BQ36" s="100">
        <f t="shared" si="267"/>
        <v>0</v>
      </c>
      <c r="BR36" s="100">
        <f t="shared" si="267"/>
        <v>0</v>
      </c>
      <c r="BS36" s="100">
        <f t="shared" si="267"/>
        <v>0</v>
      </c>
      <c r="BT36" s="100">
        <f t="shared" si="267"/>
        <v>0</v>
      </c>
      <c r="BU36" s="100">
        <f t="shared" si="267"/>
        <v>0</v>
      </c>
      <c r="BV36" s="100">
        <f t="shared" si="267"/>
        <v>0</v>
      </c>
      <c r="BW36" s="100">
        <f t="shared" si="267"/>
        <v>0</v>
      </c>
      <c r="BX36" s="100">
        <f t="shared" si="267"/>
        <v>0</v>
      </c>
      <c r="BY36" s="100">
        <f t="shared" si="267"/>
        <v>0</v>
      </c>
      <c r="BZ36" s="100">
        <f t="shared" si="267"/>
        <v>0</v>
      </c>
      <c r="CA36" s="100">
        <f t="shared" si="267"/>
        <v>0</v>
      </c>
      <c r="CB36" s="100">
        <f t="shared" si="267"/>
        <v>0</v>
      </c>
      <c r="CC36" s="100">
        <f t="shared" si="267"/>
        <v>0</v>
      </c>
      <c r="CD36" s="100">
        <f t="shared" si="267"/>
        <v>0</v>
      </c>
      <c r="CE36" s="100">
        <f t="shared" si="267"/>
        <v>0</v>
      </c>
      <c r="CF36" s="100">
        <f t="shared" si="267"/>
        <v>0</v>
      </c>
      <c r="CG36" s="100">
        <f t="shared" si="267"/>
        <v>0</v>
      </c>
      <c r="CH36" s="100">
        <f t="shared" si="267"/>
        <v>0</v>
      </c>
      <c r="CI36" s="100">
        <f t="shared" si="267"/>
        <v>0</v>
      </c>
      <c r="CJ36" s="100">
        <f t="shared" si="267"/>
        <v>0</v>
      </c>
      <c r="CK36" s="100">
        <f t="shared" si="267"/>
        <v>0</v>
      </c>
      <c r="CL36" s="100">
        <f t="shared" si="267"/>
        <v>0</v>
      </c>
      <c r="CM36" s="100">
        <f t="shared" si="267"/>
        <v>0</v>
      </c>
      <c r="CN36" s="100">
        <f t="shared" si="267"/>
        <v>0</v>
      </c>
      <c r="CO36" s="100">
        <f t="shared" si="267"/>
        <v>0</v>
      </c>
      <c r="CP36" s="100">
        <f t="shared" si="267"/>
        <v>0</v>
      </c>
      <c r="CQ36" s="100">
        <f t="shared" si="267"/>
        <v>0</v>
      </c>
      <c r="CR36" s="100">
        <f t="shared" si="267"/>
        <v>0</v>
      </c>
      <c r="CS36" s="100">
        <f t="shared" si="267"/>
        <v>0</v>
      </c>
      <c r="CT36" s="100">
        <f t="shared" si="267"/>
        <v>0</v>
      </c>
      <c r="CU36" s="100">
        <f t="shared" si="267"/>
        <v>0</v>
      </c>
      <c r="CV36" s="100">
        <f t="shared" si="267"/>
        <v>0</v>
      </c>
      <c r="CW36" s="100">
        <f t="shared" si="267"/>
        <v>0</v>
      </c>
      <c r="CX36" s="100">
        <f t="shared" si="267"/>
        <v>0</v>
      </c>
      <c r="CY36" s="100">
        <f t="shared" si="267"/>
        <v>0</v>
      </c>
      <c r="CZ36" s="100">
        <f t="shared" si="267"/>
        <v>0</v>
      </c>
      <c r="DA36" s="100">
        <f t="shared" si="267"/>
        <v>0</v>
      </c>
      <c r="DB36" s="100">
        <f t="shared" si="267"/>
        <v>0</v>
      </c>
      <c r="DC36" s="100">
        <f t="shared" si="267"/>
        <v>0</v>
      </c>
      <c r="DD36" s="100">
        <f t="shared" si="267"/>
        <v>0</v>
      </c>
      <c r="DE36" s="100">
        <f t="shared" si="267"/>
        <v>0</v>
      </c>
      <c r="DF36" s="100">
        <f t="shared" si="267"/>
        <v>0</v>
      </c>
      <c r="DG36" s="100">
        <f t="shared" si="267"/>
        <v>0</v>
      </c>
      <c r="DH36" s="100">
        <f t="shared" si="267"/>
        <v>0</v>
      </c>
      <c r="DI36" s="100">
        <f t="shared" si="267"/>
        <v>0</v>
      </c>
      <c r="DJ36" s="100">
        <f t="shared" si="267"/>
        <v>0</v>
      </c>
      <c r="DK36" s="100">
        <f t="shared" si="267"/>
        <v>0</v>
      </c>
      <c r="DL36" s="100">
        <f t="shared" si="267"/>
        <v>0</v>
      </c>
      <c r="DM36" s="100">
        <f t="shared" si="267"/>
        <v>0</v>
      </c>
      <c r="DN36" s="100">
        <f t="shared" si="267"/>
        <v>0</v>
      </c>
      <c r="DO36" s="100">
        <f t="shared" si="267"/>
        <v>0</v>
      </c>
      <c r="DP36" s="100">
        <f t="shared" si="267"/>
        <v>0</v>
      </c>
      <c r="DQ36" s="100">
        <f t="shared" si="267"/>
        <v>0</v>
      </c>
      <c r="DR36" s="100">
        <f t="shared" si="267"/>
        <v>0</v>
      </c>
      <c r="DT36" s="144">
        <f t="shared" si="255"/>
        <v>0</v>
      </c>
      <c r="DU36" s="144">
        <f t="shared" si="256"/>
        <v>0</v>
      </c>
      <c r="DV36" s="144">
        <f t="shared" si="257"/>
        <v>0</v>
      </c>
      <c r="DW36" s="144">
        <f t="shared" si="258"/>
        <v>0</v>
      </c>
      <c r="DX36" s="144">
        <f t="shared" si="259"/>
        <v>0</v>
      </c>
      <c r="DY36" s="144">
        <f t="shared" si="260"/>
        <v>0</v>
      </c>
      <c r="DZ36" s="144">
        <f t="shared" si="261"/>
        <v>0</v>
      </c>
      <c r="EA36" s="144">
        <f t="shared" si="262"/>
        <v>0</v>
      </c>
      <c r="EB36" s="144">
        <f t="shared" si="263"/>
        <v>0</v>
      </c>
      <c r="EC36" s="144">
        <f t="shared" si="264"/>
        <v>0</v>
      </c>
    </row>
    <row r="37" ht="14.5">
      <c r="A37" t="s">
        <v>1252</v>
      </c>
      <c r="C37" s="144">
        <f>+'SP-mese'!C47-'SP-mese'!D47</f>
        <v>0</v>
      </c>
      <c r="D37" s="144">
        <f>+'SP-mese'!D47-'SP-mese'!E47</f>
        <v>0</v>
      </c>
      <c r="E37" s="144">
        <f>+'SP-mese'!E47-'SP-mese'!F47</f>
        <v>0</v>
      </c>
      <c r="F37" s="144">
        <f>+'SP-mese'!F47-'SP-mese'!G47</f>
        <v>0</v>
      </c>
      <c r="G37" s="144">
        <f>+'SP-mese'!G47-'SP-mese'!H47</f>
        <v>0</v>
      </c>
      <c r="H37" s="144">
        <f>+'SP-mese'!H47-'SP-mese'!I47</f>
        <v>0</v>
      </c>
      <c r="I37" s="144">
        <f>+'SP-mese'!I47-'SP-mese'!J47</f>
        <v>0</v>
      </c>
      <c r="J37" s="144">
        <f>+'SP-mese'!J47-'SP-mese'!K47</f>
        <v>0</v>
      </c>
      <c r="K37" s="144">
        <f>+'SP-mese'!K47-'SP-mese'!L47</f>
        <v>0</v>
      </c>
      <c r="L37" s="144">
        <f>+'SP-mese'!L47-'SP-mese'!M47</f>
        <v>0</v>
      </c>
      <c r="M37" s="144">
        <f>+'SP-mese'!M47-'SP-mese'!N47</f>
        <v>0</v>
      </c>
      <c r="N37" s="144">
        <f>+'SP-mese'!N47-'SP-mese'!O47</f>
        <v>0</v>
      </c>
      <c r="O37" s="144">
        <f>+'SP-mese'!O47-'SP-mese'!P47</f>
        <v>0</v>
      </c>
      <c r="P37" s="144">
        <f>+'SP-mese'!P47-'SP-mese'!Q47</f>
        <v>0</v>
      </c>
      <c r="Q37" s="144">
        <f>+'SP-mese'!Q47-'SP-mese'!R47</f>
        <v>0</v>
      </c>
      <c r="R37" s="144">
        <f>+'SP-mese'!R47-'SP-mese'!S47</f>
        <v>0</v>
      </c>
      <c r="S37" s="144">
        <f>+'SP-mese'!S47-'SP-mese'!T47</f>
        <v>0</v>
      </c>
      <c r="T37" s="144">
        <f>+'SP-mese'!T47-'SP-mese'!U47</f>
        <v>0</v>
      </c>
      <c r="U37" s="144">
        <f>+'SP-mese'!U47-'SP-mese'!V47</f>
        <v>0</v>
      </c>
      <c r="V37" s="144">
        <f>+'SP-mese'!V47-'SP-mese'!W47</f>
        <v>0</v>
      </c>
      <c r="W37" s="144">
        <f>+'SP-mese'!W47-'SP-mese'!X47</f>
        <v>0</v>
      </c>
      <c r="X37" s="144">
        <f>+'SP-mese'!X47-'SP-mese'!Y47</f>
        <v>0</v>
      </c>
      <c r="Y37" s="144">
        <f>+'SP-mese'!Y47-'SP-mese'!Z47</f>
        <v>0</v>
      </c>
      <c r="Z37" s="144">
        <f>+'SP-mese'!Z47-'SP-mese'!AA47</f>
        <v>0</v>
      </c>
      <c r="AA37" s="144">
        <f>+'SP-mese'!AA47-'SP-mese'!AB47</f>
        <v>0</v>
      </c>
      <c r="AB37" s="144">
        <f>+'SP-mese'!AB47-'SP-mese'!AC47</f>
        <v>0</v>
      </c>
      <c r="AC37" s="144">
        <f>+'SP-mese'!AC47-'SP-mese'!AD47</f>
        <v>0</v>
      </c>
      <c r="AD37" s="144">
        <f>+'SP-mese'!AD47-'SP-mese'!AE47</f>
        <v>0</v>
      </c>
      <c r="AE37" s="144">
        <f>+'SP-mese'!AE47-'SP-mese'!AF47</f>
        <v>0</v>
      </c>
      <c r="AF37" s="144">
        <f>+'SP-mese'!AF47-'SP-mese'!AG47</f>
        <v>0</v>
      </c>
      <c r="AG37" s="144">
        <f>+'SP-mese'!AG47-'SP-mese'!AH47</f>
        <v>0</v>
      </c>
      <c r="AH37" s="144">
        <f>+'SP-mese'!AH47-'SP-mese'!AI47</f>
        <v>0</v>
      </c>
      <c r="AI37" s="144">
        <f>+'SP-mese'!AI47-'SP-mese'!AJ47</f>
        <v>0</v>
      </c>
      <c r="AJ37" s="144">
        <f>+'SP-mese'!AJ47-'SP-mese'!AK47</f>
        <v>0</v>
      </c>
      <c r="AK37" s="144">
        <f>+'SP-mese'!AK47-'SP-mese'!AL47</f>
        <v>0</v>
      </c>
      <c r="AL37" s="144">
        <f>+'SP-mese'!AL47-'SP-mese'!AM47</f>
        <v>0</v>
      </c>
      <c r="AM37" s="144">
        <f>+'SP-mese'!AM47-'SP-mese'!AN47</f>
        <v>0</v>
      </c>
      <c r="AN37" s="144">
        <f>+'SP-mese'!AN47-'SP-mese'!AO47</f>
        <v>0</v>
      </c>
      <c r="AO37" s="144">
        <f>+'SP-mese'!AO47-'SP-mese'!AP47</f>
        <v>0</v>
      </c>
      <c r="AP37" s="144">
        <f>+'SP-mese'!AP47-'SP-mese'!AQ47</f>
        <v>0</v>
      </c>
      <c r="AQ37" s="144">
        <f>+'SP-mese'!AQ47-'SP-mese'!AR47</f>
        <v>0</v>
      </c>
      <c r="AR37" s="144">
        <f>+'SP-mese'!AR47-'SP-mese'!AS47</f>
        <v>0</v>
      </c>
      <c r="AS37" s="144">
        <f>+'SP-mese'!AS47-'SP-mese'!AT47</f>
        <v>0</v>
      </c>
      <c r="AT37" s="144">
        <f>+'SP-mese'!AT47-'SP-mese'!AU47</f>
        <v>0</v>
      </c>
      <c r="AU37" s="144">
        <f>+'SP-mese'!AU47-'SP-mese'!AV47</f>
        <v>0</v>
      </c>
      <c r="AV37" s="144">
        <f>+'SP-mese'!AV47-'SP-mese'!AW47</f>
        <v>0</v>
      </c>
      <c r="AW37" s="144">
        <f>+'SP-mese'!AW47-'SP-mese'!AX47</f>
        <v>0</v>
      </c>
      <c r="AX37" s="144">
        <f>+'SP-mese'!AX47-'SP-mese'!AY47</f>
        <v>0</v>
      </c>
      <c r="AY37" s="144">
        <f>+'SP-mese'!AY47-'SP-mese'!AZ47</f>
        <v>0</v>
      </c>
      <c r="AZ37" s="144">
        <f>+'SP-mese'!AZ47-'SP-mese'!BA47</f>
        <v>0</v>
      </c>
      <c r="BA37" s="144">
        <f>+'SP-mese'!BA47-'SP-mese'!BB47</f>
        <v>0</v>
      </c>
      <c r="BB37" s="144">
        <f>+'SP-mese'!BB47-'SP-mese'!BC47</f>
        <v>0</v>
      </c>
      <c r="BC37" s="144">
        <f>+'SP-mese'!BC47-'SP-mese'!BD47</f>
        <v>0</v>
      </c>
      <c r="BD37" s="144">
        <f>+'SP-mese'!BD47-'SP-mese'!BE47</f>
        <v>0</v>
      </c>
      <c r="BE37" s="144">
        <f>+'SP-mese'!BE47-'SP-mese'!BF47</f>
        <v>0</v>
      </c>
      <c r="BF37" s="144">
        <f>+'SP-mese'!BF47-'SP-mese'!BG47</f>
        <v>0</v>
      </c>
      <c r="BG37" s="144">
        <f>+'SP-mese'!BG47-'SP-mese'!BH47</f>
        <v>0</v>
      </c>
      <c r="BH37" s="144">
        <f>+'SP-mese'!BH47-'SP-mese'!BI47</f>
        <v>0</v>
      </c>
      <c r="BI37" s="144">
        <f>+'SP-mese'!BI47-'SP-mese'!BJ47</f>
        <v>0</v>
      </c>
      <c r="BJ37" s="144">
        <f>+'SP-mese'!BJ47-'SP-mese'!BK47</f>
        <v>0</v>
      </c>
      <c r="BK37" s="144">
        <f>+'SP-mese'!BK47-'SP-mese'!BL47</f>
        <v>0</v>
      </c>
      <c r="BL37" s="144">
        <f>+'SP-mese'!BL47-'SP-mese'!BM47</f>
        <v>0</v>
      </c>
      <c r="BM37" s="144">
        <f>+'SP-mese'!BM47-'SP-mese'!BN47</f>
        <v>0</v>
      </c>
      <c r="BN37" s="144">
        <f>+'SP-mese'!BN47-'SP-mese'!BO47</f>
        <v>0</v>
      </c>
      <c r="BO37" s="144">
        <f>+'SP-mese'!BO47-'SP-mese'!BP47</f>
        <v>0</v>
      </c>
      <c r="BP37" s="144">
        <f>+'SP-mese'!BP47-'SP-mese'!BQ47</f>
        <v>0</v>
      </c>
      <c r="BQ37" s="144">
        <f>+'SP-mese'!BQ47-'SP-mese'!BR47</f>
        <v>0</v>
      </c>
      <c r="BR37" s="144">
        <f>+'SP-mese'!BR47-'SP-mese'!BS47</f>
        <v>0</v>
      </c>
      <c r="BS37" s="144">
        <f>+'SP-mese'!BS47-'SP-mese'!BT47</f>
        <v>0</v>
      </c>
      <c r="BT37" s="144">
        <f>+'SP-mese'!BT47-'SP-mese'!BU47</f>
        <v>0</v>
      </c>
      <c r="BU37" s="144">
        <f>+'SP-mese'!BU47-'SP-mese'!BV47</f>
        <v>0</v>
      </c>
      <c r="BV37" s="144">
        <f>+'SP-mese'!BV47-'SP-mese'!BW47</f>
        <v>0</v>
      </c>
      <c r="BW37" s="144">
        <f>+'SP-mese'!BW47-'SP-mese'!BX47</f>
        <v>0</v>
      </c>
      <c r="BX37" s="144">
        <f>+'SP-mese'!BX47-'SP-mese'!BY47</f>
        <v>0</v>
      </c>
      <c r="BY37" s="144">
        <f>+'SP-mese'!BY47-'SP-mese'!BZ47</f>
        <v>0</v>
      </c>
      <c r="BZ37" s="144">
        <f>+'SP-mese'!BZ47-'SP-mese'!CA47</f>
        <v>0</v>
      </c>
      <c r="CA37" s="144">
        <f>+'SP-mese'!CA47-'SP-mese'!CB47</f>
        <v>0</v>
      </c>
      <c r="CB37" s="144">
        <f>+'SP-mese'!CB47-'SP-mese'!CC47</f>
        <v>0</v>
      </c>
      <c r="CC37" s="144">
        <f>+'SP-mese'!CC47-'SP-mese'!CD47</f>
        <v>0</v>
      </c>
      <c r="CD37" s="144">
        <f>+'SP-mese'!CD47-'SP-mese'!CE47</f>
        <v>0</v>
      </c>
      <c r="CE37" s="144">
        <f>+'SP-mese'!CE47-'SP-mese'!CF47</f>
        <v>0</v>
      </c>
      <c r="CF37" s="144">
        <f>+'SP-mese'!CF47-'SP-mese'!CG47</f>
        <v>0</v>
      </c>
      <c r="CG37" s="144">
        <f>+'SP-mese'!CG47-'SP-mese'!CH47</f>
        <v>0</v>
      </c>
      <c r="CH37" s="144">
        <f>+'SP-mese'!CH47-'SP-mese'!CI47</f>
        <v>0</v>
      </c>
      <c r="CI37" s="144">
        <f>+'SP-mese'!CI47-'SP-mese'!CJ47</f>
        <v>0</v>
      </c>
      <c r="CJ37" s="144">
        <f>+'SP-mese'!CJ47-'SP-mese'!CK47</f>
        <v>0</v>
      </c>
      <c r="CK37" s="144">
        <f>+'SP-mese'!CK47-'SP-mese'!CL47</f>
        <v>0</v>
      </c>
      <c r="CL37" s="144">
        <f>+'SP-mese'!CL47-'SP-mese'!CM47</f>
        <v>0</v>
      </c>
      <c r="CM37" s="144">
        <f>+'SP-mese'!CM47-'SP-mese'!CN47</f>
        <v>0</v>
      </c>
      <c r="CN37" s="144">
        <f>+'SP-mese'!CN47-'SP-mese'!CO47</f>
        <v>0</v>
      </c>
      <c r="CO37" s="144">
        <f>+'SP-mese'!CO47-'SP-mese'!CP47</f>
        <v>0</v>
      </c>
      <c r="CP37" s="144">
        <f>+'SP-mese'!CP47-'SP-mese'!CQ47</f>
        <v>0</v>
      </c>
      <c r="CQ37" s="144">
        <f>+'SP-mese'!CQ47-'SP-mese'!CR47</f>
        <v>0</v>
      </c>
      <c r="CR37" s="144">
        <f>+'SP-mese'!CR47-'SP-mese'!CS47</f>
        <v>0</v>
      </c>
      <c r="CS37" s="144">
        <f>+'SP-mese'!CS47-'SP-mese'!CT47</f>
        <v>0</v>
      </c>
      <c r="CT37" s="144">
        <f>+'SP-mese'!CT47-'SP-mese'!CU47</f>
        <v>0</v>
      </c>
      <c r="CU37" s="144">
        <f>+'SP-mese'!CU47-'SP-mese'!CV47</f>
        <v>0</v>
      </c>
      <c r="CV37" s="144">
        <f>+'SP-mese'!CV47-'SP-mese'!CW47</f>
        <v>0</v>
      </c>
      <c r="CW37" s="144">
        <f>+'SP-mese'!CW47-'SP-mese'!CX47</f>
        <v>0</v>
      </c>
      <c r="CX37" s="144">
        <f>+'SP-mese'!CX47-'SP-mese'!CY47</f>
        <v>0</v>
      </c>
      <c r="CY37" s="144">
        <f>+'SP-mese'!CY47-'SP-mese'!CZ47</f>
        <v>0</v>
      </c>
      <c r="CZ37" s="144">
        <f>+'SP-mese'!CZ47-'SP-mese'!DA47</f>
        <v>0</v>
      </c>
      <c r="DA37" s="144">
        <f>+'SP-mese'!DA47-'SP-mese'!DB47</f>
        <v>0</v>
      </c>
      <c r="DB37" s="144">
        <f>+'SP-mese'!DB47-'SP-mese'!DC47</f>
        <v>0</v>
      </c>
      <c r="DC37" s="144">
        <f>+'SP-mese'!DC47-'SP-mese'!DD47</f>
        <v>0</v>
      </c>
      <c r="DD37" s="144">
        <f>+'SP-mese'!DD47-'SP-mese'!DE47</f>
        <v>0</v>
      </c>
      <c r="DE37" s="144">
        <f>+'SP-mese'!DE47-'SP-mese'!DF47</f>
        <v>0</v>
      </c>
      <c r="DF37" s="144">
        <f>+'SP-mese'!DF47-'SP-mese'!DG47</f>
        <v>0</v>
      </c>
      <c r="DG37" s="144">
        <f>+'SP-mese'!DG47-'SP-mese'!DH47</f>
        <v>0</v>
      </c>
      <c r="DH37" s="144">
        <f>+'SP-mese'!DH47-'SP-mese'!DI47</f>
        <v>0</v>
      </c>
      <c r="DI37" s="144">
        <f>+'SP-mese'!DI47-'SP-mese'!DJ47</f>
        <v>0</v>
      </c>
      <c r="DJ37" s="144">
        <f>+'SP-mese'!DJ47-'SP-mese'!DK47</f>
        <v>0</v>
      </c>
      <c r="DK37" s="144">
        <f>+'SP-mese'!DK47-'SP-mese'!DL47</f>
        <v>0</v>
      </c>
      <c r="DL37" s="144">
        <f>+'SP-mese'!DL47-'SP-mese'!DM47</f>
        <v>0</v>
      </c>
      <c r="DM37" s="144">
        <f>+'SP-mese'!DM47-'SP-mese'!DN47</f>
        <v>0</v>
      </c>
      <c r="DN37" s="144">
        <f>+'SP-mese'!DN47-'SP-mese'!DO47</f>
        <v>0</v>
      </c>
      <c r="DO37" s="144">
        <f>+'SP-mese'!DO47-'SP-mese'!DP47</f>
        <v>0</v>
      </c>
      <c r="DP37" s="144">
        <f>+'SP-mese'!DP47-'SP-mese'!DQ47</f>
        <v>0</v>
      </c>
      <c r="DQ37" s="144">
        <f>+'SP-mese'!DQ47-'SP-mese'!DR47</f>
        <v>0</v>
      </c>
      <c r="DR37" s="144">
        <f>+'SP-mese'!DR47-'SP-mese'!DS47</f>
        <v>0</v>
      </c>
      <c r="DT37" s="144">
        <f t="shared" ref="DT37:EC37" si="268">+SUMIF($C$1:$DR$1,DT$1,$C37:$DR37)</f>
        <v>0</v>
      </c>
      <c r="DU37" s="144">
        <f t="shared" si="268"/>
        <v>0</v>
      </c>
      <c r="DV37" s="144">
        <f t="shared" si="268"/>
        <v>0</v>
      </c>
      <c r="DW37" s="144">
        <f t="shared" si="268"/>
        <v>0</v>
      </c>
      <c r="DX37" s="144">
        <f t="shared" si="268"/>
        <v>0</v>
      </c>
      <c r="DY37" s="144">
        <f t="shared" si="268"/>
        <v>0</v>
      </c>
      <c r="DZ37" s="144">
        <f t="shared" si="268"/>
        <v>0</v>
      </c>
      <c r="EA37" s="144">
        <f t="shared" si="268"/>
        <v>0</v>
      </c>
      <c r="EB37" s="144">
        <f t="shared" si="268"/>
        <v>0</v>
      </c>
      <c r="EC37" s="144">
        <f t="shared" si="268"/>
        <v>0</v>
      </c>
    </row>
    <row r="39" thickBot="1"/>
    <row r="40" thickTop="1" thickBot="1" ht="15.5">
      <c r="A40" s="301" t="s">
        <v>1253</v>
      </c>
      <c r="B40" s="301"/>
      <c r="C40" s="301">
        <f t="shared" ref="C40:AH40" si="269">+C36+C33+C30</f>
        <v>0</v>
      </c>
      <c r="D40" s="301">
        <f t="shared" si="269"/>
        <v>0</v>
      </c>
      <c r="E40" s="301">
        <f t="shared" si="269"/>
        <v>0</v>
      </c>
      <c r="F40" s="301">
        <f t="shared" si="269"/>
        <v>0</v>
      </c>
      <c r="G40" s="301">
        <f t="shared" si="269"/>
        <v>0</v>
      </c>
      <c r="H40" s="301">
        <f t="shared" si="269"/>
        <v>0</v>
      </c>
      <c r="I40" s="301">
        <f t="shared" si="269"/>
        <v>0</v>
      </c>
      <c r="J40" s="301">
        <f t="shared" si="269"/>
        <v>0</v>
      </c>
      <c r="K40" s="301">
        <f t="shared" si="269"/>
        <v>0</v>
      </c>
      <c r="L40" s="301">
        <f t="shared" si="269"/>
        <v>0</v>
      </c>
      <c r="M40" s="301">
        <f t="shared" si="269"/>
        <v>0</v>
      </c>
      <c r="N40" s="301">
        <f t="shared" si="269"/>
        <v>0</v>
      </c>
      <c r="O40" s="301">
        <f t="shared" si="269"/>
        <v>0</v>
      </c>
      <c r="P40" s="301">
        <f t="shared" si="269"/>
        <v>0</v>
      </c>
      <c r="Q40" s="301">
        <f t="shared" si="269"/>
        <v>0</v>
      </c>
      <c r="R40" s="301">
        <f t="shared" si="269"/>
        <v>0</v>
      </c>
      <c r="S40" s="301">
        <f t="shared" si="269"/>
        <v>0</v>
      </c>
      <c r="T40" s="301">
        <f t="shared" si="269"/>
        <v>0</v>
      </c>
      <c r="U40" s="301">
        <f t="shared" si="269"/>
        <v>0</v>
      </c>
      <c r="V40" s="301">
        <f t="shared" si="269"/>
        <v>0</v>
      </c>
      <c r="W40" s="301">
        <f t="shared" si="269"/>
        <v>0</v>
      </c>
      <c r="X40" s="301">
        <f t="shared" si="269"/>
        <v>0</v>
      </c>
      <c r="Y40" s="301">
        <f t="shared" si="269"/>
        <v>0</v>
      </c>
      <c r="Z40" s="301">
        <f t="shared" si="269"/>
        <v>0</v>
      </c>
      <c r="AA40" s="301">
        <f t="shared" si="269"/>
        <v>0</v>
      </c>
      <c r="AB40" s="301">
        <f t="shared" si="269"/>
        <v>0</v>
      </c>
      <c r="AC40" s="301">
        <f t="shared" si="269"/>
        <v>0</v>
      </c>
      <c r="AD40" s="301">
        <f t="shared" si="269"/>
        <v>0</v>
      </c>
      <c r="AE40" s="301">
        <f t="shared" si="269"/>
        <v>0</v>
      </c>
      <c r="AF40" s="301">
        <f t="shared" si="269"/>
        <v>0</v>
      </c>
      <c r="AG40" s="301">
        <f t="shared" si="269"/>
        <v>0</v>
      </c>
      <c r="AH40" s="301">
        <f t="shared" si="269"/>
        <v>0</v>
      </c>
      <c r="AI40" s="301">
        <f t="shared" ref="AI40:BN40" si="270">+AI36+AI33+AI30</f>
        <v>0</v>
      </c>
      <c r="AJ40" s="301">
        <f t="shared" si="270"/>
        <v>0</v>
      </c>
      <c r="AK40" s="301">
        <f t="shared" si="270"/>
        <v>0</v>
      </c>
      <c r="AL40" s="301">
        <f t="shared" si="270"/>
        <v>0</v>
      </c>
      <c r="AM40" s="301">
        <f t="shared" si="270"/>
        <v>0</v>
      </c>
      <c r="AN40" s="301">
        <f t="shared" si="270"/>
        <v>0</v>
      </c>
      <c r="AO40" s="301">
        <f t="shared" si="270"/>
        <v>0</v>
      </c>
      <c r="AP40" s="301">
        <f t="shared" si="270"/>
        <v>0</v>
      </c>
      <c r="AQ40" s="301">
        <f t="shared" si="270"/>
        <v>0</v>
      </c>
      <c r="AR40" s="301">
        <f t="shared" si="270"/>
        <v>0</v>
      </c>
      <c r="AS40" s="301">
        <f t="shared" si="270"/>
        <v>0</v>
      </c>
      <c r="AT40" s="301">
        <f t="shared" si="270"/>
        <v>0</v>
      </c>
      <c r="AU40" s="301">
        <f t="shared" si="270"/>
        <v>0</v>
      </c>
      <c r="AV40" s="301">
        <f t="shared" si="270"/>
        <v>0</v>
      </c>
      <c r="AW40" s="301">
        <f t="shared" si="270"/>
        <v>0</v>
      </c>
      <c r="AX40" s="301">
        <f t="shared" si="270"/>
        <v>0</v>
      </c>
      <c r="AY40" s="301">
        <f t="shared" si="270"/>
        <v>0</v>
      </c>
      <c r="AZ40" s="301">
        <f t="shared" si="270"/>
        <v>0</v>
      </c>
      <c r="BA40" s="301">
        <f t="shared" si="270"/>
        <v>0</v>
      </c>
      <c r="BB40" s="301">
        <f t="shared" si="270"/>
        <v>0</v>
      </c>
      <c r="BC40" s="301">
        <f t="shared" si="270"/>
        <v>0</v>
      </c>
      <c r="BD40" s="301">
        <f t="shared" si="270"/>
        <v>0</v>
      </c>
      <c r="BE40" s="301">
        <f t="shared" si="270"/>
        <v>0</v>
      </c>
      <c r="BF40" s="301">
        <f t="shared" si="270"/>
        <v>0</v>
      </c>
      <c r="BG40" s="301">
        <f t="shared" si="270"/>
        <v>0</v>
      </c>
      <c r="BH40" s="301">
        <f t="shared" si="270"/>
        <v>0</v>
      </c>
      <c r="BI40" s="301">
        <f t="shared" si="270"/>
        <v>0</v>
      </c>
      <c r="BJ40" s="301">
        <f t="shared" si="270"/>
        <v>0</v>
      </c>
      <c r="BK40" s="301">
        <f t="shared" si="270"/>
        <v>0</v>
      </c>
      <c r="BL40" s="301">
        <f t="shared" si="270"/>
        <v>0</v>
      </c>
      <c r="BM40" s="301">
        <f t="shared" si="270"/>
        <v>0</v>
      </c>
      <c r="BN40" s="301">
        <f t="shared" si="270"/>
        <v>0</v>
      </c>
      <c r="BO40" s="301">
        <f t="shared" ref="BO40:CT40" si="271">+BO36+BO33+BO30</f>
        <v>0</v>
      </c>
      <c r="BP40" s="301">
        <f t="shared" si="271"/>
        <v>0</v>
      </c>
      <c r="BQ40" s="301">
        <f t="shared" si="271"/>
        <v>0</v>
      </c>
      <c r="BR40" s="301">
        <f t="shared" si="271"/>
        <v>0</v>
      </c>
      <c r="BS40" s="301">
        <f t="shared" si="271"/>
        <v>0</v>
      </c>
      <c r="BT40" s="301">
        <f t="shared" si="271"/>
        <v>0</v>
      </c>
      <c r="BU40" s="301">
        <f t="shared" si="271"/>
        <v>0</v>
      </c>
      <c r="BV40" s="301">
        <f t="shared" si="271"/>
        <v>0</v>
      </c>
      <c r="BW40" s="301">
        <f t="shared" si="271"/>
        <v>0</v>
      </c>
      <c r="BX40" s="301">
        <f t="shared" si="271"/>
        <v>0</v>
      </c>
      <c r="BY40" s="301">
        <f t="shared" si="271"/>
        <v>0</v>
      </c>
      <c r="BZ40" s="301">
        <f t="shared" si="271"/>
        <v>0</v>
      </c>
      <c r="CA40" s="301">
        <f t="shared" si="271"/>
        <v>0</v>
      </c>
      <c r="CB40" s="301">
        <f t="shared" si="271"/>
        <v>0</v>
      </c>
      <c r="CC40" s="301">
        <f t="shared" si="271"/>
        <v>0</v>
      </c>
      <c r="CD40" s="301">
        <f t="shared" si="271"/>
        <v>0</v>
      </c>
      <c r="CE40" s="301">
        <f t="shared" si="271"/>
        <v>0</v>
      </c>
      <c r="CF40" s="301">
        <f t="shared" si="271"/>
        <v>0</v>
      </c>
      <c r="CG40" s="301">
        <f t="shared" si="271"/>
        <v>0</v>
      </c>
      <c r="CH40" s="301">
        <f t="shared" si="271"/>
        <v>0</v>
      </c>
      <c r="CI40" s="301">
        <f t="shared" si="271"/>
        <v>0</v>
      </c>
      <c r="CJ40" s="301">
        <f t="shared" si="271"/>
        <v>0</v>
      </c>
      <c r="CK40" s="301">
        <f t="shared" si="271"/>
        <v>0</v>
      </c>
      <c r="CL40" s="301">
        <f t="shared" si="271"/>
        <v>0</v>
      </c>
      <c r="CM40" s="301">
        <f t="shared" si="271"/>
        <v>0</v>
      </c>
      <c r="CN40" s="301">
        <f t="shared" si="271"/>
        <v>0</v>
      </c>
      <c r="CO40" s="301">
        <f t="shared" si="271"/>
        <v>0</v>
      </c>
      <c r="CP40" s="301">
        <f t="shared" si="271"/>
        <v>0</v>
      </c>
      <c r="CQ40" s="301">
        <f t="shared" si="271"/>
        <v>0</v>
      </c>
      <c r="CR40" s="301">
        <f t="shared" si="271"/>
        <v>0</v>
      </c>
      <c r="CS40" s="301">
        <f t="shared" si="271"/>
        <v>0</v>
      </c>
      <c r="CT40" s="301">
        <f t="shared" si="271"/>
        <v>0</v>
      </c>
      <c r="CU40" s="301">
        <f t="shared" ref="CU40:DR40" si="272">+CU36+CU33+CU30</f>
        <v>0</v>
      </c>
      <c r="CV40" s="301">
        <f t="shared" si="272"/>
        <v>0</v>
      </c>
      <c r="CW40" s="301">
        <f t="shared" si="272"/>
        <v>0</v>
      </c>
      <c r="CX40" s="301">
        <f t="shared" si="272"/>
        <v>0</v>
      </c>
      <c r="CY40" s="301">
        <f t="shared" si="272"/>
        <v>0</v>
      </c>
      <c r="CZ40" s="301">
        <f t="shared" si="272"/>
        <v>0</v>
      </c>
      <c r="DA40" s="301">
        <f t="shared" si="272"/>
        <v>0</v>
      </c>
      <c r="DB40" s="301">
        <f t="shared" si="272"/>
        <v>0</v>
      </c>
      <c r="DC40" s="301">
        <f t="shared" si="272"/>
        <v>0</v>
      </c>
      <c r="DD40" s="301">
        <f t="shared" si="272"/>
        <v>0</v>
      </c>
      <c r="DE40" s="301">
        <f t="shared" si="272"/>
        <v>0</v>
      </c>
      <c r="DF40" s="301">
        <f t="shared" si="272"/>
        <v>0</v>
      </c>
      <c r="DG40" s="301">
        <f t="shared" si="272"/>
        <v>0</v>
      </c>
      <c r="DH40" s="301">
        <f t="shared" si="272"/>
        <v>0</v>
      </c>
      <c r="DI40" s="301">
        <f t="shared" si="272"/>
        <v>0</v>
      </c>
      <c r="DJ40" s="301">
        <f t="shared" si="272"/>
        <v>0</v>
      </c>
      <c r="DK40" s="301">
        <f t="shared" si="272"/>
        <v>0</v>
      </c>
      <c r="DL40" s="301">
        <f t="shared" si="272"/>
        <v>0</v>
      </c>
      <c r="DM40" s="301">
        <f t="shared" si="272"/>
        <v>0</v>
      </c>
      <c r="DN40" s="301">
        <f t="shared" si="272"/>
        <v>0</v>
      </c>
      <c r="DO40" s="301">
        <f t="shared" si="272"/>
        <v>0</v>
      </c>
      <c r="DP40" s="301">
        <f t="shared" si="272"/>
        <v>0</v>
      </c>
      <c r="DQ40" s="301">
        <f t="shared" si="272"/>
        <v>0</v>
      </c>
      <c r="DR40" s="301">
        <f t="shared" si="272"/>
        <v>0</v>
      </c>
      <c r="DT40" s="301">
        <f>+DT36+DT33+DT30</f>
        <v>0</v>
      </c>
      <c r="DU40" s="301">
        <f t="shared" ref="DU40:EC40" si="273">+DU36+DU33+DU30</f>
        <v>0</v>
      </c>
      <c r="DV40" s="301">
        <f t="shared" si="273"/>
        <v>0</v>
      </c>
      <c r="DW40" s="301">
        <f t="shared" si="273"/>
        <v>0</v>
      </c>
      <c r="DX40" s="301">
        <f t="shared" si="273"/>
        <v>0</v>
      </c>
      <c r="DY40" s="301">
        <f t="shared" si="273"/>
        <v>0</v>
      </c>
      <c r="DZ40" s="301">
        <f t="shared" si="273"/>
        <v>0</v>
      </c>
      <c r="EA40" s="301">
        <f t="shared" si="273"/>
        <v>0</v>
      </c>
      <c r="EB40" s="301">
        <f t="shared" si="273"/>
        <v>0</v>
      </c>
      <c r="EC40" s="301">
        <f t="shared" si="273"/>
        <v>0</v>
      </c>
    </row>
    <row r="41" thickTop="1">
      <c r="A41" s="18"/>
    </row>
    <row r="42" ht="14.5">
      <c r="A42" s="312" t="s">
        <v>1254</v>
      </c>
      <c r="C42" s="261" t="e">
        <f>+C44+C52</f>
        <v>#REF!</v>
      </c>
      <c r="D42" s="261" t="e">
        <f>+D44+D52</f>
        <v>#REF!</v>
      </c>
      <c r="E42" s="261" t="e">
        <f t="shared" ref="E42:I42" si="274">+E44+E52</f>
        <v>#REF!</v>
      </c>
      <c r="F42" s="261" t="e">
        <f t="shared" si="274"/>
        <v>#REF!</v>
      </c>
      <c r="G42" s="261" t="e">
        <f t="shared" si="274"/>
        <v>#REF!</v>
      </c>
      <c r="H42" s="261" t="e">
        <f t="shared" si="274"/>
        <v>#REF!</v>
      </c>
      <c r="I42" s="261" t="e">
        <f t="shared" si="274"/>
        <v>#REF!</v>
      </c>
      <c r="J42" s="261" t="e">
        <f t="shared" ref="J42:BP42" si="275">+J44+J52</f>
        <v>#REF!</v>
      </c>
      <c r="K42" s="261" t="e">
        <f t="shared" si="275"/>
        <v>#REF!</v>
      </c>
      <c r="L42" s="261" t="e">
        <f t="shared" si="275"/>
        <v>#REF!</v>
      </c>
      <c r="M42" s="261" t="e">
        <f t="shared" si="275"/>
        <v>#REF!</v>
      </c>
      <c r="N42" s="261" t="e">
        <f t="shared" si="275"/>
        <v>#REF!</v>
      </c>
      <c r="O42" s="261" t="e">
        <f t="shared" si="275"/>
        <v>#REF!</v>
      </c>
      <c r="P42" s="261" t="e">
        <f t="shared" si="275"/>
        <v>#REF!</v>
      </c>
      <c r="Q42" s="261" t="e">
        <f t="shared" si="275"/>
        <v>#REF!</v>
      </c>
      <c r="R42" s="261" t="e">
        <f t="shared" si="275"/>
        <v>#REF!</v>
      </c>
      <c r="S42" s="261" t="e">
        <f t="shared" si="275"/>
        <v>#REF!</v>
      </c>
      <c r="T42" s="261" t="e">
        <f t="shared" si="275"/>
        <v>#REF!</v>
      </c>
      <c r="U42" s="261" t="e">
        <f t="shared" si="275"/>
        <v>#REF!</v>
      </c>
      <c r="V42" s="261" t="e">
        <f t="shared" si="275"/>
        <v>#REF!</v>
      </c>
      <c r="W42" s="261" t="e">
        <f t="shared" si="275"/>
        <v>#REF!</v>
      </c>
      <c r="X42" s="261" t="e">
        <f t="shared" si="275"/>
        <v>#REF!</v>
      </c>
      <c r="Y42" s="261" t="e">
        <f t="shared" si="275"/>
        <v>#REF!</v>
      </c>
      <c r="Z42" s="261" t="e">
        <f t="shared" si="275"/>
        <v>#REF!</v>
      </c>
      <c r="AA42" s="261" t="e">
        <f t="shared" si="275"/>
        <v>#REF!</v>
      </c>
      <c r="AB42" s="261" t="e">
        <f t="shared" si="275"/>
        <v>#REF!</v>
      </c>
      <c r="AC42" s="261" t="e">
        <f t="shared" si="275"/>
        <v>#REF!</v>
      </c>
      <c r="AD42" s="261" t="e">
        <f t="shared" si="275"/>
        <v>#REF!</v>
      </c>
      <c r="AE42" s="261" t="e">
        <f t="shared" si="275"/>
        <v>#REF!</v>
      </c>
      <c r="AF42" s="261" t="e">
        <f t="shared" si="275"/>
        <v>#REF!</v>
      </c>
      <c r="AG42" s="261" t="e">
        <f t="shared" si="275"/>
        <v>#REF!</v>
      </c>
      <c r="AH42" s="261" t="e">
        <f t="shared" si="275"/>
        <v>#REF!</v>
      </c>
      <c r="AI42" s="261" t="e">
        <f t="shared" si="275"/>
        <v>#REF!</v>
      </c>
      <c r="AJ42" s="261" t="e">
        <f t="shared" si="275"/>
        <v>#REF!</v>
      </c>
      <c r="AK42" s="261" t="e">
        <f t="shared" si="275"/>
        <v>#REF!</v>
      </c>
      <c r="AL42" s="261" t="e">
        <f t="shared" si="275"/>
        <v>#REF!</v>
      </c>
      <c r="AM42" s="261" t="e">
        <f t="shared" si="275"/>
        <v>#REF!</v>
      </c>
      <c r="AN42" s="261" t="e">
        <f t="shared" si="275"/>
        <v>#REF!</v>
      </c>
      <c r="AO42" s="261" t="e">
        <f t="shared" si="275"/>
        <v>#REF!</v>
      </c>
      <c r="AP42" s="261" t="e">
        <f t="shared" si="275"/>
        <v>#REF!</v>
      </c>
      <c r="AQ42" s="261" t="e">
        <f t="shared" si="275"/>
        <v>#REF!</v>
      </c>
      <c r="AR42" s="261" t="e">
        <f t="shared" si="275"/>
        <v>#REF!</v>
      </c>
      <c r="AS42" s="261" t="e">
        <f t="shared" si="275"/>
        <v>#REF!</v>
      </c>
      <c r="AT42" s="261" t="e">
        <f t="shared" si="275"/>
        <v>#REF!</v>
      </c>
      <c r="AU42" s="261" t="e">
        <f t="shared" si="275"/>
        <v>#REF!</v>
      </c>
      <c r="AV42" s="261" t="e">
        <f t="shared" si="275"/>
        <v>#REF!</v>
      </c>
      <c r="AW42" s="261" t="e">
        <f t="shared" si="275"/>
        <v>#REF!</v>
      </c>
      <c r="AX42" s="261" t="e">
        <f t="shared" si="275"/>
        <v>#REF!</v>
      </c>
      <c r="AY42" s="261" t="e">
        <f t="shared" si="275"/>
        <v>#REF!</v>
      </c>
      <c r="AZ42" s="261" t="e">
        <f t="shared" si="275"/>
        <v>#REF!</v>
      </c>
      <c r="BA42" s="261" t="e">
        <f t="shared" si="275"/>
        <v>#REF!</v>
      </c>
      <c r="BB42" s="261" t="e">
        <f t="shared" si="275"/>
        <v>#REF!</v>
      </c>
      <c r="BC42" s="261" t="e">
        <f t="shared" si="275"/>
        <v>#REF!</v>
      </c>
      <c r="BD42" s="261" t="e">
        <f t="shared" si="275"/>
        <v>#REF!</v>
      </c>
      <c r="BE42" s="261" t="e">
        <f t="shared" si="275"/>
        <v>#REF!</v>
      </c>
      <c r="BF42" s="261" t="e">
        <f t="shared" si="275"/>
        <v>#REF!</v>
      </c>
      <c r="BG42" s="261" t="e">
        <f t="shared" si="275"/>
        <v>#REF!</v>
      </c>
      <c r="BH42" s="261" t="e">
        <f t="shared" si="275"/>
        <v>#REF!</v>
      </c>
      <c r="BI42" s="261" t="e">
        <f t="shared" si="275"/>
        <v>#REF!</v>
      </c>
      <c r="BJ42" s="261" t="e">
        <f t="shared" si="275"/>
        <v>#REF!</v>
      </c>
      <c r="BK42" s="261" t="e">
        <f t="shared" si="275"/>
        <v>#REF!</v>
      </c>
      <c r="BL42" s="261" t="e">
        <f t="shared" si="275"/>
        <v>#REF!</v>
      </c>
      <c r="BM42" s="261" t="e">
        <f t="shared" si="275"/>
        <v>#REF!</v>
      </c>
      <c r="BN42" s="261" t="e">
        <f t="shared" si="275"/>
        <v>#REF!</v>
      </c>
      <c r="BO42" s="261" t="e">
        <f t="shared" si="275"/>
        <v>#REF!</v>
      </c>
      <c r="BP42" s="261" t="e">
        <f t="shared" si="275"/>
        <v>#REF!</v>
      </c>
      <c r="BQ42" s="261" t="e">
        <f t="shared" ref="BQ42:EB42" si="276">+BQ44+BQ52</f>
        <v>#REF!</v>
      </c>
      <c r="BR42" s="261" t="e">
        <f t="shared" si="276"/>
        <v>#REF!</v>
      </c>
      <c r="BS42" s="261" t="e">
        <f t="shared" si="276"/>
        <v>#REF!</v>
      </c>
      <c r="BT42" s="261" t="e">
        <f t="shared" si="276"/>
        <v>#REF!</v>
      </c>
      <c r="BU42" s="261" t="e">
        <f t="shared" si="276"/>
        <v>#REF!</v>
      </c>
      <c r="BV42" s="261" t="e">
        <f t="shared" si="276"/>
        <v>#REF!</v>
      </c>
      <c r="BW42" s="261" t="e">
        <f t="shared" si="276"/>
        <v>#REF!</v>
      </c>
      <c r="BX42" s="261" t="e">
        <f t="shared" si="276"/>
        <v>#REF!</v>
      </c>
      <c r="BY42" s="261" t="e">
        <f t="shared" si="276"/>
        <v>#REF!</v>
      </c>
      <c r="BZ42" s="261" t="e">
        <f t="shared" si="276"/>
        <v>#REF!</v>
      </c>
      <c r="CA42" s="261" t="e">
        <f t="shared" si="276"/>
        <v>#REF!</v>
      </c>
      <c r="CB42" s="261" t="e">
        <f t="shared" si="276"/>
        <v>#REF!</v>
      </c>
      <c r="CC42" s="261" t="e">
        <f t="shared" si="276"/>
        <v>#REF!</v>
      </c>
      <c r="CD42" s="261" t="e">
        <f t="shared" si="276"/>
        <v>#REF!</v>
      </c>
      <c r="CE42" s="261" t="e">
        <f t="shared" si="276"/>
        <v>#REF!</v>
      </c>
      <c r="CF42" s="261" t="e">
        <f t="shared" si="276"/>
        <v>#REF!</v>
      </c>
      <c r="CG42" s="261" t="e">
        <f t="shared" si="276"/>
        <v>#REF!</v>
      </c>
      <c r="CH42" s="261" t="e">
        <f t="shared" si="276"/>
        <v>#REF!</v>
      </c>
      <c r="CI42" s="261" t="e">
        <f t="shared" si="276"/>
        <v>#REF!</v>
      </c>
      <c r="CJ42" s="261" t="e">
        <f t="shared" si="276"/>
        <v>#REF!</v>
      </c>
      <c r="CK42" s="261" t="e">
        <f t="shared" si="276"/>
        <v>#REF!</v>
      </c>
      <c r="CL42" s="261" t="e">
        <f t="shared" si="276"/>
        <v>#REF!</v>
      </c>
      <c r="CM42" s="261" t="e">
        <f t="shared" si="276"/>
        <v>#REF!</v>
      </c>
      <c r="CN42" s="261" t="e">
        <f t="shared" si="276"/>
        <v>#REF!</v>
      </c>
      <c r="CO42" s="261" t="e">
        <f t="shared" si="276"/>
        <v>#REF!</v>
      </c>
      <c r="CP42" s="261" t="e">
        <f t="shared" si="276"/>
        <v>#REF!</v>
      </c>
      <c r="CQ42" s="261" t="e">
        <f t="shared" si="276"/>
        <v>#REF!</v>
      </c>
      <c r="CR42" s="261" t="e">
        <f t="shared" si="276"/>
        <v>#REF!</v>
      </c>
      <c r="CS42" s="261" t="e">
        <f t="shared" si="276"/>
        <v>#REF!</v>
      </c>
      <c r="CT42" s="261" t="e">
        <f t="shared" si="276"/>
        <v>#REF!</v>
      </c>
      <c r="CU42" s="261" t="e">
        <f t="shared" si="276"/>
        <v>#REF!</v>
      </c>
      <c r="CV42" s="261" t="e">
        <f t="shared" si="276"/>
        <v>#REF!</v>
      </c>
      <c r="CW42" s="261" t="e">
        <f t="shared" si="276"/>
        <v>#REF!</v>
      </c>
      <c r="CX42" s="261" t="e">
        <f t="shared" si="276"/>
        <v>#REF!</v>
      </c>
      <c r="CY42" s="261" t="e">
        <f t="shared" si="276"/>
        <v>#REF!</v>
      </c>
      <c r="CZ42" s="261" t="e">
        <f t="shared" si="276"/>
        <v>#REF!</v>
      </c>
      <c r="DA42" s="261" t="e">
        <f t="shared" si="276"/>
        <v>#REF!</v>
      </c>
      <c r="DB42" s="261" t="e">
        <f t="shared" si="276"/>
        <v>#REF!</v>
      </c>
      <c r="DC42" s="261" t="e">
        <f t="shared" si="276"/>
        <v>#REF!</v>
      </c>
      <c r="DD42" s="261" t="e">
        <f t="shared" si="276"/>
        <v>#REF!</v>
      </c>
      <c r="DE42" s="261" t="e">
        <f t="shared" si="276"/>
        <v>#REF!</v>
      </c>
      <c r="DF42" s="261" t="e">
        <f t="shared" si="276"/>
        <v>#REF!</v>
      </c>
      <c r="DG42" s="261" t="e">
        <f t="shared" si="276"/>
        <v>#REF!</v>
      </c>
      <c r="DH42" s="261" t="e">
        <f t="shared" si="276"/>
        <v>#REF!</v>
      </c>
      <c r="DI42" s="261" t="e">
        <f t="shared" si="276"/>
        <v>#REF!</v>
      </c>
      <c r="DJ42" s="261" t="e">
        <f t="shared" si="276"/>
        <v>#REF!</v>
      </c>
      <c r="DK42" s="261" t="e">
        <f t="shared" si="276"/>
        <v>#REF!</v>
      </c>
      <c r="DL42" s="261" t="e">
        <f t="shared" si="276"/>
        <v>#REF!</v>
      </c>
      <c r="DM42" s="261" t="e">
        <f t="shared" si="276"/>
        <v>#REF!</v>
      </c>
      <c r="DN42" s="261" t="e">
        <f t="shared" si="276"/>
        <v>#REF!</v>
      </c>
      <c r="DO42" s="261" t="e">
        <f t="shared" si="276"/>
        <v>#REF!</v>
      </c>
      <c r="DP42" s="261" t="e">
        <f t="shared" si="276"/>
        <v>#REF!</v>
      </c>
      <c r="DQ42" s="261" t="e">
        <f t="shared" si="276"/>
        <v>#REF!</v>
      </c>
      <c r="DR42" s="261" t="e">
        <f t="shared" si="276"/>
        <v>#REF!</v>
      </c>
      <c r="DT42" s="261" t="e">
        <f t="shared" si="276"/>
        <v>#REF!</v>
      </c>
      <c r="DU42" s="261" t="e">
        <f t="shared" si="276"/>
        <v>#REF!</v>
      </c>
      <c r="DV42" s="261" t="e">
        <f t="shared" si="276"/>
        <v>#REF!</v>
      </c>
      <c r="DW42" s="261" t="e">
        <f t="shared" si="276"/>
        <v>#REF!</v>
      </c>
      <c r="DX42" s="261" t="e">
        <f t="shared" si="276"/>
        <v>#REF!</v>
      </c>
      <c r="DY42" s="261" t="e">
        <f t="shared" si="276"/>
        <v>#REF!</v>
      </c>
      <c r="DZ42" s="261" t="e">
        <f t="shared" si="276"/>
        <v>#REF!</v>
      </c>
      <c r="EA42" s="261" t="e">
        <f t="shared" si="276"/>
        <v>#REF!</v>
      </c>
      <c r="EB42" s="261" t="e">
        <f t="shared" si="276"/>
        <v>#REF!</v>
      </c>
      <c r="EC42" s="261" t="e">
        <f t="shared" ref="EC42" si="277">+EC44+EC52</f>
        <v>#REF!</v>
      </c>
    </row>
    <row r="43" ht="14.5">
      <c r="A43" s="107"/>
    </row>
    <row r="44" ht="15.5">
      <c r="A44" s="310" t="s">
        <v>1255</v>
      </c>
      <c r="C44" s="100" t="e">
        <f>+SUM(C45:C50)</f>
        <v>#REF!</v>
      </c>
      <c r="D44" s="100" t="e">
        <f>+SUM(D45:D50)</f>
        <v>#REF!</v>
      </c>
      <c r="E44" s="100" t="e">
        <f t="shared" ref="E44:I44" si="278">+SUM(E45:E50)</f>
        <v>#REF!</v>
      </c>
      <c r="F44" s="100" t="e">
        <f t="shared" si="278"/>
        <v>#REF!</v>
      </c>
      <c r="G44" s="100" t="e">
        <f t="shared" si="278"/>
        <v>#REF!</v>
      </c>
      <c r="H44" s="100" t="e">
        <f t="shared" si="278"/>
        <v>#REF!</v>
      </c>
      <c r="I44" s="100" t="e">
        <f t="shared" si="278"/>
        <v>#REF!</v>
      </c>
      <c r="J44" s="100" t="e">
        <f t="shared" ref="J44" si="279">+SUM(J45:J50)</f>
        <v>#REF!</v>
      </c>
      <c r="K44" s="100" t="e">
        <f t="shared" ref="K44" si="280">+SUM(K45:K50)</f>
        <v>#REF!</v>
      </c>
      <c r="L44" s="100" t="e">
        <f t="shared" ref="L44" si="281">+SUM(L45:L50)</f>
        <v>#REF!</v>
      </c>
      <c r="M44" s="100" t="e">
        <f t="shared" ref="M44" si="282">+SUM(M45:M50)</f>
        <v>#REF!</v>
      </c>
      <c r="N44" s="100" t="e">
        <f t="shared" ref="N44" si="283">+SUM(N45:N50)</f>
        <v>#REF!</v>
      </c>
      <c r="O44" s="100" t="e">
        <f t="shared" ref="O44" si="284">+SUM(O45:O50)</f>
        <v>#REF!</v>
      </c>
      <c r="P44" s="100" t="e">
        <f t="shared" ref="P44" si="285">+SUM(P45:P50)</f>
        <v>#REF!</v>
      </c>
      <c r="Q44" s="100" t="e">
        <f t="shared" ref="Q44" si="286">+SUM(Q45:Q50)</f>
        <v>#REF!</v>
      </c>
      <c r="R44" s="100" t="e">
        <f t="shared" ref="R44" si="287">+SUM(R45:R50)</f>
        <v>#REF!</v>
      </c>
      <c r="S44" s="100" t="e">
        <f t="shared" ref="S44" si="288">+SUM(S45:S50)</f>
        <v>#REF!</v>
      </c>
      <c r="T44" s="100" t="e">
        <f t="shared" ref="T44" si="289">+SUM(T45:T50)</f>
        <v>#REF!</v>
      </c>
      <c r="U44" s="100" t="e">
        <f t="shared" ref="U44" si="290">+SUM(U45:U50)</f>
        <v>#REF!</v>
      </c>
      <c r="V44" s="100" t="e">
        <f t="shared" ref="V44" si="291">+SUM(V45:V50)</f>
        <v>#REF!</v>
      </c>
      <c r="W44" s="100" t="e">
        <f t="shared" ref="W44" si="292">+SUM(W45:W50)</f>
        <v>#REF!</v>
      </c>
      <c r="X44" s="100" t="e">
        <f t="shared" ref="X44" si="293">+SUM(X45:X50)</f>
        <v>#REF!</v>
      </c>
      <c r="Y44" s="100" t="e">
        <f t="shared" ref="Y44" si="294">+SUM(Y45:Y50)</f>
        <v>#REF!</v>
      </c>
      <c r="Z44" s="100" t="e">
        <f t="shared" ref="Z44" si="295">+SUM(Z45:Z50)</f>
        <v>#REF!</v>
      </c>
      <c r="AA44" s="100" t="e">
        <f t="shared" ref="AA44" si="296">+SUM(AA45:AA50)</f>
        <v>#REF!</v>
      </c>
      <c r="AB44" s="100" t="e">
        <f t="shared" ref="AB44" si="297">+SUM(AB45:AB50)</f>
        <v>#REF!</v>
      </c>
      <c r="AC44" s="100" t="e">
        <f t="shared" ref="AC44" si="298">+SUM(AC45:AC50)</f>
        <v>#REF!</v>
      </c>
      <c r="AD44" s="100" t="e">
        <f t="shared" ref="AD44" si="299">+SUM(AD45:AD50)</f>
        <v>#REF!</v>
      </c>
      <c r="AE44" s="100" t="e">
        <f t="shared" ref="AE44" si="300">+SUM(AE45:AE50)</f>
        <v>#REF!</v>
      </c>
      <c r="AF44" s="100" t="e">
        <f t="shared" ref="AF44" si="301">+SUM(AF45:AF50)</f>
        <v>#REF!</v>
      </c>
      <c r="AG44" s="100" t="e">
        <f t="shared" ref="AG44" si="302">+SUM(AG45:AG50)</f>
        <v>#REF!</v>
      </c>
      <c r="AH44" s="100" t="e">
        <f t="shared" ref="AH44" si="303">+SUM(AH45:AH50)</f>
        <v>#REF!</v>
      </c>
      <c r="AI44" s="100" t="e">
        <f t="shared" ref="AI44" si="304">+SUM(AI45:AI50)</f>
        <v>#REF!</v>
      </c>
      <c r="AJ44" s="100" t="e">
        <f t="shared" ref="AJ44" si="305">+SUM(AJ45:AJ50)</f>
        <v>#REF!</v>
      </c>
      <c r="AK44" s="100" t="e">
        <f t="shared" ref="AK44" si="306">+SUM(AK45:AK50)</f>
        <v>#REF!</v>
      </c>
      <c r="AL44" s="100" t="e">
        <f t="shared" ref="AL44" si="307">+SUM(AL45:AL50)</f>
        <v>#REF!</v>
      </c>
      <c r="AM44" s="100" t="e">
        <f t="shared" ref="AM44" si="308">+SUM(AM45:AM50)</f>
        <v>#REF!</v>
      </c>
      <c r="AN44" s="100" t="e">
        <f t="shared" ref="AN44" si="309">+SUM(AN45:AN50)</f>
        <v>#REF!</v>
      </c>
      <c r="AO44" s="100" t="e">
        <f t="shared" ref="AO44" si="310">+SUM(AO45:AO50)</f>
        <v>#REF!</v>
      </c>
      <c r="AP44" s="100" t="e">
        <f t="shared" ref="AP44" si="311">+SUM(AP45:AP50)</f>
        <v>#REF!</v>
      </c>
      <c r="AQ44" s="100" t="e">
        <f t="shared" ref="AQ44" si="312">+SUM(AQ45:AQ50)</f>
        <v>#REF!</v>
      </c>
      <c r="AR44" s="100" t="e">
        <f t="shared" ref="AR44" si="313">+SUM(AR45:AR50)</f>
        <v>#REF!</v>
      </c>
      <c r="AS44" s="100" t="e">
        <f t="shared" ref="AS44" si="314">+SUM(AS45:AS50)</f>
        <v>#REF!</v>
      </c>
      <c r="AT44" s="100" t="e">
        <f t="shared" ref="AT44" si="315">+SUM(AT45:AT50)</f>
        <v>#REF!</v>
      </c>
      <c r="AU44" s="100" t="e">
        <f t="shared" ref="AU44" si="316">+SUM(AU45:AU50)</f>
        <v>#REF!</v>
      </c>
      <c r="AV44" s="100" t="e">
        <f t="shared" ref="AV44" si="317">+SUM(AV45:AV50)</f>
        <v>#REF!</v>
      </c>
      <c r="AW44" s="100" t="e">
        <f t="shared" ref="AW44" si="318">+SUM(AW45:AW50)</f>
        <v>#REF!</v>
      </c>
      <c r="AX44" s="100" t="e">
        <f t="shared" ref="AX44" si="319">+SUM(AX45:AX50)</f>
        <v>#REF!</v>
      </c>
      <c r="AY44" s="100" t="e">
        <f t="shared" ref="AY44" si="320">+SUM(AY45:AY50)</f>
        <v>#REF!</v>
      </c>
      <c r="AZ44" s="100" t="e">
        <f t="shared" ref="AZ44" si="321">+SUM(AZ45:AZ50)</f>
        <v>#REF!</v>
      </c>
      <c r="BA44" s="100" t="e">
        <f t="shared" ref="BA44" si="322">+SUM(BA45:BA50)</f>
        <v>#REF!</v>
      </c>
      <c r="BB44" s="100" t="e">
        <f t="shared" ref="BB44" si="323">+SUM(BB45:BB50)</f>
        <v>#REF!</v>
      </c>
      <c r="BC44" s="100" t="e">
        <f t="shared" ref="BC44" si="324">+SUM(BC45:BC50)</f>
        <v>#REF!</v>
      </c>
      <c r="BD44" s="100" t="e">
        <f t="shared" ref="BD44" si="325">+SUM(BD45:BD50)</f>
        <v>#REF!</v>
      </c>
      <c r="BE44" s="100" t="e">
        <f t="shared" ref="BE44" si="326">+SUM(BE45:BE50)</f>
        <v>#REF!</v>
      </c>
      <c r="BF44" s="100" t="e">
        <f t="shared" ref="BF44" si="327">+SUM(BF45:BF50)</f>
        <v>#REF!</v>
      </c>
      <c r="BG44" s="100" t="e">
        <f t="shared" ref="BG44" si="328">+SUM(BG45:BG50)</f>
        <v>#REF!</v>
      </c>
      <c r="BH44" s="100" t="e">
        <f t="shared" ref="BH44" si="329">+SUM(BH45:BH50)</f>
        <v>#REF!</v>
      </c>
      <c r="BI44" s="100" t="e">
        <f t="shared" ref="BI44" si="330">+SUM(BI45:BI50)</f>
        <v>#REF!</v>
      </c>
      <c r="BJ44" s="100" t="e">
        <f t="shared" ref="BJ44" si="331">+SUM(BJ45:BJ50)</f>
        <v>#REF!</v>
      </c>
      <c r="BK44" s="100" t="e">
        <f t="shared" ref="BK44" si="332">+SUM(BK45:BK50)</f>
        <v>#REF!</v>
      </c>
      <c r="BL44" s="100" t="e">
        <f t="shared" ref="BL44" si="333">+SUM(BL45:BL50)</f>
        <v>#REF!</v>
      </c>
      <c r="BM44" s="100" t="e">
        <f t="shared" ref="BM44" si="334">+SUM(BM45:BM50)</f>
        <v>#REF!</v>
      </c>
      <c r="BN44" s="100" t="e">
        <f t="shared" ref="BN44" si="335">+SUM(BN45:BN50)</f>
        <v>#REF!</v>
      </c>
      <c r="BO44" s="100" t="e">
        <f t="shared" ref="BO44" si="336">+SUM(BO45:BO50)</f>
        <v>#REF!</v>
      </c>
      <c r="BP44" s="100" t="e">
        <f t="shared" ref="BP44" si="337">+SUM(BP45:BP50)</f>
        <v>#REF!</v>
      </c>
      <c r="BQ44" s="100" t="e">
        <f t="shared" ref="BQ44" si="338">+SUM(BQ45:BQ50)</f>
        <v>#REF!</v>
      </c>
      <c r="BR44" s="100" t="e">
        <f t="shared" ref="BR44" si="339">+SUM(BR45:BR50)</f>
        <v>#REF!</v>
      </c>
      <c r="BS44" s="100" t="e">
        <f t="shared" ref="BS44" si="340">+SUM(BS45:BS50)</f>
        <v>#REF!</v>
      </c>
      <c r="BT44" s="100" t="e">
        <f t="shared" ref="BT44" si="341">+SUM(BT45:BT50)</f>
        <v>#REF!</v>
      </c>
      <c r="BU44" s="100" t="e">
        <f t="shared" ref="BU44" si="342">+SUM(BU45:BU50)</f>
        <v>#REF!</v>
      </c>
      <c r="BV44" s="100" t="e">
        <f t="shared" ref="BV44" si="343">+SUM(BV45:BV50)</f>
        <v>#REF!</v>
      </c>
      <c r="BW44" s="100" t="e">
        <f t="shared" ref="BW44" si="344">+SUM(BW45:BW50)</f>
        <v>#REF!</v>
      </c>
      <c r="BX44" s="100" t="e">
        <f t="shared" ref="BX44" si="345">+SUM(BX45:BX50)</f>
        <v>#REF!</v>
      </c>
      <c r="BY44" s="100" t="e">
        <f t="shared" ref="BY44" si="346">+SUM(BY45:BY50)</f>
        <v>#REF!</v>
      </c>
      <c r="BZ44" s="100" t="e">
        <f t="shared" ref="BZ44" si="347">+SUM(BZ45:BZ50)</f>
        <v>#REF!</v>
      </c>
      <c r="CA44" s="100" t="e">
        <f t="shared" ref="CA44" si="348">+SUM(CA45:CA50)</f>
        <v>#REF!</v>
      </c>
      <c r="CB44" s="100" t="e">
        <f t="shared" ref="CB44" si="349">+SUM(CB45:CB50)</f>
        <v>#REF!</v>
      </c>
      <c r="CC44" s="100" t="e">
        <f t="shared" ref="CC44" si="350">+SUM(CC45:CC50)</f>
        <v>#REF!</v>
      </c>
      <c r="CD44" s="100" t="e">
        <f t="shared" ref="CD44" si="351">+SUM(CD45:CD50)</f>
        <v>#REF!</v>
      </c>
      <c r="CE44" s="100" t="e">
        <f t="shared" ref="CE44" si="352">+SUM(CE45:CE50)</f>
        <v>#REF!</v>
      </c>
      <c r="CF44" s="100" t="e">
        <f t="shared" ref="CF44" si="353">+SUM(CF45:CF50)</f>
        <v>#REF!</v>
      </c>
      <c r="CG44" s="100" t="e">
        <f t="shared" ref="CG44" si="354">+SUM(CG45:CG50)</f>
        <v>#REF!</v>
      </c>
      <c r="CH44" s="100" t="e">
        <f t="shared" ref="CH44" si="355">+SUM(CH45:CH50)</f>
        <v>#REF!</v>
      </c>
      <c r="CI44" s="100" t="e">
        <f t="shared" ref="CI44" si="356">+SUM(CI45:CI50)</f>
        <v>#REF!</v>
      </c>
      <c r="CJ44" s="100" t="e">
        <f t="shared" ref="CJ44" si="357">+SUM(CJ45:CJ50)</f>
        <v>#REF!</v>
      </c>
      <c r="CK44" s="100" t="e">
        <f t="shared" ref="CK44" si="358">+SUM(CK45:CK50)</f>
        <v>#REF!</v>
      </c>
      <c r="CL44" s="100" t="e">
        <f t="shared" ref="CL44" si="359">+SUM(CL45:CL50)</f>
        <v>#REF!</v>
      </c>
      <c r="CM44" s="100" t="e">
        <f t="shared" ref="CM44" si="360">+SUM(CM45:CM50)</f>
        <v>#REF!</v>
      </c>
      <c r="CN44" s="100" t="e">
        <f t="shared" ref="CN44" si="361">+SUM(CN45:CN50)</f>
        <v>#REF!</v>
      </c>
      <c r="CO44" s="100" t="e">
        <f t="shared" ref="CO44" si="362">+SUM(CO45:CO50)</f>
        <v>#REF!</v>
      </c>
      <c r="CP44" s="100" t="e">
        <f t="shared" ref="CP44" si="363">+SUM(CP45:CP50)</f>
        <v>#REF!</v>
      </c>
      <c r="CQ44" s="100" t="e">
        <f t="shared" ref="CQ44" si="364">+SUM(CQ45:CQ50)</f>
        <v>#REF!</v>
      </c>
      <c r="CR44" s="100" t="e">
        <f t="shared" ref="CR44" si="365">+SUM(CR45:CR50)</f>
        <v>#REF!</v>
      </c>
      <c r="CS44" s="100" t="e">
        <f t="shared" ref="CS44" si="366">+SUM(CS45:CS50)</f>
        <v>#REF!</v>
      </c>
      <c r="CT44" s="100" t="e">
        <f t="shared" ref="CT44" si="367">+SUM(CT45:CT50)</f>
        <v>#REF!</v>
      </c>
      <c r="CU44" s="100" t="e">
        <f t="shared" ref="CU44" si="368">+SUM(CU45:CU50)</f>
        <v>#REF!</v>
      </c>
      <c r="CV44" s="100" t="e">
        <f t="shared" ref="CV44" si="369">+SUM(CV45:CV50)</f>
        <v>#REF!</v>
      </c>
      <c r="CW44" s="100" t="e">
        <f t="shared" ref="CW44" si="370">+SUM(CW45:CW50)</f>
        <v>#REF!</v>
      </c>
      <c r="CX44" s="100" t="e">
        <f t="shared" ref="CX44" si="371">+SUM(CX45:CX50)</f>
        <v>#REF!</v>
      </c>
      <c r="CY44" s="100" t="e">
        <f t="shared" ref="CY44" si="372">+SUM(CY45:CY50)</f>
        <v>#REF!</v>
      </c>
      <c r="CZ44" s="100" t="e">
        <f t="shared" ref="CZ44" si="373">+SUM(CZ45:CZ50)</f>
        <v>#REF!</v>
      </c>
      <c r="DA44" s="100" t="e">
        <f t="shared" ref="DA44" si="374">+SUM(DA45:DA50)</f>
        <v>#REF!</v>
      </c>
      <c r="DB44" s="100" t="e">
        <f t="shared" ref="DB44" si="375">+SUM(DB45:DB50)</f>
        <v>#REF!</v>
      </c>
      <c r="DC44" s="100" t="e">
        <f t="shared" ref="DC44" si="376">+SUM(DC45:DC50)</f>
        <v>#REF!</v>
      </c>
      <c r="DD44" s="100" t="e">
        <f t="shared" ref="DD44" si="377">+SUM(DD45:DD50)</f>
        <v>#REF!</v>
      </c>
      <c r="DE44" s="100" t="e">
        <f t="shared" ref="DE44" si="378">+SUM(DE45:DE50)</f>
        <v>#REF!</v>
      </c>
      <c r="DF44" s="100" t="e">
        <f t="shared" ref="DF44" si="379">+SUM(DF45:DF50)</f>
        <v>#REF!</v>
      </c>
      <c r="DG44" s="100" t="e">
        <f t="shared" ref="DG44" si="380">+SUM(DG45:DG50)</f>
        <v>#REF!</v>
      </c>
      <c r="DH44" s="100" t="e">
        <f t="shared" ref="DH44" si="381">+SUM(DH45:DH50)</f>
        <v>#REF!</v>
      </c>
      <c r="DI44" s="100" t="e">
        <f t="shared" ref="DI44" si="382">+SUM(DI45:DI50)</f>
        <v>#REF!</v>
      </c>
      <c r="DJ44" s="100" t="e">
        <f t="shared" ref="DJ44" si="383">+SUM(DJ45:DJ50)</f>
        <v>#REF!</v>
      </c>
      <c r="DK44" s="100" t="e">
        <f t="shared" ref="DK44" si="384">+SUM(DK45:DK50)</f>
        <v>#REF!</v>
      </c>
      <c r="DL44" s="100" t="e">
        <f t="shared" ref="DL44" si="385">+SUM(DL45:DL50)</f>
        <v>#REF!</v>
      </c>
      <c r="DM44" s="100" t="e">
        <f t="shared" ref="DM44" si="386">+SUM(DM45:DM50)</f>
        <v>#REF!</v>
      </c>
      <c r="DN44" s="100" t="e">
        <f t="shared" ref="DN44" si="387">+SUM(DN45:DN50)</f>
        <v>#REF!</v>
      </c>
      <c r="DO44" s="100" t="e">
        <f t="shared" ref="DO44" si="388">+SUM(DO45:DO50)</f>
        <v>#REF!</v>
      </c>
      <c r="DP44" s="100" t="e">
        <f t="shared" ref="DP44" si="389">+SUM(DP45:DP50)</f>
        <v>#REF!</v>
      </c>
      <c r="DQ44" s="100" t="e">
        <f t="shared" ref="DQ44" si="390">+SUM(DQ45:DQ50)</f>
        <v>#REF!</v>
      </c>
      <c r="DR44" s="100" t="e">
        <f t="shared" ref="DR44:EC44" si="391">+SUM(DR45:DR50)</f>
        <v>#REF!</v>
      </c>
      <c r="DT44" s="100" t="e">
        <f t="shared" si="391"/>
        <v>#REF!</v>
      </c>
      <c r="DU44" s="100" t="e">
        <f t="shared" si="391"/>
        <v>#REF!</v>
      </c>
      <c r="DV44" s="100" t="e">
        <f t="shared" si="391"/>
        <v>#REF!</v>
      </c>
      <c r="DW44" s="100" t="e">
        <f t="shared" si="391"/>
        <v>#REF!</v>
      </c>
      <c r="DX44" s="100" t="e">
        <f t="shared" si="391"/>
        <v>#REF!</v>
      </c>
      <c r="DY44" s="100" t="e">
        <f t="shared" si="391"/>
        <v>#REF!</v>
      </c>
      <c r="DZ44" s="100" t="e">
        <f t="shared" si="391"/>
        <v>#REF!</v>
      </c>
      <c r="EA44" s="100" t="e">
        <f t="shared" si="391"/>
        <v>#REF!</v>
      </c>
      <c r="EB44" s="100" t="e">
        <f t="shared" si="391"/>
        <v>#REF!</v>
      </c>
      <c r="EC44" s="100" t="e">
        <f t="shared" si="391"/>
        <v>#REF!</v>
      </c>
    </row>
    <row r="45" ht="14.5">
      <c r="A45" t="s">
        <v>1256</v>
      </c>
      <c r="C45" s="144" t="e">
        <f>+#REF!</f>
        <v>#REF!</v>
      </c>
      <c r="D45" s="144" t="e">
        <f>+#REF!</f>
        <v>#REF!</v>
      </c>
      <c r="E45" s="144" t="e">
        <f>+#REF!</f>
        <v>#REF!</v>
      </c>
      <c r="F45" s="144" t="e">
        <f>+#REF!</f>
        <v>#REF!</v>
      </c>
      <c r="G45" s="144" t="e">
        <f>+#REF!</f>
        <v>#REF!</v>
      </c>
      <c r="H45" s="144" t="e">
        <f>+#REF!</f>
        <v>#REF!</v>
      </c>
      <c r="I45" s="144" t="e">
        <f>+#REF!</f>
        <v>#REF!</v>
      </c>
      <c r="J45" s="144" t="e">
        <f>+#REF!</f>
        <v>#REF!</v>
      </c>
      <c r="K45" s="144" t="e">
        <f>+#REF!</f>
        <v>#REF!</v>
      </c>
      <c r="L45" s="144" t="e">
        <f>+#REF!</f>
        <v>#REF!</v>
      </c>
      <c r="M45" s="144" t="e">
        <f>+#REF!</f>
        <v>#REF!</v>
      </c>
      <c r="N45" s="144" t="e">
        <f>+#REF!</f>
        <v>#REF!</v>
      </c>
      <c r="O45" s="144" t="e">
        <f>+#REF!</f>
        <v>#REF!</v>
      </c>
      <c r="P45" s="144" t="e">
        <f>+#REF!</f>
        <v>#REF!</v>
      </c>
      <c r="Q45" s="144" t="e">
        <f>+#REF!</f>
        <v>#REF!</v>
      </c>
      <c r="R45" s="144" t="e">
        <f>+#REF!</f>
        <v>#REF!</v>
      </c>
      <c r="S45" s="144" t="e">
        <f>+#REF!</f>
        <v>#REF!</v>
      </c>
      <c r="T45" s="144" t="e">
        <f>+#REF!</f>
        <v>#REF!</v>
      </c>
      <c r="U45" s="144" t="e">
        <f>+#REF!</f>
        <v>#REF!</v>
      </c>
      <c r="V45" s="144" t="e">
        <f>+#REF!</f>
        <v>#REF!</v>
      </c>
      <c r="W45" s="144" t="e">
        <f>+#REF!</f>
        <v>#REF!</v>
      </c>
      <c r="X45" s="144" t="e">
        <f>+#REF!</f>
        <v>#REF!</v>
      </c>
      <c r="Y45" s="144" t="e">
        <f>+#REF!</f>
        <v>#REF!</v>
      </c>
      <c r="Z45" s="144" t="e">
        <f>+#REF!</f>
        <v>#REF!</v>
      </c>
      <c r="AA45" s="144" t="e">
        <f>+#REF!</f>
        <v>#REF!</v>
      </c>
      <c r="AB45" s="144" t="e">
        <f>+#REF!</f>
        <v>#REF!</v>
      </c>
      <c r="AC45" s="144" t="e">
        <f>+#REF!</f>
        <v>#REF!</v>
      </c>
      <c r="AD45" s="144" t="e">
        <f>+#REF!</f>
        <v>#REF!</v>
      </c>
      <c r="AE45" s="144" t="e">
        <f>+#REF!</f>
        <v>#REF!</v>
      </c>
      <c r="AF45" s="144" t="e">
        <f>+#REF!</f>
        <v>#REF!</v>
      </c>
      <c r="AG45" s="144" t="e">
        <f>+#REF!</f>
        <v>#REF!</v>
      </c>
      <c r="AH45" s="144" t="e">
        <f>+#REF!</f>
        <v>#REF!</v>
      </c>
      <c r="AI45" s="144" t="e">
        <f>+#REF!</f>
        <v>#REF!</v>
      </c>
      <c r="AJ45" s="144" t="e">
        <f>+#REF!</f>
        <v>#REF!</v>
      </c>
      <c r="AK45" s="144" t="e">
        <f>+#REF!</f>
        <v>#REF!</v>
      </c>
      <c r="AL45" s="144" t="e">
        <f>+#REF!</f>
        <v>#REF!</v>
      </c>
      <c r="AM45" s="144" t="e">
        <f>+#REF!</f>
        <v>#REF!</v>
      </c>
      <c r="AN45" s="144" t="e">
        <f>+#REF!</f>
        <v>#REF!</v>
      </c>
      <c r="AO45" s="144" t="e">
        <f>+#REF!</f>
        <v>#REF!</v>
      </c>
      <c r="AP45" s="144" t="e">
        <f>+#REF!</f>
        <v>#REF!</v>
      </c>
      <c r="AQ45" s="144" t="e">
        <f>+#REF!</f>
        <v>#REF!</v>
      </c>
      <c r="AR45" s="144" t="e">
        <f>+#REF!</f>
        <v>#REF!</v>
      </c>
      <c r="AS45" s="144" t="e">
        <f>+#REF!</f>
        <v>#REF!</v>
      </c>
      <c r="AT45" s="144" t="e">
        <f>+#REF!</f>
        <v>#REF!</v>
      </c>
      <c r="AU45" s="144" t="e">
        <f>+#REF!</f>
        <v>#REF!</v>
      </c>
      <c r="AV45" s="144" t="e">
        <f>+#REF!</f>
        <v>#REF!</v>
      </c>
      <c r="AW45" s="144" t="e">
        <f>+#REF!</f>
        <v>#REF!</v>
      </c>
      <c r="AX45" s="144" t="e">
        <f>+#REF!</f>
        <v>#REF!</v>
      </c>
      <c r="AY45" s="144" t="e">
        <f>+#REF!</f>
        <v>#REF!</v>
      </c>
      <c r="AZ45" s="144" t="e">
        <f>+#REF!</f>
        <v>#REF!</v>
      </c>
      <c r="BA45" s="144" t="e">
        <f>+#REF!</f>
        <v>#REF!</v>
      </c>
      <c r="BB45" s="144" t="e">
        <f>+#REF!</f>
        <v>#REF!</v>
      </c>
      <c r="BC45" s="144" t="e">
        <f>+#REF!</f>
        <v>#REF!</v>
      </c>
      <c r="BD45" s="144" t="e">
        <f>+#REF!</f>
        <v>#REF!</v>
      </c>
      <c r="BE45" s="144" t="e">
        <f>+#REF!</f>
        <v>#REF!</v>
      </c>
      <c r="BF45" s="144" t="e">
        <f>+#REF!</f>
        <v>#REF!</v>
      </c>
      <c r="BG45" s="144" t="e">
        <f>+#REF!</f>
        <v>#REF!</v>
      </c>
      <c r="BH45" s="144" t="e">
        <f>+#REF!</f>
        <v>#REF!</v>
      </c>
      <c r="BI45" s="144" t="e">
        <f>+#REF!</f>
        <v>#REF!</v>
      </c>
      <c r="BJ45" s="144" t="e">
        <f>+#REF!</f>
        <v>#REF!</v>
      </c>
      <c r="BK45" s="144" t="e">
        <f>+#REF!</f>
        <v>#REF!</v>
      </c>
      <c r="BL45" s="144" t="e">
        <f>+#REF!</f>
        <v>#REF!</v>
      </c>
      <c r="BM45" s="144" t="e">
        <f>+#REF!</f>
        <v>#REF!</v>
      </c>
      <c r="BN45" s="144" t="e">
        <f>+#REF!</f>
        <v>#REF!</v>
      </c>
      <c r="BO45" s="144" t="e">
        <f>+#REF!</f>
        <v>#REF!</v>
      </c>
      <c r="BP45" s="144" t="e">
        <f>+#REF!</f>
        <v>#REF!</v>
      </c>
      <c r="BQ45" s="144" t="e">
        <f>+#REF!</f>
        <v>#REF!</v>
      </c>
      <c r="BR45" s="144" t="e">
        <f>+#REF!</f>
        <v>#REF!</v>
      </c>
      <c r="BS45" s="144" t="e">
        <f>+#REF!</f>
        <v>#REF!</v>
      </c>
      <c r="BT45" s="144" t="e">
        <f>+#REF!</f>
        <v>#REF!</v>
      </c>
      <c r="BU45" s="144" t="e">
        <f>+#REF!</f>
        <v>#REF!</v>
      </c>
      <c r="BV45" s="144" t="e">
        <f>+#REF!</f>
        <v>#REF!</v>
      </c>
      <c r="BW45" s="144" t="e">
        <f>+#REF!</f>
        <v>#REF!</v>
      </c>
      <c r="BX45" s="144" t="e">
        <f>+#REF!</f>
        <v>#REF!</v>
      </c>
      <c r="BY45" s="144" t="e">
        <f>+#REF!</f>
        <v>#REF!</v>
      </c>
      <c r="BZ45" s="144" t="e">
        <f>+#REF!</f>
        <v>#REF!</v>
      </c>
      <c r="CA45" s="144" t="e">
        <f>+#REF!</f>
        <v>#REF!</v>
      </c>
      <c r="CB45" s="144" t="e">
        <f>+#REF!</f>
        <v>#REF!</v>
      </c>
      <c r="CC45" s="144" t="e">
        <f>+#REF!</f>
        <v>#REF!</v>
      </c>
      <c r="CD45" s="144" t="e">
        <f>+#REF!</f>
        <v>#REF!</v>
      </c>
      <c r="CE45" s="144" t="e">
        <f>+#REF!</f>
        <v>#REF!</v>
      </c>
      <c r="CF45" s="144" t="e">
        <f>+#REF!</f>
        <v>#REF!</v>
      </c>
      <c r="CG45" s="144" t="e">
        <f>+#REF!</f>
        <v>#REF!</v>
      </c>
      <c r="CH45" s="144" t="e">
        <f>+#REF!</f>
        <v>#REF!</v>
      </c>
      <c r="CI45" s="144" t="e">
        <f>+#REF!</f>
        <v>#REF!</v>
      </c>
      <c r="CJ45" s="144" t="e">
        <f>+#REF!</f>
        <v>#REF!</v>
      </c>
      <c r="CK45" s="144" t="e">
        <f>+#REF!</f>
        <v>#REF!</v>
      </c>
      <c r="CL45" s="144" t="e">
        <f>+#REF!</f>
        <v>#REF!</v>
      </c>
      <c r="CM45" s="144" t="e">
        <f>+#REF!</f>
        <v>#REF!</v>
      </c>
      <c r="CN45" s="144" t="e">
        <f>+#REF!</f>
        <v>#REF!</v>
      </c>
      <c r="CO45" s="144" t="e">
        <f>+#REF!</f>
        <v>#REF!</v>
      </c>
      <c r="CP45" s="144" t="e">
        <f>+#REF!</f>
        <v>#REF!</v>
      </c>
      <c r="CQ45" s="144" t="e">
        <f>+#REF!</f>
        <v>#REF!</v>
      </c>
      <c r="CR45" s="144" t="e">
        <f>+#REF!</f>
        <v>#REF!</v>
      </c>
      <c r="CS45" s="144" t="e">
        <f>+#REF!</f>
        <v>#REF!</v>
      </c>
      <c r="CT45" s="144" t="e">
        <f>+#REF!</f>
        <v>#REF!</v>
      </c>
      <c r="CU45" s="144" t="e">
        <f>+#REF!</f>
        <v>#REF!</v>
      </c>
      <c r="CV45" s="144" t="e">
        <f>+#REF!</f>
        <v>#REF!</v>
      </c>
      <c r="CW45" s="144" t="e">
        <f>+#REF!</f>
        <v>#REF!</v>
      </c>
      <c r="CX45" s="144" t="e">
        <f>+#REF!</f>
        <v>#REF!</v>
      </c>
      <c r="CY45" s="144" t="e">
        <f>+#REF!</f>
        <v>#REF!</v>
      </c>
      <c r="CZ45" s="144" t="e">
        <f>+#REF!</f>
        <v>#REF!</v>
      </c>
      <c r="DA45" s="144" t="e">
        <f>+#REF!</f>
        <v>#REF!</v>
      </c>
      <c r="DB45" s="144" t="e">
        <f>+#REF!</f>
        <v>#REF!</v>
      </c>
      <c r="DC45" s="144" t="e">
        <f>+#REF!</f>
        <v>#REF!</v>
      </c>
      <c r="DD45" s="144" t="e">
        <f>+#REF!</f>
        <v>#REF!</v>
      </c>
      <c r="DE45" s="144" t="e">
        <f>+#REF!</f>
        <v>#REF!</v>
      </c>
      <c r="DF45" s="144" t="e">
        <f>+#REF!</f>
        <v>#REF!</v>
      </c>
      <c r="DG45" s="144" t="e">
        <f>+#REF!</f>
        <v>#REF!</v>
      </c>
      <c r="DH45" s="144" t="e">
        <f>+#REF!</f>
        <v>#REF!</v>
      </c>
      <c r="DI45" s="144" t="e">
        <f>+#REF!</f>
        <v>#REF!</v>
      </c>
      <c r="DJ45" s="144" t="e">
        <f>+#REF!</f>
        <v>#REF!</v>
      </c>
      <c r="DK45" s="144" t="e">
        <f>+#REF!</f>
        <v>#REF!</v>
      </c>
      <c r="DL45" s="144" t="e">
        <f>+#REF!</f>
        <v>#REF!</v>
      </c>
      <c r="DM45" s="144" t="e">
        <f>+#REF!</f>
        <v>#REF!</v>
      </c>
      <c r="DN45" s="144" t="e">
        <f>+#REF!</f>
        <v>#REF!</v>
      </c>
      <c r="DO45" s="144" t="e">
        <f>+#REF!</f>
        <v>#REF!</v>
      </c>
      <c r="DP45" s="144" t="e">
        <f>+#REF!</f>
        <v>#REF!</v>
      </c>
      <c r="DQ45" s="144" t="e">
        <f>+#REF!</f>
        <v>#REF!</v>
      </c>
      <c r="DR45" s="144" t="e">
        <f>+#REF!</f>
        <v>#REF!</v>
      </c>
      <c r="DT45" s="144" t="e">
        <f t="shared" ref="DT45:EC50" si="392">+SUMIF($C$1:$DR$1,DT$1,$C45:$DR45)</f>
        <v>#REF!</v>
      </c>
      <c r="DU45" s="144" t="e">
        <f t="shared" si="392"/>
        <v>#REF!</v>
      </c>
      <c r="DV45" s="144" t="e">
        <f t="shared" si="392"/>
        <v>#REF!</v>
      </c>
      <c r="DW45" s="144" t="e">
        <f t="shared" si="392"/>
        <v>#REF!</v>
      </c>
      <c r="DX45" s="144" t="e">
        <f t="shared" si="392"/>
        <v>#REF!</v>
      </c>
      <c r="DY45" s="144" t="e">
        <f t="shared" si="392"/>
        <v>#REF!</v>
      </c>
      <c r="DZ45" s="144" t="e">
        <f t="shared" si="392"/>
        <v>#REF!</v>
      </c>
      <c r="EA45" s="144" t="e">
        <f t="shared" si="392"/>
        <v>#REF!</v>
      </c>
      <c r="EB45" s="144" t="e">
        <f t="shared" si="392"/>
        <v>#REF!</v>
      </c>
      <c r="EC45" s="144" t="e">
        <f t="shared" si="392"/>
        <v>#REF!</v>
      </c>
    </row>
    <row r="46" ht="14.5">
      <c r="A46" t="s">
        <v>1257</v>
      </c>
      <c r="C46" s="144" t="e">
        <f>-#REF!</f>
        <v>#REF!</v>
      </c>
      <c r="D46" s="144" t="e">
        <f>-#REF!</f>
        <v>#REF!</v>
      </c>
      <c r="E46" s="144" t="e">
        <f>-#REF!</f>
        <v>#REF!</v>
      </c>
      <c r="F46" s="144" t="e">
        <f>-#REF!</f>
        <v>#REF!</v>
      </c>
      <c r="G46" s="144" t="e">
        <f>-#REF!</f>
        <v>#REF!</v>
      </c>
      <c r="H46" s="144" t="e">
        <f>-#REF!</f>
        <v>#REF!</v>
      </c>
      <c r="I46" s="144" t="e">
        <f>-#REF!</f>
        <v>#REF!</v>
      </c>
      <c r="J46" s="144" t="e">
        <f>-#REF!</f>
        <v>#REF!</v>
      </c>
      <c r="K46" s="144" t="e">
        <f>-#REF!</f>
        <v>#REF!</v>
      </c>
      <c r="L46" s="144" t="e">
        <f>-#REF!</f>
        <v>#REF!</v>
      </c>
      <c r="M46" s="144" t="e">
        <f>-#REF!</f>
        <v>#REF!</v>
      </c>
      <c r="N46" s="144" t="e">
        <f>-#REF!</f>
        <v>#REF!</v>
      </c>
      <c r="O46" s="144" t="e">
        <f>-#REF!</f>
        <v>#REF!</v>
      </c>
      <c r="P46" s="144" t="e">
        <f>-#REF!</f>
        <v>#REF!</v>
      </c>
      <c r="Q46" s="144" t="e">
        <f>-#REF!</f>
        <v>#REF!</v>
      </c>
      <c r="R46" s="144" t="e">
        <f>-#REF!</f>
        <v>#REF!</v>
      </c>
      <c r="S46" s="144" t="e">
        <f>-#REF!</f>
        <v>#REF!</v>
      </c>
      <c r="T46" s="144" t="e">
        <f>-#REF!</f>
        <v>#REF!</v>
      </c>
      <c r="U46" s="144" t="e">
        <f>-#REF!</f>
        <v>#REF!</v>
      </c>
      <c r="V46" s="144" t="e">
        <f>-#REF!</f>
        <v>#REF!</v>
      </c>
      <c r="W46" s="144" t="e">
        <f>-#REF!</f>
        <v>#REF!</v>
      </c>
      <c r="X46" s="144" t="e">
        <f>-#REF!</f>
        <v>#REF!</v>
      </c>
      <c r="Y46" s="144" t="e">
        <f>-#REF!</f>
        <v>#REF!</v>
      </c>
      <c r="Z46" s="144" t="e">
        <f>-#REF!</f>
        <v>#REF!</v>
      </c>
      <c r="AA46" s="144" t="e">
        <f>-#REF!</f>
        <v>#REF!</v>
      </c>
      <c r="AB46" s="144" t="e">
        <f>-#REF!</f>
        <v>#REF!</v>
      </c>
      <c r="AC46" s="144" t="e">
        <f>-#REF!</f>
        <v>#REF!</v>
      </c>
      <c r="AD46" s="144" t="e">
        <f>-#REF!</f>
        <v>#REF!</v>
      </c>
      <c r="AE46" s="144" t="e">
        <f>-#REF!</f>
        <v>#REF!</v>
      </c>
      <c r="AF46" s="144" t="e">
        <f>-#REF!</f>
        <v>#REF!</v>
      </c>
      <c r="AG46" s="144" t="e">
        <f>-#REF!</f>
        <v>#REF!</v>
      </c>
      <c r="AH46" s="144" t="e">
        <f>-#REF!</f>
        <v>#REF!</v>
      </c>
      <c r="AI46" s="144" t="e">
        <f>-#REF!</f>
        <v>#REF!</v>
      </c>
      <c r="AJ46" s="144" t="e">
        <f>-#REF!</f>
        <v>#REF!</v>
      </c>
      <c r="AK46" s="144" t="e">
        <f>-#REF!</f>
        <v>#REF!</v>
      </c>
      <c r="AL46" s="144" t="e">
        <f>-#REF!</f>
        <v>#REF!</v>
      </c>
      <c r="AM46" s="144" t="e">
        <f>-#REF!</f>
        <v>#REF!</v>
      </c>
      <c r="AN46" s="144" t="e">
        <f>-#REF!</f>
        <v>#REF!</v>
      </c>
      <c r="AO46" s="144" t="e">
        <f>-#REF!</f>
        <v>#REF!</v>
      </c>
      <c r="AP46" s="144" t="e">
        <f>-#REF!</f>
        <v>#REF!</v>
      </c>
      <c r="AQ46" s="144" t="e">
        <f>-#REF!</f>
        <v>#REF!</v>
      </c>
      <c r="AR46" s="144" t="e">
        <f>-#REF!</f>
        <v>#REF!</v>
      </c>
      <c r="AS46" s="144" t="e">
        <f>-#REF!</f>
        <v>#REF!</v>
      </c>
      <c r="AT46" s="144" t="e">
        <f>-#REF!</f>
        <v>#REF!</v>
      </c>
      <c r="AU46" s="144" t="e">
        <f>-#REF!</f>
        <v>#REF!</v>
      </c>
      <c r="AV46" s="144" t="e">
        <f>-#REF!</f>
        <v>#REF!</v>
      </c>
      <c r="AW46" s="144" t="e">
        <f>-#REF!</f>
        <v>#REF!</v>
      </c>
      <c r="AX46" s="144" t="e">
        <f>-#REF!</f>
        <v>#REF!</v>
      </c>
      <c r="AY46" s="144" t="e">
        <f>-#REF!</f>
        <v>#REF!</v>
      </c>
      <c r="AZ46" s="144" t="e">
        <f>-#REF!</f>
        <v>#REF!</v>
      </c>
      <c r="BA46" s="144" t="e">
        <f>-#REF!</f>
        <v>#REF!</v>
      </c>
      <c r="BB46" s="144" t="e">
        <f>-#REF!</f>
        <v>#REF!</v>
      </c>
      <c r="BC46" s="144" t="e">
        <f>-#REF!</f>
        <v>#REF!</v>
      </c>
      <c r="BD46" s="144" t="e">
        <f>-#REF!</f>
        <v>#REF!</v>
      </c>
      <c r="BE46" s="144" t="e">
        <f>-#REF!</f>
        <v>#REF!</v>
      </c>
      <c r="BF46" s="144" t="e">
        <f>-#REF!</f>
        <v>#REF!</v>
      </c>
      <c r="BG46" s="144" t="e">
        <f>-#REF!</f>
        <v>#REF!</v>
      </c>
      <c r="BH46" s="144" t="e">
        <f>-#REF!</f>
        <v>#REF!</v>
      </c>
      <c r="BI46" s="144" t="e">
        <f>-#REF!</f>
        <v>#REF!</v>
      </c>
      <c r="BJ46" s="144" t="e">
        <f>-#REF!</f>
        <v>#REF!</v>
      </c>
      <c r="BK46" s="144" t="e">
        <f>-#REF!</f>
        <v>#REF!</v>
      </c>
      <c r="BL46" s="144" t="e">
        <f>-#REF!</f>
        <v>#REF!</v>
      </c>
      <c r="BM46" s="144" t="e">
        <f>-#REF!</f>
        <v>#REF!</v>
      </c>
      <c r="BN46" s="144" t="e">
        <f>-#REF!</f>
        <v>#REF!</v>
      </c>
      <c r="BO46" s="144" t="e">
        <f>-#REF!</f>
        <v>#REF!</v>
      </c>
      <c r="BP46" s="144" t="e">
        <f>-#REF!</f>
        <v>#REF!</v>
      </c>
      <c r="BQ46" s="144" t="e">
        <f>-#REF!</f>
        <v>#REF!</v>
      </c>
      <c r="BR46" s="144" t="e">
        <f>-#REF!</f>
        <v>#REF!</v>
      </c>
      <c r="BS46" s="144" t="e">
        <f>-#REF!</f>
        <v>#REF!</v>
      </c>
      <c r="BT46" s="144" t="e">
        <f>-#REF!</f>
        <v>#REF!</v>
      </c>
      <c r="BU46" s="144" t="e">
        <f>-#REF!</f>
        <v>#REF!</v>
      </c>
      <c r="BV46" s="144" t="e">
        <f>-#REF!</f>
        <v>#REF!</v>
      </c>
      <c r="BW46" s="144" t="e">
        <f>-#REF!</f>
        <v>#REF!</v>
      </c>
      <c r="BX46" s="144" t="e">
        <f>-#REF!</f>
        <v>#REF!</v>
      </c>
      <c r="BY46" s="144" t="e">
        <f>-#REF!</f>
        <v>#REF!</v>
      </c>
      <c r="BZ46" s="144" t="e">
        <f>-#REF!</f>
        <v>#REF!</v>
      </c>
      <c r="CA46" s="144" t="e">
        <f>-#REF!</f>
        <v>#REF!</v>
      </c>
      <c r="CB46" s="144" t="e">
        <f>-#REF!</f>
        <v>#REF!</v>
      </c>
      <c r="CC46" s="144" t="e">
        <f>-#REF!</f>
        <v>#REF!</v>
      </c>
      <c r="CD46" s="144" t="e">
        <f>-#REF!</f>
        <v>#REF!</v>
      </c>
      <c r="CE46" s="144" t="e">
        <f>-#REF!</f>
        <v>#REF!</v>
      </c>
      <c r="CF46" s="144" t="e">
        <f>-#REF!</f>
        <v>#REF!</v>
      </c>
      <c r="CG46" s="144" t="e">
        <f>-#REF!</f>
        <v>#REF!</v>
      </c>
      <c r="CH46" s="144" t="e">
        <f>-#REF!</f>
        <v>#REF!</v>
      </c>
      <c r="CI46" s="144" t="e">
        <f>-#REF!</f>
        <v>#REF!</v>
      </c>
      <c r="CJ46" s="144" t="e">
        <f>-#REF!</f>
        <v>#REF!</v>
      </c>
      <c r="CK46" s="144" t="e">
        <f>-#REF!</f>
        <v>#REF!</v>
      </c>
      <c r="CL46" s="144" t="e">
        <f>-#REF!</f>
        <v>#REF!</v>
      </c>
      <c r="CM46" s="144" t="e">
        <f>-#REF!</f>
        <v>#REF!</v>
      </c>
      <c r="CN46" s="144" t="e">
        <f>-#REF!</f>
        <v>#REF!</v>
      </c>
      <c r="CO46" s="144" t="e">
        <f>-#REF!</f>
        <v>#REF!</v>
      </c>
      <c r="CP46" s="144" t="e">
        <f>-#REF!</f>
        <v>#REF!</v>
      </c>
      <c r="CQ46" s="144" t="e">
        <f>-#REF!</f>
        <v>#REF!</v>
      </c>
      <c r="CR46" s="144" t="e">
        <f>-#REF!</f>
        <v>#REF!</v>
      </c>
      <c r="CS46" s="144" t="e">
        <f>-#REF!</f>
        <v>#REF!</v>
      </c>
      <c r="CT46" s="144" t="e">
        <f>-#REF!</f>
        <v>#REF!</v>
      </c>
      <c r="CU46" s="144" t="e">
        <f>-#REF!</f>
        <v>#REF!</v>
      </c>
      <c r="CV46" s="144" t="e">
        <f>-#REF!</f>
        <v>#REF!</v>
      </c>
      <c r="CW46" s="144" t="e">
        <f>-#REF!</f>
        <v>#REF!</v>
      </c>
      <c r="CX46" s="144" t="e">
        <f>-#REF!</f>
        <v>#REF!</v>
      </c>
      <c r="CY46" s="144" t="e">
        <f>-#REF!</f>
        <v>#REF!</v>
      </c>
      <c r="CZ46" s="144" t="e">
        <f>-#REF!</f>
        <v>#REF!</v>
      </c>
      <c r="DA46" s="144" t="e">
        <f>-#REF!</f>
        <v>#REF!</v>
      </c>
      <c r="DB46" s="144" t="e">
        <f>-#REF!</f>
        <v>#REF!</v>
      </c>
      <c r="DC46" s="144" t="e">
        <f>-#REF!</f>
        <v>#REF!</v>
      </c>
      <c r="DD46" s="144" t="e">
        <f>-#REF!</f>
        <v>#REF!</v>
      </c>
      <c r="DE46" s="144" t="e">
        <f>-#REF!</f>
        <v>#REF!</v>
      </c>
      <c r="DF46" s="144" t="e">
        <f>-#REF!</f>
        <v>#REF!</v>
      </c>
      <c r="DG46" s="144" t="e">
        <f>-#REF!</f>
        <v>#REF!</v>
      </c>
      <c r="DH46" s="144" t="e">
        <f>-#REF!</f>
        <v>#REF!</v>
      </c>
      <c r="DI46" s="144" t="e">
        <f>-#REF!</f>
        <v>#REF!</v>
      </c>
      <c r="DJ46" s="144" t="e">
        <f>-#REF!</f>
        <v>#REF!</v>
      </c>
      <c r="DK46" s="144" t="e">
        <f>-#REF!</f>
        <v>#REF!</v>
      </c>
      <c r="DL46" s="144" t="e">
        <f>-#REF!</f>
        <v>#REF!</v>
      </c>
      <c r="DM46" s="144" t="e">
        <f>-#REF!</f>
        <v>#REF!</v>
      </c>
      <c r="DN46" s="144" t="e">
        <f>-#REF!</f>
        <v>#REF!</v>
      </c>
      <c r="DO46" s="144" t="e">
        <f>-#REF!</f>
        <v>#REF!</v>
      </c>
      <c r="DP46" s="144" t="e">
        <f>-#REF!</f>
        <v>#REF!</v>
      </c>
      <c r="DQ46" s="144" t="e">
        <f>-#REF!</f>
        <v>#REF!</v>
      </c>
      <c r="DR46" s="144" t="e">
        <f>-#REF!</f>
        <v>#REF!</v>
      </c>
      <c r="DT46" s="144" t="e">
        <f t="shared" si="392"/>
        <v>#REF!</v>
      </c>
      <c r="DU46" s="144" t="e">
        <f t="shared" si="392"/>
        <v>#REF!</v>
      </c>
      <c r="DV46" s="144" t="e">
        <f t="shared" si="392"/>
        <v>#REF!</v>
      </c>
      <c r="DW46" s="144" t="e">
        <f t="shared" si="392"/>
        <v>#REF!</v>
      </c>
      <c r="DX46" s="144" t="e">
        <f t="shared" si="392"/>
        <v>#REF!</v>
      </c>
      <c r="DY46" s="144" t="e">
        <f t="shared" si="392"/>
        <v>#REF!</v>
      </c>
      <c r="DZ46" s="144" t="e">
        <f t="shared" si="392"/>
        <v>#REF!</v>
      </c>
      <c r="EA46" s="144" t="e">
        <f t="shared" si="392"/>
        <v>#REF!</v>
      </c>
      <c r="EB46" s="144" t="e">
        <f t="shared" si="392"/>
        <v>#REF!</v>
      </c>
      <c r="EC46" s="144" t="e">
        <f t="shared" si="392"/>
        <v>#REF!</v>
      </c>
    </row>
    <row r="47" ht="14.5">
      <c r="A47" t="s">
        <v>1258</v>
      </c>
      <c r="C47" s="144" t="e">
        <f>+#REF!</f>
        <v>#REF!</v>
      </c>
      <c r="D47" s="144" t="e">
        <f>+#REF!</f>
        <v>#REF!</v>
      </c>
      <c r="E47" s="144" t="e">
        <f>+#REF!</f>
        <v>#REF!</v>
      </c>
      <c r="F47" s="144" t="e">
        <f>+#REF!</f>
        <v>#REF!</v>
      </c>
      <c r="G47" s="144" t="e">
        <f>+#REF!</f>
        <v>#REF!</v>
      </c>
      <c r="H47" s="144" t="e">
        <f>+#REF!</f>
        <v>#REF!</v>
      </c>
      <c r="I47" s="144" t="e">
        <f>+#REF!</f>
        <v>#REF!</v>
      </c>
      <c r="J47" s="144" t="e">
        <f>+#REF!</f>
        <v>#REF!</v>
      </c>
      <c r="K47" s="144" t="e">
        <f>+#REF!</f>
        <v>#REF!</v>
      </c>
      <c r="L47" s="144" t="e">
        <f>+#REF!</f>
        <v>#REF!</v>
      </c>
      <c r="M47" s="144" t="e">
        <f>+#REF!</f>
        <v>#REF!</v>
      </c>
      <c r="N47" s="144" t="e">
        <f>+#REF!</f>
        <v>#REF!</v>
      </c>
      <c r="O47" s="144" t="e">
        <f>+#REF!</f>
        <v>#REF!</v>
      </c>
      <c r="P47" s="144" t="e">
        <f>+#REF!</f>
        <v>#REF!</v>
      </c>
      <c r="Q47" s="144" t="e">
        <f>+#REF!</f>
        <v>#REF!</v>
      </c>
      <c r="R47" s="144" t="e">
        <f>+#REF!</f>
        <v>#REF!</v>
      </c>
      <c r="S47" s="144" t="e">
        <f>+#REF!</f>
        <v>#REF!</v>
      </c>
      <c r="T47" s="144" t="e">
        <f>+#REF!</f>
        <v>#REF!</v>
      </c>
      <c r="U47" s="144" t="e">
        <f>+#REF!</f>
        <v>#REF!</v>
      </c>
      <c r="V47" s="144" t="e">
        <f>+#REF!</f>
        <v>#REF!</v>
      </c>
      <c r="W47" s="144" t="e">
        <f>+#REF!</f>
        <v>#REF!</v>
      </c>
      <c r="X47" s="144" t="e">
        <f>+#REF!</f>
        <v>#REF!</v>
      </c>
      <c r="Y47" s="144" t="e">
        <f>+#REF!</f>
        <v>#REF!</v>
      </c>
      <c r="Z47" s="144" t="e">
        <f>+#REF!</f>
        <v>#REF!</v>
      </c>
      <c r="AA47" s="144" t="e">
        <f>+#REF!</f>
        <v>#REF!</v>
      </c>
      <c r="AB47" s="144" t="e">
        <f>+#REF!</f>
        <v>#REF!</v>
      </c>
      <c r="AC47" s="144" t="e">
        <f>+#REF!</f>
        <v>#REF!</v>
      </c>
      <c r="AD47" s="144" t="e">
        <f>+#REF!</f>
        <v>#REF!</v>
      </c>
      <c r="AE47" s="144" t="e">
        <f>+#REF!</f>
        <v>#REF!</v>
      </c>
      <c r="AF47" s="144" t="e">
        <f>+#REF!</f>
        <v>#REF!</v>
      </c>
      <c r="AG47" s="144" t="e">
        <f>+#REF!</f>
        <v>#REF!</v>
      </c>
      <c r="AH47" s="144" t="e">
        <f>+#REF!</f>
        <v>#REF!</v>
      </c>
      <c r="AI47" s="144" t="e">
        <f>+#REF!</f>
        <v>#REF!</v>
      </c>
      <c r="AJ47" s="144" t="e">
        <f>+#REF!</f>
        <v>#REF!</v>
      </c>
      <c r="AK47" s="144" t="e">
        <f>+#REF!</f>
        <v>#REF!</v>
      </c>
      <c r="AL47" s="144" t="e">
        <f>+#REF!</f>
        <v>#REF!</v>
      </c>
      <c r="AM47" s="144" t="e">
        <f>+#REF!</f>
        <v>#REF!</v>
      </c>
      <c r="AN47" s="144" t="e">
        <f>+#REF!</f>
        <v>#REF!</v>
      </c>
      <c r="AO47" s="144" t="e">
        <f>+#REF!</f>
        <v>#REF!</v>
      </c>
      <c r="AP47" s="144" t="e">
        <f>+#REF!</f>
        <v>#REF!</v>
      </c>
      <c r="AQ47" s="144" t="e">
        <f>+#REF!</f>
        <v>#REF!</v>
      </c>
      <c r="AR47" s="144" t="e">
        <f>+#REF!</f>
        <v>#REF!</v>
      </c>
      <c r="AS47" s="144" t="e">
        <f>+#REF!</f>
        <v>#REF!</v>
      </c>
      <c r="AT47" s="144" t="e">
        <f>+#REF!</f>
        <v>#REF!</v>
      </c>
      <c r="AU47" s="144" t="e">
        <f>+#REF!</f>
        <v>#REF!</v>
      </c>
      <c r="AV47" s="144" t="e">
        <f>+#REF!</f>
        <v>#REF!</v>
      </c>
      <c r="AW47" s="144" t="e">
        <f>+#REF!</f>
        <v>#REF!</v>
      </c>
      <c r="AX47" s="144" t="e">
        <f>+#REF!</f>
        <v>#REF!</v>
      </c>
      <c r="AY47" s="144" t="e">
        <f>+#REF!</f>
        <v>#REF!</v>
      </c>
      <c r="AZ47" s="144" t="e">
        <f>+#REF!</f>
        <v>#REF!</v>
      </c>
      <c r="BA47" s="144" t="e">
        <f>+#REF!</f>
        <v>#REF!</v>
      </c>
      <c r="BB47" s="144" t="e">
        <f>+#REF!</f>
        <v>#REF!</v>
      </c>
      <c r="BC47" s="144" t="e">
        <f>+#REF!</f>
        <v>#REF!</v>
      </c>
      <c r="BD47" s="144" t="e">
        <f>+#REF!</f>
        <v>#REF!</v>
      </c>
      <c r="BE47" s="144" t="e">
        <f>+#REF!</f>
        <v>#REF!</v>
      </c>
      <c r="BF47" s="144" t="e">
        <f>+#REF!</f>
        <v>#REF!</v>
      </c>
      <c r="BG47" s="144" t="e">
        <f>+#REF!</f>
        <v>#REF!</v>
      </c>
      <c r="BH47" s="144" t="e">
        <f>+#REF!</f>
        <v>#REF!</v>
      </c>
      <c r="BI47" s="144" t="e">
        <f>+#REF!</f>
        <v>#REF!</v>
      </c>
      <c r="BJ47" s="144" t="e">
        <f>+#REF!</f>
        <v>#REF!</v>
      </c>
      <c r="BK47" s="144" t="e">
        <f>+#REF!</f>
        <v>#REF!</v>
      </c>
      <c r="BL47" s="144" t="e">
        <f>+#REF!</f>
        <v>#REF!</v>
      </c>
      <c r="BM47" s="144" t="e">
        <f>+#REF!</f>
        <v>#REF!</v>
      </c>
      <c r="BN47" s="144" t="e">
        <f>+#REF!</f>
        <v>#REF!</v>
      </c>
      <c r="BO47" s="144" t="e">
        <f>+#REF!</f>
        <v>#REF!</v>
      </c>
      <c r="BP47" s="144" t="e">
        <f>+#REF!</f>
        <v>#REF!</v>
      </c>
      <c r="BQ47" s="144" t="e">
        <f>+#REF!</f>
        <v>#REF!</v>
      </c>
      <c r="BR47" s="144" t="e">
        <f>+#REF!</f>
        <v>#REF!</v>
      </c>
      <c r="BS47" s="144" t="e">
        <f>+#REF!</f>
        <v>#REF!</v>
      </c>
      <c r="BT47" s="144" t="e">
        <f>+#REF!</f>
        <v>#REF!</v>
      </c>
      <c r="BU47" s="144" t="e">
        <f>+#REF!</f>
        <v>#REF!</v>
      </c>
      <c r="BV47" s="144" t="e">
        <f>+#REF!</f>
        <v>#REF!</v>
      </c>
      <c r="BW47" s="144" t="e">
        <f>+#REF!</f>
        <v>#REF!</v>
      </c>
      <c r="BX47" s="144" t="e">
        <f>+#REF!</f>
        <v>#REF!</v>
      </c>
      <c r="BY47" s="144" t="e">
        <f>+#REF!</f>
        <v>#REF!</v>
      </c>
      <c r="BZ47" s="144" t="e">
        <f>+#REF!</f>
        <v>#REF!</v>
      </c>
      <c r="CA47" s="144" t="e">
        <f>+#REF!</f>
        <v>#REF!</v>
      </c>
      <c r="CB47" s="144" t="e">
        <f>+#REF!</f>
        <v>#REF!</v>
      </c>
      <c r="CC47" s="144" t="e">
        <f>+#REF!</f>
        <v>#REF!</v>
      </c>
      <c r="CD47" s="144" t="e">
        <f>+#REF!</f>
        <v>#REF!</v>
      </c>
      <c r="CE47" s="144" t="e">
        <f>+#REF!</f>
        <v>#REF!</v>
      </c>
      <c r="CF47" s="144" t="e">
        <f>+#REF!</f>
        <v>#REF!</v>
      </c>
      <c r="CG47" s="144" t="e">
        <f>+#REF!</f>
        <v>#REF!</v>
      </c>
      <c r="CH47" s="144" t="e">
        <f>+#REF!</f>
        <v>#REF!</v>
      </c>
      <c r="CI47" s="144" t="e">
        <f>+#REF!</f>
        <v>#REF!</v>
      </c>
      <c r="CJ47" s="144" t="e">
        <f>+#REF!</f>
        <v>#REF!</v>
      </c>
      <c r="CK47" s="144" t="e">
        <f>+#REF!</f>
        <v>#REF!</v>
      </c>
      <c r="CL47" s="144" t="e">
        <f>+#REF!</f>
        <v>#REF!</v>
      </c>
      <c r="CM47" s="144" t="e">
        <f>+#REF!</f>
        <v>#REF!</v>
      </c>
      <c r="CN47" s="144" t="e">
        <f>+#REF!</f>
        <v>#REF!</v>
      </c>
      <c r="CO47" s="144" t="e">
        <f>+#REF!</f>
        <v>#REF!</v>
      </c>
      <c r="CP47" s="144" t="e">
        <f>+#REF!</f>
        <v>#REF!</v>
      </c>
      <c r="CQ47" s="144" t="e">
        <f>+#REF!</f>
        <v>#REF!</v>
      </c>
      <c r="CR47" s="144" t="e">
        <f>+#REF!</f>
        <v>#REF!</v>
      </c>
      <c r="CS47" s="144" t="e">
        <f>+#REF!</f>
        <v>#REF!</v>
      </c>
      <c r="CT47" s="144" t="e">
        <f>+#REF!</f>
        <v>#REF!</v>
      </c>
      <c r="CU47" s="144" t="e">
        <f>+#REF!</f>
        <v>#REF!</v>
      </c>
      <c r="CV47" s="144" t="e">
        <f>+#REF!</f>
        <v>#REF!</v>
      </c>
      <c r="CW47" s="144" t="e">
        <f>+#REF!</f>
        <v>#REF!</v>
      </c>
      <c r="CX47" s="144" t="e">
        <f>+#REF!</f>
        <v>#REF!</v>
      </c>
      <c r="CY47" s="144" t="e">
        <f>+#REF!</f>
        <v>#REF!</v>
      </c>
      <c r="CZ47" s="144" t="e">
        <f>+#REF!</f>
        <v>#REF!</v>
      </c>
      <c r="DA47" s="144" t="e">
        <f>+#REF!</f>
        <v>#REF!</v>
      </c>
      <c r="DB47" s="144" t="e">
        <f>+#REF!</f>
        <v>#REF!</v>
      </c>
      <c r="DC47" s="144" t="e">
        <f>+#REF!</f>
        <v>#REF!</v>
      </c>
      <c r="DD47" s="144" t="e">
        <f>+#REF!</f>
        <v>#REF!</v>
      </c>
      <c r="DE47" s="144" t="e">
        <f>+#REF!</f>
        <v>#REF!</v>
      </c>
      <c r="DF47" s="144" t="e">
        <f>+#REF!</f>
        <v>#REF!</v>
      </c>
      <c r="DG47" s="144" t="e">
        <f>+#REF!</f>
        <v>#REF!</v>
      </c>
      <c r="DH47" s="144" t="e">
        <f>+#REF!</f>
        <v>#REF!</v>
      </c>
      <c r="DI47" s="144" t="e">
        <f>+#REF!</f>
        <v>#REF!</v>
      </c>
      <c r="DJ47" s="144" t="e">
        <f>+#REF!</f>
        <v>#REF!</v>
      </c>
      <c r="DK47" s="144" t="e">
        <f>+#REF!</f>
        <v>#REF!</v>
      </c>
      <c r="DL47" s="144" t="e">
        <f>+#REF!</f>
        <v>#REF!</v>
      </c>
      <c r="DM47" s="144" t="e">
        <f>+#REF!</f>
        <v>#REF!</v>
      </c>
      <c r="DN47" s="144" t="e">
        <f>+#REF!</f>
        <v>#REF!</v>
      </c>
      <c r="DO47" s="144" t="e">
        <f>+#REF!</f>
        <v>#REF!</v>
      </c>
      <c r="DP47" s="144" t="e">
        <f>+#REF!</f>
        <v>#REF!</v>
      </c>
      <c r="DQ47" s="144" t="e">
        <f>+#REF!</f>
        <v>#REF!</v>
      </c>
      <c r="DR47" s="144" t="e">
        <f>+#REF!</f>
        <v>#REF!</v>
      </c>
      <c r="DT47" s="144" t="e">
        <f t="shared" si="392"/>
        <v>#REF!</v>
      </c>
      <c r="DU47" s="144" t="e">
        <f t="shared" si="392"/>
        <v>#REF!</v>
      </c>
      <c r="DV47" s="144" t="e">
        <f t="shared" si="392"/>
        <v>#REF!</v>
      </c>
      <c r="DW47" s="144" t="e">
        <f t="shared" si="392"/>
        <v>#REF!</v>
      </c>
      <c r="DX47" s="144" t="e">
        <f t="shared" si="392"/>
        <v>#REF!</v>
      </c>
      <c r="DY47" s="144" t="e">
        <f t="shared" si="392"/>
        <v>#REF!</v>
      </c>
      <c r="DZ47" s="144" t="e">
        <f t="shared" si="392"/>
        <v>#REF!</v>
      </c>
      <c r="EA47" s="144" t="e">
        <f t="shared" si="392"/>
        <v>#REF!</v>
      </c>
      <c r="EB47" s="144" t="e">
        <f t="shared" si="392"/>
        <v>#REF!</v>
      </c>
      <c r="EC47" s="144" t="e">
        <f t="shared" si="392"/>
        <v>#REF!</v>
      </c>
    </row>
    <row r="48" ht="14.5">
      <c r="A48" t="s">
        <v>1259</v>
      </c>
      <c r="C48" s="144">
        <f>+'SP-mese'!D56-'SP-mese'!C56</f>
        <v>0</v>
      </c>
      <c r="D48" s="144">
        <f>+'SP-mese'!E56-'SP-mese'!D56</f>
        <v>0</v>
      </c>
      <c r="E48" s="144">
        <f>+'SP-mese'!F56-'SP-mese'!E56</f>
        <v>0</v>
      </c>
      <c r="F48" s="144">
        <f>+'SP-mese'!G56-'SP-mese'!F56</f>
        <v>0</v>
      </c>
      <c r="G48" s="144">
        <f>+'SP-mese'!H56-'SP-mese'!G56</f>
        <v>0</v>
      </c>
      <c r="H48" s="144">
        <f>+'SP-mese'!I56-'SP-mese'!H56</f>
        <v>0</v>
      </c>
      <c r="I48" s="144">
        <f>+'SP-mese'!J56-'SP-mese'!I56</f>
        <v>0</v>
      </c>
      <c r="J48" s="144">
        <f>+'SP-mese'!K56-'SP-mese'!J56</f>
        <v>0</v>
      </c>
      <c r="K48" s="144">
        <f>+'SP-mese'!L56-'SP-mese'!K56</f>
        <v>0</v>
      </c>
      <c r="L48" s="144">
        <f>+'SP-mese'!M56-'SP-mese'!L56</f>
        <v>0</v>
      </c>
      <c r="M48" s="144">
        <f>+'SP-mese'!N56-'SP-mese'!M56</f>
        <v>0</v>
      </c>
      <c r="N48" s="144">
        <f>+'SP-mese'!O56-'SP-mese'!N56</f>
        <v>0</v>
      </c>
      <c r="O48" s="144">
        <f>+'SP-mese'!P56-'SP-mese'!O56</f>
        <v>0</v>
      </c>
      <c r="P48" s="144">
        <f>+'SP-mese'!Q56-'SP-mese'!P56</f>
        <v>0</v>
      </c>
      <c r="Q48" s="144">
        <f>+'SP-mese'!R56-'SP-mese'!Q56</f>
        <v>0</v>
      </c>
      <c r="R48" s="144">
        <f>+'SP-mese'!S56-'SP-mese'!R56</f>
        <v>0</v>
      </c>
      <c r="S48" s="144">
        <f>+'SP-mese'!T56-'SP-mese'!S56</f>
        <v>0</v>
      </c>
      <c r="T48" s="144">
        <f>+'SP-mese'!U56-'SP-mese'!T56</f>
        <v>0</v>
      </c>
      <c r="U48" s="144">
        <f>+'SP-mese'!V56-'SP-mese'!U56</f>
        <v>0</v>
      </c>
      <c r="V48" s="144">
        <f>+'SP-mese'!W56-'SP-mese'!V56</f>
        <v>0</v>
      </c>
      <c r="W48" s="144">
        <f>+'SP-mese'!X56-'SP-mese'!W56</f>
        <v>0</v>
      </c>
      <c r="X48" s="144">
        <f>+'SP-mese'!Y56-'SP-mese'!X56</f>
        <v>0</v>
      </c>
      <c r="Y48" s="144">
        <f>+'SP-mese'!Z56-'SP-mese'!Y56</f>
        <v>0</v>
      </c>
      <c r="Z48" s="144">
        <f>+'SP-mese'!AA56-'SP-mese'!Z56</f>
        <v>0</v>
      </c>
      <c r="AA48" s="144">
        <f>+'SP-mese'!AB56-'SP-mese'!AA56</f>
        <v>0</v>
      </c>
      <c r="AB48" s="144">
        <f>+'SP-mese'!AC56-'SP-mese'!AB56</f>
        <v>0</v>
      </c>
      <c r="AC48" s="144">
        <f>+'SP-mese'!AD56-'SP-mese'!AC56</f>
        <v>0</v>
      </c>
      <c r="AD48" s="144">
        <f>+'SP-mese'!AE56-'SP-mese'!AD56</f>
        <v>0</v>
      </c>
      <c r="AE48" s="144">
        <f>+'SP-mese'!AF56-'SP-mese'!AE56</f>
        <v>0</v>
      </c>
      <c r="AF48" s="144">
        <f>+'SP-mese'!AG56-'SP-mese'!AF56</f>
        <v>0</v>
      </c>
      <c r="AG48" s="144">
        <f>+'SP-mese'!AH56-'SP-mese'!AG56</f>
        <v>0</v>
      </c>
      <c r="AH48" s="144">
        <f>+'SP-mese'!AI56-'SP-mese'!AH56</f>
        <v>0</v>
      </c>
      <c r="AI48" s="144">
        <f>+'SP-mese'!AJ56-'SP-mese'!AI56</f>
        <v>0</v>
      </c>
      <c r="AJ48" s="144">
        <f>+'SP-mese'!AK56-'SP-mese'!AJ56</f>
        <v>0</v>
      </c>
      <c r="AK48" s="144">
        <f>+'SP-mese'!AL56-'SP-mese'!AK56</f>
        <v>0</v>
      </c>
      <c r="AL48" s="144">
        <f>+'SP-mese'!AM56-'SP-mese'!AL56</f>
        <v>0</v>
      </c>
      <c r="AM48" s="144">
        <f>+'SP-mese'!AN56-'SP-mese'!AM56</f>
        <v>0</v>
      </c>
      <c r="AN48" s="144">
        <f>+'SP-mese'!AO56-'SP-mese'!AN56</f>
        <v>0</v>
      </c>
      <c r="AO48" s="144">
        <f>+'SP-mese'!AP56-'SP-mese'!AO56</f>
        <v>0</v>
      </c>
      <c r="AP48" s="144">
        <f>+'SP-mese'!AQ56-'SP-mese'!AP56</f>
        <v>0</v>
      </c>
      <c r="AQ48" s="144">
        <f>+'SP-mese'!AR56-'SP-mese'!AQ56</f>
        <v>0</v>
      </c>
      <c r="AR48" s="144">
        <f>+'SP-mese'!AS56-'SP-mese'!AR56</f>
        <v>0</v>
      </c>
      <c r="AS48" s="144">
        <f>+'SP-mese'!AT56-'SP-mese'!AS56</f>
        <v>0</v>
      </c>
      <c r="AT48" s="144">
        <f>+'SP-mese'!AU56-'SP-mese'!AT56</f>
        <v>0</v>
      </c>
      <c r="AU48" s="144">
        <f>+'SP-mese'!AV56-'SP-mese'!AU56</f>
        <v>0</v>
      </c>
      <c r="AV48" s="144">
        <f>+'SP-mese'!AW56-'SP-mese'!AV56</f>
        <v>0</v>
      </c>
      <c r="AW48" s="144">
        <f>+'SP-mese'!AX56-'SP-mese'!AW56</f>
        <v>0</v>
      </c>
      <c r="AX48" s="144">
        <f>+'SP-mese'!AY56-'SP-mese'!AX56</f>
        <v>0</v>
      </c>
      <c r="AY48" s="144">
        <f>+'SP-mese'!AZ56-'SP-mese'!AY56</f>
        <v>0</v>
      </c>
      <c r="AZ48" s="144">
        <f>+'SP-mese'!BA56-'SP-mese'!AZ56</f>
        <v>0</v>
      </c>
      <c r="BA48" s="144">
        <f>+'SP-mese'!BB56-'SP-mese'!BA56</f>
        <v>0</v>
      </c>
      <c r="BB48" s="144">
        <f>+'SP-mese'!BC56-'SP-mese'!BB56</f>
        <v>0</v>
      </c>
      <c r="BC48" s="144">
        <f>+'SP-mese'!BD56-'SP-mese'!BC56</f>
        <v>0</v>
      </c>
      <c r="BD48" s="144">
        <f>+'SP-mese'!BE56-'SP-mese'!BD56</f>
        <v>0</v>
      </c>
      <c r="BE48" s="144">
        <f>+'SP-mese'!BF56-'SP-mese'!BE56</f>
        <v>0</v>
      </c>
      <c r="BF48" s="144">
        <f>+'SP-mese'!BG56-'SP-mese'!BF56</f>
        <v>0</v>
      </c>
      <c r="BG48" s="144">
        <f>+'SP-mese'!BH56-'SP-mese'!BG56</f>
        <v>0</v>
      </c>
      <c r="BH48" s="144">
        <f>+'SP-mese'!BI56-'SP-mese'!BH56</f>
        <v>0</v>
      </c>
      <c r="BI48" s="144">
        <f>+'SP-mese'!BJ56-'SP-mese'!BI56</f>
        <v>0</v>
      </c>
      <c r="BJ48" s="144">
        <f>+'SP-mese'!BK56-'SP-mese'!BJ56</f>
        <v>0</v>
      </c>
      <c r="BK48" s="144">
        <f>+'SP-mese'!BL56-'SP-mese'!BK56</f>
        <v>0</v>
      </c>
      <c r="BL48" s="144">
        <f>+'SP-mese'!BM56-'SP-mese'!BL56</f>
        <v>0</v>
      </c>
      <c r="BM48" s="144">
        <f>+'SP-mese'!BN56-'SP-mese'!BM56</f>
        <v>0</v>
      </c>
      <c r="BN48" s="144">
        <f>+'SP-mese'!BO56-'SP-mese'!BN56</f>
        <v>0</v>
      </c>
      <c r="BO48" s="144">
        <f>+'SP-mese'!BP56-'SP-mese'!BO56</f>
        <v>0</v>
      </c>
      <c r="BP48" s="144">
        <f>+'SP-mese'!BQ56-'SP-mese'!BP56</f>
        <v>0</v>
      </c>
      <c r="BQ48" s="144">
        <f>+'SP-mese'!BR56-'SP-mese'!BQ56</f>
        <v>0</v>
      </c>
      <c r="BR48" s="144">
        <f>+'SP-mese'!BS56-'SP-mese'!BR56</f>
        <v>0</v>
      </c>
      <c r="BS48" s="144">
        <f>+'SP-mese'!BT56-'SP-mese'!BS56</f>
        <v>0</v>
      </c>
      <c r="BT48" s="144">
        <f>+'SP-mese'!BU56-'SP-mese'!BT56</f>
        <v>0</v>
      </c>
      <c r="BU48" s="144">
        <f>+'SP-mese'!BV56-'SP-mese'!BU56</f>
        <v>0</v>
      </c>
      <c r="BV48" s="144">
        <f>+'SP-mese'!BW56-'SP-mese'!BV56</f>
        <v>0</v>
      </c>
      <c r="BW48" s="144">
        <f>+'SP-mese'!BX56-'SP-mese'!BW56</f>
        <v>0</v>
      </c>
      <c r="BX48" s="144">
        <f>+'SP-mese'!BY56-'SP-mese'!BX56</f>
        <v>0</v>
      </c>
      <c r="BY48" s="144">
        <f>+'SP-mese'!BZ56-'SP-mese'!BY56</f>
        <v>0</v>
      </c>
      <c r="BZ48" s="144">
        <f>+'SP-mese'!CA56-'SP-mese'!BZ56</f>
        <v>0</v>
      </c>
      <c r="CA48" s="144">
        <f>+'SP-mese'!CB56-'SP-mese'!CA56</f>
        <v>0</v>
      </c>
      <c r="CB48" s="144">
        <f>+'SP-mese'!CC56-'SP-mese'!CB56</f>
        <v>0</v>
      </c>
      <c r="CC48" s="144">
        <f>+'SP-mese'!CD56-'SP-mese'!CC56</f>
        <v>0</v>
      </c>
      <c r="CD48" s="144">
        <f>+'SP-mese'!CE56-'SP-mese'!CD56</f>
        <v>0</v>
      </c>
      <c r="CE48" s="144">
        <f>+'SP-mese'!CF56-'SP-mese'!CE56</f>
        <v>0</v>
      </c>
      <c r="CF48" s="144">
        <f>+'SP-mese'!CG56-'SP-mese'!CF56</f>
        <v>0</v>
      </c>
      <c r="CG48" s="144">
        <f>+'SP-mese'!CH56-'SP-mese'!CG56</f>
        <v>0</v>
      </c>
      <c r="CH48" s="144">
        <f>+'SP-mese'!CI56-'SP-mese'!CH56</f>
        <v>0</v>
      </c>
      <c r="CI48" s="144">
        <f>+'SP-mese'!CJ56-'SP-mese'!CI56</f>
        <v>0</v>
      </c>
      <c r="CJ48" s="144">
        <f>+'SP-mese'!CK56-'SP-mese'!CJ56</f>
        <v>0</v>
      </c>
      <c r="CK48" s="144">
        <f>+'SP-mese'!CL56-'SP-mese'!CK56</f>
        <v>0</v>
      </c>
      <c r="CL48" s="144">
        <f>+'SP-mese'!CM56-'SP-mese'!CL56</f>
        <v>0</v>
      </c>
      <c r="CM48" s="144">
        <f>+'SP-mese'!CN56-'SP-mese'!CM56</f>
        <v>0</v>
      </c>
      <c r="CN48" s="144">
        <f>+'SP-mese'!CO56-'SP-mese'!CN56</f>
        <v>0</v>
      </c>
      <c r="CO48" s="144">
        <f>+'SP-mese'!CP56-'SP-mese'!CO56</f>
        <v>0</v>
      </c>
      <c r="CP48" s="144">
        <f>+'SP-mese'!CQ56-'SP-mese'!CP56</f>
        <v>0</v>
      </c>
      <c r="CQ48" s="144">
        <f>+'SP-mese'!CR56-'SP-mese'!CQ56</f>
        <v>0</v>
      </c>
      <c r="CR48" s="144">
        <f>+'SP-mese'!CS56-'SP-mese'!CR56</f>
        <v>0</v>
      </c>
      <c r="CS48" s="144">
        <f>+'SP-mese'!CT56-'SP-mese'!CS56</f>
        <v>0</v>
      </c>
      <c r="CT48" s="144">
        <f>+'SP-mese'!CU56-'SP-mese'!CT56</f>
        <v>0</v>
      </c>
      <c r="CU48" s="144">
        <f>+'SP-mese'!CV56-'SP-mese'!CU56</f>
        <v>0</v>
      </c>
      <c r="CV48" s="144">
        <f>+'SP-mese'!CW56-'SP-mese'!CV56</f>
        <v>0</v>
      </c>
      <c r="CW48" s="144">
        <f>+'SP-mese'!CX56-'SP-mese'!CW56</f>
        <v>0</v>
      </c>
      <c r="CX48" s="144">
        <f>+'SP-mese'!CY56-'SP-mese'!CX56</f>
        <v>0</v>
      </c>
      <c r="CY48" s="144">
        <f>+'SP-mese'!CZ56-'SP-mese'!CY56</f>
        <v>0</v>
      </c>
      <c r="CZ48" s="144">
        <f>+'SP-mese'!DA56-'SP-mese'!CZ56</f>
        <v>0</v>
      </c>
      <c r="DA48" s="144">
        <f>+'SP-mese'!DB56-'SP-mese'!DA56</f>
        <v>0</v>
      </c>
      <c r="DB48" s="144">
        <f>+'SP-mese'!DC56-'SP-mese'!DB56</f>
        <v>0</v>
      </c>
      <c r="DC48" s="144">
        <f>+'SP-mese'!DD56-'SP-mese'!DC56</f>
        <v>0</v>
      </c>
      <c r="DD48" s="144">
        <f>+'SP-mese'!DE56-'SP-mese'!DD56</f>
        <v>0</v>
      </c>
      <c r="DE48" s="144">
        <f>+'SP-mese'!DF56-'SP-mese'!DE56</f>
        <v>0</v>
      </c>
      <c r="DF48" s="144">
        <f>+'SP-mese'!DG56-'SP-mese'!DF56</f>
        <v>0</v>
      </c>
      <c r="DG48" s="144">
        <f>+'SP-mese'!DH56-'SP-mese'!DG56</f>
        <v>0</v>
      </c>
      <c r="DH48" s="144">
        <f>+'SP-mese'!DI56-'SP-mese'!DH56</f>
        <v>0</v>
      </c>
      <c r="DI48" s="144">
        <f>+'SP-mese'!DJ56-'SP-mese'!DI56</f>
        <v>0</v>
      </c>
      <c r="DJ48" s="144">
        <f>+'SP-mese'!DK56-'SP-mese'!DJ56</f>
        <v>0</v>
      </c>
      <c r="DK48" s="144">
        <f>+'SP-mese'!DL56-'SP-mese'!DK56</f>
        <v>0</v>
      </c>
      <c r="DL48" s="144">
        <f>+'SP-mese'!DM56-'SP-mese'!DL56</f>
        <v>0</v>
      </c>
      <c r="DM48" s="144">
        <f>+'SP-mese'!DN56-'SP-mese'!DM56</f>
        <v>0</v>
      </c>
      <c r="DN48" s="144">
        <f>+'SP-mese'!DO56-'SP-mese'!DN56</f>
        <v>0</v>
      </c>
      <c r="DO48" s="144">
        <f>+'SP-mese'!DP56-'SP-mese'!DO56</f>
        <v>0</v>
      </c>
      <c r="DP48" s="144">
        <f>+'SP-mese'!DQ56-'SP-mese'!DP56</f>
        <v>0</v>
      </c>
      <c r="DQ48" s="144">
        <f>+'SP-mese'!DR56-'SP-mese'!DQ56</f>
        <v>0</v>
      </c>
      <c r="DR48" s="144">
        <f>+'SP-mese'!DS56-'SP-mese'!DR56</f>
        <v>0</v>
      </c>
      <c r="DT48" s="144">
        <f t="shared" si="392"/>
        <v>0</v>
      </c>
      <c r="DU48" s="144">
        <f t="shared" si="392"/>
        <v>0</v>
      </c>
      <c r="DV48" s="144">
        <f t="shared" si="392"/>
        <v>0</v>
      </c>
      <c r="DW48" s="144">
        <f t="shared" si="392"/>
        <v>0</v>
      </c>
      <c r="DX48" s="144">
        <f t="shared" si="392"/>
        <v>0</v>
      </c>
      <c r="DY48" s="144">
        <f t="shared" si="392"/>
        <v>0</v>
      </c>
      <c r="DZ48" s="144">
        <f t="shared" si="392"/>
        <v>0</v>
      </c>
      <c r="EA48" s="144">
        <f t="shared" si="392"/>
        <v>0</v>
      </c>
      <c r="EB48" s="144">
        <f t="shared" si="392"/>
        <v>0</v>
      </c>
      <c r="EC48" s="144">
        <f t="shared" si="392"/>
        <v>0</v>
      </c>
    </row>
    <row r="49" ht="14.5">
      <c r="A49" t="s">
        <v>1260</v>
      </c>
      <c r="C49" s="144" t="e">
        <f>-#REF!</f>
        <v>#REF!</v>
      </c>
      <c r="D49" s="144" t="e">
        <f>-#REF!</f>
        <v>#REF!</v>
      </c>
      <c r="E49" s="144" t="e">
        <f>-#REF!</f>
        <v>#REF!</v>
      </c>
      <c r="F49" s="144" t="e">
        <f>-#REF!</f>
        <v>#REF!</v>
      </c>
      <c r="G49" s="144" t="e">
        <f>-#REF!</f>
        <v>#REF!</v>
      </c>
      <c r="H49" s="144" t="e">
        <f>-#REF!</f>
        <v>#REF!</v>
      </c>
      <c r="I49" s="144" t="e">
        <f>-#REF!</f>
        <v>#REF!</v>
      </c>
      <c r="J49" s="144" t="e">
        <f>-#REF!</f>
        <v>#REF!</v>
      </c>
      <c r="K49" s="144" t="e">
        <f>-#REF!</f>
        <v>#REF!</v>
      </c>
      <c r="L49" s="144" t="e">
        <f>-#REF!</f>
        <v>#REF!</v>
      </c>
      <c r="M49" s="144" t="e">
        <f>-#REF!</f>
        <v>#REF!</v>
      </c>
      <c r="N49" s="144" t="e">
        <f>-#REF!</f>
        <v>#REF!</v>
      </c>
      <c r="O49" s="144" t="e">
        <f>-#REF!</f>
        <v>#REF!</v>
      </c>
      <c r="P49" s="144" t="e">
        <f>-#REF!</f>
        <v>#REF!</v>
      </c>
      <c r="Q49" s="144" t="e">
        <f>-#REF!</f>
        <v>#REF!</v>
      </c>
      <c r="R49" s="144" t="e">
        <f>-#REF!</f>
        <v>#REF!</v>
      </c>
      <c r="S49" s="144" t="e">
        <f>-#REF!</f>
        <v>#REF!</v>
      </c>
      <c r="T49" s="144" t="e">
        <f>-#REF!</f>
        <v>#REF!</v>
      </c>
      <c r="U49" s="144" t="e">
        <f>-#REF!</f>
        <v>#REF!</v>
      </c>
      <c r="V49" s="144" t="e">
        <f>-#REF!</f>
        <v>#REF!</v>
      </c>
      <c r="W49" s="144" t="e">
        <f>-#REF!</f>
        <v>#REF!</v>
      </c>
      <c r="X49" s="144" t="e">
        <f>-#REF!</f>
        <v>#REF!</v>
      </c>
      <c r="Y49" s="144" t="e">
        <f>-#REF!</f>
        <v>#REF!</v>
      </c>
      <c r="Z49" s="144" t="e">
        <f>-#REF!</f>
        <v>#REF!</v>
      </c>
      <c r="AA49" s="144" t="e">
        <f>-#REF!</f>
        <v>#REF!</v>
      </c>
      <c r="AB49" s="144" t="e">
        <f>-#REF!</f>
        <v>#REF!</v>
      </c>
      <c r="AC49" s="144" t="e">
        <f>-#REF!</f>
        <v>#REF!</v>
      </c>
      <c r="AD49" s="144" t="e">
        <f>-#REF!</f>
        <v>#REF!</v>
      </c>
      <c r="AE49" s="144" t="e">
        <f>-#REF!</f>
        <v>#REF!</v>
      </c>
      <c r="AF49" s="144" t="e">
        <f>-#REF!</f>
        <v>#REF!</v>
      </c>
      <c r="AG49" s="144" t="e">
        <f>-#REF!</f>
        <v>#REF!</v>
      </c>
      <c r="AH49" s="144" t="e">
        <f>-#REF!</f>
        <v>#REF!</v>
      </c>
      <c r="AI49" s="144" t="e">
        <f>-#REF!</f>
        <v>#REF!</v>
      </c>
      <c r="AJ49" s="144" t="e">
        <f>-#REF!</f>
        <v>#REF!</v>
      </c>
      <c r="AK49" s="144" t="e">
        <f>-#REF!</f>
        <v>#REF!</v>
      </c>
      <c r="AL49" s="144" t="e">
        <f>-#REF!</f>
        <v>#REF!</v>
      </c>
      <c r="AM49" s="144" t="e">
        <f>-#REF!</f>
        <v>#REF!</v>
      </c>
      <c r="AN49" s="144" t="e">
        <f>-#REF!</f>
        <v>#REF!</v>
      </c>
      <c r="AO49" s="144" t="e">
        <f>-#REF!</f>
        <v>#REF!</v>
      </c>
      <c r="AP49" s="144" t="e">
        <f>-#REF!</f>
        <v>#REF!</v>
      </c>
      <c r="AQ49" s="144" t="e">
        <f>-#REF!</f>
        <v>#REF!</v>
      </c>
      <c r="AR49" s="144" t="e">
        <f>-#REF!</f>
        <v>#REF!</v>
      </c>
      <c r="AS49" s="144" t="e">
        <f>-#REF!</f>
        <v>#REF!</v>
      </c>
      <c r="AT49" s="144" t="e">
        <f>-#REF!</f>
        <v>#REF!</v>
      </c>
      <c r="AU49" s="144" t="e">
        <f>-#REF!</f>
        <v>#REF!</v>
      </c>
      <c r="AV49" s="144" t="e">
        <f>-#REF!</f>
        <v>#REF!</v>
      </c>
      <c r="AW49" s="144" t="e">
        <f>-#REF!</f>
        <v>#REF!</v>
      </c>
      <c r="AX49" s="144" t="e">
        <f>-#REF!</f>
        <v>#REF!</v>
      </c>
      <c r="AY49" s="144" t="e">
        <f>-#REF!</f>
        <v>#REF!</v>
      </c>
      <c r="AZ49" s="144" t="e">
        <f>-#REF!</f>
        <v>#REF!</v>
      </c>
      <c r="BA49" s="144" t="e">
        <f>-#REF!</f>
        <v>#REF!</v>
      </c>
      <c r="BB49" s="144" t="e">
        <f>-#REF!</f>
        <v>#REF!</v>
      </c>
      <c r="BC49" s="144" t="e">
        <f>-#REF!</f>
        <v>#REF!</v>
      </c>
      <c r="BD49" s="144" t="e">
        <f>-#REF!</f>
        <v>#REF!</v>
      </c>
      <c r="BE49" s="144" t="e">
        <f>-#REF!</f>
        <v>#REF!</v>
      </c>
      <c r="BF49" s="144" t="e">
        <f>-#REF!</f>
        <v>#REF!</v>
      </c>
      <c r="BG49" s="144" t="e">
        <f>-#REF!</f>
        <v>#REF!</v>
      </c>
      <c r="BH49" s="144" t="e">
        <f>-#REF!</f>
        <v>#REF!</v>
      </c>
      <c r="BI49" s="144" t="e">
        <f>-#REF!</f>
        <v>#REF!</v>
      </c>
      <c r="BJ49" s="144" t="e">
        <f>-#REF!</f>
        <v>#REF!</v>
      </c>
      <c r="BK49" s="144" t="e">
        <f>-#REF!</f>
        <v>#REF!</v>
      </c>
      <c r="BL49" s="144" t="e">
        <f>-#REF!</f>
        <v>#REF!</v>
      </c>
      <c r="BM49" s="144" t="e">
        <f>-#REF!</f>
        <v>#REF!</v>
      </c>
      <c r="BN49" s="144" t="e">
        <f>-#REF!</f>
        <v>#REF!</v>
      </c>
      <c r="BO49" s="144" t="e">
        <f>-#REF!</f>
        <v>#REF!</v>
      </c>
      <c r="BP49" s="144" t="e">
        <f>-#REF!</f>
        <v>#REF!</v>
      </c>
      <c r="BQ49" s="144" t="e">
        <f>-#REF!</f>
        <v>#REF!</v>
      </c>
      <c r="BR49" s="144" t="e">
        <f>-#REF!</f>
        <v>#REF!</v>
      </c>
      <c r="BS49" s="144" t="e">
        <f>-#REF!</f>
        <v>#REF!</v>
      </c>
      <c r="BT49" s="144" t="e">
        <f>-#REF!</f>
        <v>#REF!</v>
      </c>
      <c r="BU49" s="144" t="e">
        <f>-#REF!</f>
        <v>#REF!</v>
      </c>
      <c r="BV49" s="144" t="e">
        <f>-#REF!</f>
        <v>#REF!</v>
      </c>
      <c r="BW49" s="144" t="e">
        <f>-#REF!</f>
        <v>#REF!</v>
      </c>
      <c r="BX49" s="144" t="e">
        <f>-#REF!</f>
        <v>#REF!</v>
      </c>
      <c r="BY49" s="144" t="e">
        <f>-#REF!</f>
        <v>#REF!</v>
      </c>
      <c r="BZ49" s="144" t="e">
        <f>-#REF!</f>
        <v>#REF!</v>
      </c>
      <c r="CA49" s="144" t="e">
        <f>-#REF!</f>
        <v>#REF!</v>
      </c>
      <c r="CB49" s="144" t="e">
        <f>-#REF!</f>
        <v>#REF!</v>
      </c>
      <c r="CC49" s="144" t="e">
        <f>-#REF!</f>
        <v>#REF!</v>
      </c>
      <c r="CD49" s="144" t="e">
        <f>-#REF!</f>
        <v>#REF!</v>
      </c>
      <c r="CE49" s="144" t="e">
        <f>-#REF!</f>
        <v>#REF!</v>
      </c>
      <c r="CF49" s="144" t="e">
        <f>-#REF!</f>
        <v>#REF!</v>
      </c>
      <c r="CG49" s="144" t="e">
        <f>-#REF!</f>
        <v>#REF!</v>
      </c>
      <c r="CH49" s="144" t="e">
        <f>-#REF!</f>
        <v>#REF!</v>
      </c>
      <c r="CI49" s="144" t="e">
        <f>-#REF!</f>
        <v>#REF!</v>
      </c>
      <c r="CJ49" s="144" t="e">
        <f>-#REF!</f>
        <v>#REF!</v>
      </c>
      <c r="CK49" s="144" t="e">
        <f>-#REF!</f>
        <v>#REF!</v>
      </c>
      <c r="CL49" s="144" t="e">
        <f>-#REF!</f>
        <v>#REF!</v>
      </c>
      <c r="CM49" s="144" t="e">
        <f>-#REF!</f>
        <v>#REF!</v>
      </c>
      <c r="CN49" s="144" t="e">
        <f>-#REF!</f>
        <v>#REF!</v>
      </c>
      <c r="CO49" s="144" t="e">
        <f>-#REF!</f>
        <v>#REF!</v>
      </c>
      <c r="CP49" s="144" t="e">
        <f>-#REF!</f>
        <v>#REF!</v>
      </c>
      <c r="CQ49" s="144" t="e">
        <f>-#REF!</f>
        <v>#REF!</v>
      </c>
      <c r="CR49" s="144" t="e">
        <f>-#REF!</f>
        <v>#REF!</v>
      </c>
      <c r="CS49" s="144" t="e">
        <f>-#REF!</f>
        <v>#REF!</v>
      </c>
      <c r="CT49" s="144" t="e">
        <f>-#REF!</f>
        <v>#REF!</v>
      </c>
      <c r="CU49" s="144" t="e">
        <f>-#REF!</f>
        <v>#REF!</v>
      </c>
      <c r="CV49" s="144" t="e">
        <f>-#REF!</f>
        <v>#REF!</v>
      </c>
      <c r="CW49" s="144" t="e">
        <f>-#REF!</f>
        <v>#REF!</v>
      </c>
      <c r="CX49" s="144" t="e">
        <f>-#REF!</f>
        <v>#REF!</v>
      </c>
      <c r="CY49" s="144" t="e">
        <f>-#REF!</f>
        <v>#REF!</v>
      </c>
      <c r="CZ49" s="144" t="e">
        <f>-#REF!</f>
        <v>#REF!</v>
      </c>
      <c r="DA49" s="144" t="e">
        <f>-#REF!</f>
        <v>#REF!</v>
      </c>
      <c r="DB49" s="144" t="e">
        <f>-#REF!</f>
        <v>#REF!</v>
      </c>
      <c r="DC49" s="144" t="e">
        <f>-#REF!</f>
        <v>#REF!</v>
      </c>
      <c r="DD49" s="144" t="e">
        <f>-#REF!</f>
        <v>#REF!</v>
      </c>
      <c r="DE49" s="144" t="e">
        <f>-#REF!</f>
        <v>#REF!</v>
      </c>
      <c r="DF49" s="144" t="e">
        <f>-#REF!</f>
        <v>#REF!</v>
      </c>
      <c r="DG49" s="144" t="e">
        <f>-#REF!</f>
        <v>#REF!</v>
      </c>
      <c r="DH49" s="144" t="e">
        <f>-#REF!</f>
        <v>#REF!</v>
      </c>
      <c r="DI49" s="144" t="e">
        <f>-#REF!</f>
        <v>#REF!</v>
      </c>
      <c r="DJ49" s="144" t="e">
        <f>-#REF!</f>
        <v>#REF!</v>
      </c>
      <c r="DK49" s="144" t="e">
        <f>-#REF!</f>
        <v>#REF!</v>
      </c>
      <c r="DL49" s="144" t="e">
        <f>-#REF!</f>
        <v>#REF!</v>
      </c>
      <c r="DM49" s="144" t="e">
        <f>-#REF!</f>
        <v>#REF!</v>
      </c>
      <c r="DN49" s="144" t="e">
        <f>-#REF!</f>
        <v>#REF!</v>
      </c>
      <c r="DO49" s="144" t="e">
        <f>-#REF!</f>
        <v>#REF!</v>
      </c>
      <c r="DP49" s="144" t="e">
        <f>-#REF!</f>
        <v>#REF!</v>
      </c>
      <c r="DQ49" s="144" t="e">
        <f>-#REF!</f>
        <v>#REF!</v>
      </c>
      <c r="DR49" s="144" t="e">
        <f>-#REF!</f>
        <v>#REF!</v>
      </c>
      <c r="DT49" s="144" t="e">
        <f t="shared" si="392"/>
        <v>#REF!</v>
      </c>
      <c r="DU49" s="144" t="e">
        <f t="shared" si="392"/>
        <v>#REF!</v>
      </c>
      <c r="DV49" s="144" t="e">
        <f t="shared" si="392"/>
        <v>#REF!</v>
      </c>
      <c r="DW49" s="144" t="e">
        <f t="shared" si="392"/>
        <v>#REF!</v>
      </c>
      <c r="DX49" s="144" t="e">
        <f t="shared" si="392"/>
        <v>#REF!</v>
      </c>
      <c r="DY49" s="144" t="e">
        <f t="shared" si="392"/>
        <v>#REF!</v>
      </c>
      <c r="DZ49" s="144" t="e">
        <f t="shared" si="392"/>
        <v>#REF!</v>
      </c>
      <c r="EA49" s="144" t="e">
        <f t="shared" si="392"/>
        <v>#REF!</v>
      </c>
      <c r="EB49" s="144" t="e">
        <f t="shared" si="392"/>
        <v>#REF!</v>
      </c>
      <c r="EC49" s="144" t="e">
        <f t="shared" si="392"/>
        <v>#REF!</v>
      </c>
    </row>
    <row r="50" ht="14.5">
      <c r="A50" t="s">
        <v>1261</v>
      </c>
      <c r="C50" s="144" t="e">
        <f>-#REF!</f>
        <v>#REF!</v>
      </c>
      <c r="D50" s="144" t="e">
        <f>-#REF!</f>
        <v>#REF!</v>
      </c>
      <c r="E50" s="144" t="e">
        <f>-#REF!</f>
        <v>#REF!</v>
      </c>
      <c r="F50" s="144" t="e">
        <f>-#REF!</f>
        <v>#REF!</v>
      </c>
      <c r="G50" s="144" t="e">
        <f>-#REF!</f>
        <v>#REF!</v>
      </c>
      <c r="H50" s="144" t="e">
        <f>-#REF!</f>
        <v>#REF!</v>
      </c>
      <c r="I50" s="144" t="e">
        <f>-#REF!</f>
        <v>#REF!</v>
      </c>
      <c r="J50" s="144" t="e">
        <f>-#REF!</f>
        <v>#REF!</v>
      </c>
      <c r="K50" s="144" t="e">
        <f>-#REF!</f>
        <v>#REF!</v>
      </c>
      <c r="L50" s="144" t="e">
        <f>-#REF!</f>
        <v>#REF!</v>
      </c>
      <c r="M50" s="144" t="e">
        <f>-#REF!</f>
        <v>#REF!</v>
      </c>
      <c r="N50" s="144" t="e">
        <f>-#REF!</f>
        <v>#REF!</v>
      </c>
      <c r="O50" s="144" t="e">
        <f>-#REF!</f>
        <v>#REF!</v>
      </c>
      <c r="P50" s="144" t="e">
        <f>-#REF!</f>
        <v>#REF!</v>
      </c>
      <c r="Q50" s="144" t="e">
        <f>-#REF!</f>
        <v>#REF!</v>
      </c>
      <c r="R50" s="144" t="e">
        <f>-#REF!</f>
        <v>#REF!</v>
      </c>
      <c r="S50" s="144" t="e">
        <f>-#REF!</f>
        <v>#REF!</v>
      </c>
      <c r="T50" s="144" t="e">
        <f>-#REF!</f>
        <v>#REF!</v>
      </c>
      <c r="U50" s="144" t="e">
        <f>-#REF!</f>
        <v>#REF!</v>
      </c>
      <c r="V50" s="144" t="e">
        <f>-#REF!</f>
        <v>#REF!</v>
      </c>
      <c r="W50" s="144" t="e">
        <f>-#REF!</f>
        <v>#REF!</v>
      </c>
      <c r="X50" s="144" t="e">
        <f>-#REF!</f>
        <v>#REF!</v>
      </c>
      <c r="Y50" s="144" t="e">
        <f>-#REF!</f>
        <v>#REF!</v>
      </c>
      <c r="Z50" s="144" t="e">
        <f>-#REF!</f>
        <v>#REF!</v>
      </c>
      <c r="AA50" s="144" t="e">
        <f>-#REF!</f>
        <v>#REF!</v>
      </c>
      <c r="AB50" s="144" t="e">
        <f>-#REF!</f>
        <v>#REF!</v>
      </c>
      <c r="AC50" s="144" t="e">
        <f>-#REF!</f>
        <v>#REF!</v>
      </c>
      <c r="AD50" s="144" t="e">
        <f>-#REF!</f>
        <v>#REF!</v>
      </c>
      <c r="AE50" s="144" t="e">
        <f>-#REF!</f>
        <v>#REF!</v>
      </c>
      <c r="AF50" s="144" t="e">
        <f>-#REF!</f>
        <v>#REF!</v>
      </c>
      <c r="AG50" s="144" t="e">
        <f>-#REF!</f>
        <v>#REF!</v>
      </c>
      <c r="AH50" s="144" t="e">
        <f>-#REF!</f>
        <v>#REF!</v>
      </c>
      <c r="AI50" s="144" t="e">
        <f>-#REF!</f>
        <v>#REF!</v>
      </c>
      <c r="AJ50" s="144" t="e">
        <f>-#REF!</f>
        <v>#REF!</v>
      </c>
      <c r="AK50" s="144" t="e">
        <f>-#REF!</f>
        <v>#REF!</v>
      </c>
      <c r="AL50" s="144" t="e">
        <f>-#REF!</f>
        <v>#REF!</v>
      </c>
      <c r="AM50" s="144" t="e">
        <f>-#REF!</f>
        <v>#REF!</v>
      </c>
      <c r="AN50" s="144" t="e">
        <f>-#REF!</f>
        <v>#REF!</v>
      </c>
      <c r="AO50" s="144" t="e">
        <f>-#REF!</f>
        <v>#REF!</v>
      </c>
      <c r="AP50" s="144" t="e">
        <f>-#REF!</f>
        <v>#REF!</v>
      </c>
      <c r="AQ50" s="144" t="e">
        <f>-#REF!</f>
        <v>#REF!</v>
      </c>
      <c r="AR50" s="144" t="e">
        <f>-#REF!</f>
        <v>#REF!</v>
      </c>
      <c r="AS50" s="144" t="e">
        <f>-#REF!</f>
        <v>#REF!</v>
      </c>
      <c r="AT50" s="144" t="e">
        <f>-#REF!</f>
        <v>#REF!</v>
      </c>
      <c r="AU50" s="144" t="e">
        <f>-#REF!</f>
        <v>#REF!</v>
      </c>
      <c r="AV50" s="144" t="e">
        <f>-#REF!</f>
        <v>#REF!</v>
      </c>
      <c r="AW50" s="144" t="e">
        <f>-#REF!</f>
        <v>#REF!</v>
      </c>
      <c r="AX50" s="144" t="e">
        <f>-#REF!</f>
        <v>#REF!</v>
      </c>
      <c r="AY50" s="144" t="e">
        <f>-#REF!</f>
        <v>#REF!</v>
      </c>
      <c r="AZ50" s="144" t="e">
        <f>-#REF!</f>
        <v>#REF!</v>
      </c>
      <c r="BA50" s="144" t="e">
        <f>-#REF!</f>
        <v>#REF!</v>
      </c>
      <c r="BB50" s="144" t="e">
        <f>-#REF!</f>
        <v>#REF!</v>
      </c>
      <c r="BC50" s="144" t="e">
        <f>-#REF!</f>
        <v>#REF!</v>
      </c>
      <c r="BD50" s="144" t="e">
        <f>-#REF!</f>
        <v>#REF!</v>
      </c>
      <c r="BE50" s="144" t="e">
        <f>-#REF!</f>
        <v>#REF!</v>
      </c>
      <c r="BF50" s="144" t="e">
        <f>-#REF!</f>
        <v>#REF!</v>
      </c>
      <c r="BG50" s="144" t="e">
        <f>-#REF!</f>
        <v>#REF!</v>
      </c>
      <c r="BH50" s="144" t="e">
        <f>-#REF!</f>
        <v>#REF!</v>
      </c>
      <c r="BI50" s="144" t="e">
        <f>-#REF!</f>
        <v>#REF!</v>
      </c>
      <c r="BJ50" s="144" t="e">
        <f>-#REF!</f>
        <v>#REF!</v>
      </c>
      <c r="BK50" s="144" t="e">
        <f>-#REF!</f>
        <v>#REF!</v>
      </c>
      <c r="BL50" s="144" t="e">
        <f>-#REF!</f>
        <v>#REF!</v>
      </c>
      <c r="BM50" s="144" t="e">
        <f>-#REF!</f>
        <v>#REF!</v>
      </c>
      <c r="BN50" s="144" t="e">
        <f>-#REF!</f>
        <v>#REF!</v>
      </c>
      <c r="BO50" s="144" t="e">
        <f>-#REF!</f>
        <v>#REF!</v>
      </c>
      <c r="BP50" s="144" t="e">
        <f>-#REF!</f>
        <v>#REF!</v>
      </c>
      <c r="BQ50" s="144" t="e">
        <f>-#REF!</f>
        <v>#REF!</v>
      </c>
      <c r="BR50" s="144" t="e">
        <f>-#REF!</f>
        <v>#REF!</v>
      </c>
      <c r="BS50" s="144" t="e">
        <f>-#REF!</f>
        <v>#REF!</v>
      </c>
      <c r="BT50" s="144" t="e">
        <f>-#REF!</f>
        <v>#REF!</v>
      </c>
      <c r="BU50" s="144" t="e">
        <f>-#REF!</f>
        <v>#REF!</v>
      </c>
      <c r="BV50" s="144" t="e">
        <f>-#REF!</f>
        <v>#REF!</v>
      </c>
      <c r="BW50" s="144" t="e">
        <f>-#REF!</f>
        <v>#REF!</v>
      </c>
      <c r="BX50" s="144" t="e">
        <f>-#REF!</f>
        <v>#REF!</v>
      </c>
      <c r="BY50" s="144" t="e">
        <f>-#REF!</f>
        <v>#REF!</v>
      </c>
      <c r="BZ50" s="144" t="e">
        <f>-#REF!</f>
        <v>#REF!</v>
      </c>
      <c r="CA50" s="144" t="e">
        <f>-#REF!</f>
        <v>#REF!</v>
      </c>
      <c r="CB50" s="144" t="e">
        <f>-#REF!</f>
        <v>#REF!</v>
      </c>
      <c r="CC50" s="144" t="e">
        <f>-#REF!</f>
        <v>#REF!</v>
      </c>
      <c r="CD50" s="144" t="e">
        <f>-#REF!</f>
        <v>#REF!</v>
      </c>
      <c r="CE50" s="144" t="e">
        <f>-#REF!</f>
        <v>#REF!</v>
      </c>
      <c r="CF50" s="144" t="e">
        <f>-#REF!</f>
        <v>#REF!</v>
      </c>
      <c r="CG50" s="144" t="e">
        <f>-#REF!</f>
        <v>#REF!</v>
      </c>
      <c r="CH50" s="144" t="e">
        <f>-#REF!</f>
        <v>#REF!</v>
      </c>
      <c r="CI50" s="144" t="e">
        <f>-#REF!</f>
        <v>#REF!</v>
      </c>
      <c r="CJ50" s="144" t="e">
        <f>-#REF!</f>
        <v>#REF!</v>
      </c>
      <c r="CK50" s="144" t="e">
        <f>-#REF!</f>
        <v>#REF!</v>
      </c>
      <c r="CL50" s="144" t="e">
        <f>-#REF!</f>
        <v>#REF!</v>
      </c>
      <c r="CM50" s="144" t="e">
        <f>-#REF!</f>
        <v>#REF!</v>
      </c>
      <c r="CN50" s="144" t="e">
        <f>-#REF!</f>
        <v>#REF!</v>
      </c>
      <c r="CO50" s="144" t="e">
        <f>-#REF!</f>
        <v>#REF!</v>
      </c>
      <c r="CP50" s="144" t="e">
        <f>-#REF!</f>
        <v>#REF!</v>
      </c>
      <c r="CQ50" s="144" t="e">
        <f>-#REF!</f>
        <v>#REF!</v>
      </c>
      <c r="CR50" s="144" t="e">
        <f>-#REF!</f>
        <v>#REF!</v>
      </c>
      <c r="CS50" s="144" t="e">
        <f>-#REF!</f>
        <v>#REF!</v>
      </c>
      <c r="CT50" s="144" t="e">
        <f>-#REF!</f>
        <v>#REF!</v>
      </c>
      <c r="CU50" s="144" t="e">
        <f>-#REF!</f>
        <v>#REF!</v>
      </c>
      <c r="CV50" s="144" t="e">
        <f>-#REF!</f>
        <v>#REF!</v>
      </c>
      <c r="CW50" s="144" t="e">
        <f>-#REF!</f>
        <v>#REF!</v>
      </c>
      <c r="CX50" s="144" t="e">
        <f>-#REF!</f>
        <v>#REF!</v>
      </c>
      <c r="CY50" s="144" t="e">
        <f>-#REF!</f>
        <v>#REF!</v>
      </c>
      <c r="CZ50" s="144" t="e">
        <f>-#REF!</f>
        <v>#REF!</v>
      </c>
      <c r="DA50" s="144" t="e">
        <f>-#REF!</f>
        <v>#REF!</v>
      </c>
      <c r="DB50" s="144" t="e">
        <f>-#REF!</f>
        <v>#REF!</v>
      </c>
      <c r="DC50" s="144" t="e">
        <f>-#REF!</f>
        <v>#REF!</v>
      </c>
      <c r="DD50" s="144" t="e">
        <f>-#REF!</f>
        <v>#REF!</v>
      </c>
      <c r="DE50" s="144" t="e">
        <f>-#REF!</f>
        <v>#REF!</v>
      </c>
      <c r="DF50" s="144" t="e">
        <f>-#REF!</f>
        <v>#REF!</v>
      </c>
      <c r="DG50" s="144" t="e">
        <f>-#REF!</f>
        <v>#REF!</v>
      </c>
      <c r="DH50" s="144" t="e">
        <f>-#REF!</f>
        <v>#REF!</v>
      </c>
      <c r="DI50" s="144" t="e">
        <f>-#REF!</f>
        <v>#REF!</v>
      </c>
      <c r="DJ50" s="144" t="e">
        <f>-#REF!</f>
        <v>#REF!</v>
      </c>
      <c r="DK50" s="144" t="e">
        <f>-#REF!</f>
        <v>#REF!</v>
      </c>
      <c r="DL50" s="144" t="e">
        <f>-#REF!</f>
        <v>#REF!</v>
      </c>
      <c r="DM50" s="144" t="e">
        <f>-#REF!</f>
        <v>#REF!</v>
      </c>
      <c r="DN50" s="144" t="e">
        <f>-#REF!</f>
        <v>#REF!</v>
      </c>
      <c r="DO50" s="144" t="e">
        <f>-#REF!</f>
        <v>#REF!</v>
      </c>
      <c r="DP50" s="144" t="e">
        <f>-#REF!</f>
        <v>#REF!</v>
      </c>
      <c r="DQ50" s="144" t="e">
        <f>-#REF!</f>
        <v>#REF!</v>
      </c>
      <c r="DR50" s="144" t="e">
        <f>-#REF!</f>
        <v>#REF!</v>
      </c>
      <c r="DT50" s="144" t="e">
        <f t="shared" si="392"/>
        <v>#REF!</v>
      </c>
      <c r="DU50" s="144" t="e">
        <f t="shared" si="392"/>
        <v>#REF!</v>
      </c>
      <c r="DV50" s="144" t="e">
        <f t="shared" si="392"/>
        <v>#REF!</v>
      </c>
      <c r="DW50" s="144" t="e">
        <f t="shared" si="392"/>
        <v>#REF!</v>
      </c>
      <c r="DX50" s="144" t="e">
        <f t="shared" si="392"/>
        <v>#REF!</v>
      </c>
      <c r="DY50" s="144" t="e">
        <f t="shared" si="392"/>
        <v>#REF!</v>
      </c>
      <c r="DZ50" s="144" t="e">
        <f t="shared" si="392"/>
        <v>#REF!</v>
      </c>
      <c r="EA50" s="144" t="e">
        <f t="shared" si="392"/>
        <v>#REF!</v>
      </c>
      <c r="EB50" s="144" t="e">
        <f t="shared" si="392"/>
        <v>#REF!</v>
      </c>
      <c r="EC50" s="144" t="e">
        <f t="shared" si="392"/>
        <v>#REF!</v>
      </c>
    </row>
    <row r="52" ht="15.5">
      <c r="A52" s="310" t="s">
        <v>1262</v>
      </c>
      <c r="C52" s="261">
        <f>+C53+C54</f>
        <v>0</v>
      </c>
      <c r="D52" s="261">
        <f>+D53+D54</f>
        <v>0</v>
      </c>
      <c r="E52" s="261">
        <f t="shared" ref="E52:I52" si="393">+E53+E54</f>
        <v>0</v>
      </c>
      <c r="F52" s="261">
        <f t="shared" si="393"/>
        <v>0</v>
      </c>
      <c r="G52" s="261">
        <f t="shared" si="393"/>
        <v>0</v>
      </c>
      <c r="H52" s="261">
        <f t="shared" si="393"/>
        <v>0</v>
      </c>
      <c r="I52" s="261">
        <f t="shared" si="393"/>
        <v>0</v>
      </c>
      <c r="J52" s="261">
        <f t="shared" ref="J52" si="394">+J53+J54</f>
        <v>0</v>
      </c>
      <c r="K52" s="261">
        <f t="shared" ref="K52" si="395">+K53+K54</f>
        <v>0</v>
      </c>
      <c r="L52" s="261">
        <f t="shared" ref="L52" si="396">+L53+L54</f>
        <v>0</v>
      </c>
      <c r="M52" s="261">
        <f t="shared" ref="M52" si="397">+M53+M54</f>
        <v>0</v>
      </c>
      <c r="N52" s="261">
        <f t="shared" ref="N52" si="398">+N53+N54</f>
        <v>0</v>
      </c>
      <c r="O52" s="261">
        <f t="shared" ref="O52" si="399">+O53+O54</f>
        <v>0</v>
      </c>
      <c r="P52" s="261">
        <f t="shared" ref="P52" si="400">+P53+P54</f>
        <v>0</v>
      </c>
      <c r="Q52" s="261">
        <f t="shared" ref="Q52" si="401">+Q53+Q54</f>
        <v>0</v>
      </c>
      <c r="R52" s="261">
        <f t="shared" ref="R52" si="402">+R53+R54</f>
        <v>0</v>
      </c>
      <c r="S52" s="261">
        <f t="shared" ref="S52" si="403">+S53+S54</f>
        <v>0</v>
      </c>
      <c r="T52" s="261">
        <f t="shared" ref="T52" si="404">+T53+T54</f>
        <v>0</v>
      </c>
      <c r="U52" s="261">
        <f t="shared" ref="U52" si="405">+U53+U54</f>
        <v>0</v>
      </c>
      <c r="V52" s="261">
        <f t="shared" ref="V52" si="406">+V53+V54</f>
        <v>0</v>
      </c>
      <c r="W52" s="261">
        <f t="shared" ref="W52" si="407">+W53+W54</f>
        <v>0</v>
      </c>
      <c r="X52" s="261">
        <f t="shared" ref="X52" si="408">+X53+X54</f>
        <v>0</v>
      </c>
      <c r="Y52" s="261">
        <f t="shared" ref="Y52" si="409">+Y53+Y54</f>
        <v>0</v>
      </c>
      <c r="Z52" s="261">
        <f t="shared" ref="Z52" si="410">+Z53+Z54</f>
        <v>0</v>
      </c>
      <c r="AA52" s="261">
        <f t="shared" ref="AA52" si="411">+AA53+AA54</f>
        <v>0</v>
      </c>
      <c r="AB52" s="261">
        <f t="shared" ref="AB52" si="412">+AB53+AB54</f>
        <v>0</v>
      </c>
      <c r="AC52" s="261">
        <f t="shared" ref="AC52" si="413">+AC53+AC54</f>
        <v>0</v>
      </c>
      <c r="AD52" s="261">
        <f t="shared" ref="AD52" si="414">+AD53+AD54</f>
        <v>0</v>
      </c>
      <c r="AE52" s="261">
        <f t="shared" ref="AE52" si="415">+AE53+AE54</f>
        <v>0</v>
      </c>
      <c r="AF52" s="261">
        <f t="shared" ref="AF52" si="416">+AF53+AF54</f>
        <v>0</v>
      </c>
      <c r="AG52" s="261">
        <f t="shared" ref="AG52" si="417">+AG53+AG54</f>
        <v>0</v>
      </c>
      <c r="AH52" s="261">
        <f t="shared" ref="AH52" si="418">+AH53+AH54</f>
        <v>0</v>
      </c>
      <c r="AI52" s="261">
        <f t="shared" ref="AI52" si="419">+AI53+AI54</f>
        <v>0</v>
      </c>
      <c r="AJ52" s="261">
        <f t="shared" ref="AJ52" si="420">+AJ53+AJ54</f>
        <v>0</v>
      </c>
      <c r="AK52" s="261">
        <f t="shared" ref="AK52" si="421">+AK53+AK54</f>
        <v>0</v>
      </c>
      <c r="AL52" s="261">
        <f t="shared" ref="AL52" si="422">+AL53+AL54</f>
        <v>0</v>
      </c>
      <c r="AM52" s="261">
        <f t="shared" ref="AM52" si="423">+AM53+AM54</f>
        <v>0</v>
      </c>
      <c r="AN52" s="261">
        <f t="shared" ref="AN52" si="424">+AN53+AN54</f>
        <v>0</v>
      </c>
      <c r="AO52" s="261">
        <f t="shared" ref="AO52" si="425">+AO53+AO54</f>
        <v>0</v>
      </c>
      <c r="AP52" s="261">
        <f t="shared" ref="AP52" si="426">+AP53+AP54</f>
        <v>0</v>
      </c>
      <c r="AQ52" s="261">
        <f t="shared" ref="AQ52" si="427">+AQ53+AQ54</f>
        <v>0</v>
      </c>
      <c r="AR52" s="261">
        <f t="shared" ref="AR52" si="428">+AR53+AR54</f>
        <v>0</v>
      </c>
      <c r="AS52" s="261">
        <f t="shared" ref="AS52" si="429">+AS53+AS54</f>
        <v>0</v>
      </c>
      <c r="AT52" s="261">
        <f t="shared" ref="AT52" si="430">+AT53+AT54</f>
        <v>0</v>
      </c>
      <c r="AU52" s="261">
        <f t="shared" ref="AU52" si="431">+AU53+AU54</f>
        <v>0</v>
      </c>
      <c r="AV52" s="261">
        <f t="shared" ref="AV52" si="432">+AV53+AV54</f>
        <v>0</v>
      </c>
      <c r="AW52" s="261">
        <f t="shared" ref="AW52" si="433">+AW53+AW54</f>
        <v>0</v>
      </c>
      <c r="AX52" s="261">
        <f t="shared" ref="AX52" si="434">+AX53+AX54</f>
        <v>0</v>
      </c>
      <c r="AY52" s="261">
        <f t="shared" ref="AY52" si="435">+AY53+AY54</f>
        <v>0</v>
      </c>
      <c r="AZ52" s="261">
        <f t="shared" ref="AZ52" si="436">+AZ53+AZ54</f>
        <v>0</v>
      </c>
      <c r="BA52" s="261">
        <f t="shared" ref="BA52" si="437">+BA53+BA54</f>
        <v>0</v>
      </c>
      <c r="BB52" s="261">
        <f t="shared" ref="BB52" si="438">+BB53+BB54</f>
        <v>0</v>
      </c>
      <c r="BC52" s="261">
        <f t="shared" ref="BC52" si="439">+BC53+BC54</f>
        <v>0</v>
      </c>
      <c r="BD52" s="261">
        <f t="shared" ref="BD52" si="440">+BD53+BD54</f>
        <v>0</v>
      </c>
      <c r="BE52" s="261">
        <f t="shared" ref="BE52" si="441">+BE53+BE54</f>
        <v>0</v>
      </c>
      <c r="BF52" s="261">
        <f t="shared" ref="BF52" si="442">+BF53+BF54</f>
        <v>0</v>
      </c>
      <c r="BG52" s="261">
        <f t="shared" ref="BG52" si="443">+BG53+BG54</f>
        <v>0</v>
      </c>
      <c r="BH52" s="261">
        <f t="shared" ref="BH52" si="444">+BH53+BH54</f>
        <v>0</v>
      </c>
      <c r="BI52" s="261">
        <f t="shared" ref="BI52" si="445">+BI53+BI54</f>
        <v>0</v>
      </c>
      <c r="BJ52" s="261">
        <f t="shared" ref="BJ52" si="446">+BJ53+BJ54</f>
        <v>0</v>
      </c>
      <c r="BK52" s="261">
        <f t="shared" ref="BK52" si="447">+BK53+BK54</f>
        <v>0</v>
      </c>
      <c r="BL52" s="261">
        <f t="shared" ref="BL52" si="448">+BL53+BL54</f>
        <v>0</v>
      </c>
      <c r="BM52" s="261">
        <f t="shared" ref="BM52" si="449">+BM53+BM54</f>
        <v>0</v>
      </c>
      <c r="BN52" s="261">
        <f t="shared" ref="BN52" si="450">+BN53+BN54</f>
        <v>0</v>
      </c>
      <c r="BO52" s="261">
        <f t="shared" ref="BO52" si="451">+BO53+BO54</f>
        <v>0</v>
      </c>
      <c r="BP52" s="261">
        <f t="shared" ref="BP52" si="452">+BP53+BP54</f>
        <v>0</v>
      </c>
      <c r="BQ52" s="261">
        <f t="shared" ref="BQ52" si="453">+BQ53+BQ54</f>
        <v>0</v>
      </c>
      <c r="BR52" s="261">
        <f t="shared" ref="BR52" si="454">+BR53+BR54</f>
        <v>0</v>
      </c>
      <c r="BS52" s="261">
        <f t="shared" ref="BS52" si="455">+BS53+BS54</f>
        <v>0</v>
      </c>
      <c r="BT52" s="261">
        <f t="shared" ref="BT52" si="456">+BT53+BT54</f>
        <v>0</v>
      </c>
      <c r="BU52" s="261">
        <f t="shared" ref="BU52" si="457">+BU53+BU54</f>
        <v>0</v>
      </c>
      <c r="BV52" s="261">
        <f t="shared" ref="BV52" si="458">+BV53+BV54</f>
        <v>0</v>
      </c>
      <c r="BW52" s="261">
        <f t="shared" ref="BW52" si="459">+BW53+BW54</f>
        <v>0</v>
      </c>
      <c r="BX52" s="261">
        <f t="shared" ref="BX52" si="460">+BX53+BX54</f>
        <v>0</v>
      </c>
      <c r="BY52" s="261">
        <f t="shared" ref="BY52" si="461">+BY53+BY54</f>
        <v>0</v>
      </c>
      <c r="BZ52" s="261">
        <f t="shared" ref="BZ52" si="462">+BZ53+BZ54</f>
        <v>0</v>
      </c>
      <c r="CA52" s="261">
        <f t="shared" ref="CA52" si="463">+CA53+CA54</f>
        <v>0</v>
      </c>
      <c r="CB52" s="261">
        <f t="shared" ref="CB52" si="464">+CB53+CB54</f>
        <v>0</v>
      </c>
      <c r="CC52" s="261">
        <f t="shared" ref="CC52" si="465">+CC53+CC54</f>
        <v>0</v>
      </c>
      <c r="CD52" s="261">
        <f t="shared" ref="CD52" si="466">+CD53+CD54</f>
        <v>0</v>
      </c>
      <c r="CE52" s="261">
        <f t="shared" ref="CE52" si="467">+CE53+CE54</f>
        <v>0</v>
      </c>
      <c r="CF52" s="261">
        <f t="shared" ref="CF52" si="468">+CF53+CF54</f>
        <v>0</v>
      </c>
      <c r="CG52" s="261">
        <f t="shared" ref="CG52" si="469">+CG53+CG54</f>
        <v>0</v>
      </c>
      <c r="CH52" s="261">
        <f t="shared" ref="CH52" si="470">+CH53+CH54</f>
        <v>0</v>
      </c>
      <c r="CI52" s="261">
        <f t="shared" ref="CI52" si="471">+CI53+CI54</f>
        <v>0</v>
      </c>
      <c r="CJ52" s="261">
        <f t="shared" ref="CJ52" si="472">+CJ53+CJ54</f>
        <v>0</v>
      </c>
      <c r="CK52" s="261">
        <f t="shared" ref="CK52" si="473">+CK53+CK54</f>
        <v>0</v>
      </c>
      <c r="CL52" s="261">
        <f t="shared" ref="CL52" si="474">+CL53+CL54</f>
        <v>0</v>
      </c>
      <c r="CM52" s="261">
        <f t="shared" ref="CM52" si="475">+CM53+CM54</f>
        <v>0</v>
      </c>
      <c r="CN52" s="261">
        <f t="shared" ref="CN52" si="476">+CN53+CN54</f>
        <v>0</v>
      </c>
      <c r="CO52" s="261">
        <f t="shared" ref="CO52" si="477">+CO53+CO54</f>
        <v>0</v>
      </c>
      <c r="CP52" s="261">
        <f t="shared" ref="CP52" si="478">+CP53+CP54</f>
        <v>0</v>
      </c>
      <c r="CQ52" s="261">
        <f t="shared" ref="CQ52" si="479">+CQ53+CQ54</f>
        <v>0</v>
      </c>
      <c r="CR52" s="261">
        <f t="shared" ref="CR52" si="480">+CR53+CR54</f>
        <v>0</v>
      </c>
      <c r="CS52" s="261">
        <f t="shared" ref="CS52" si="481">+CS53+CS54</f>
        <v>0</v>
      </c>
      <c r="CT52" s="261">
        <f t="shared" ref="CT52" si="482">+CT53+CT54</f>
        <v>0</v>
      </c>
      <c r="CU52" s="261">
        <f t="shared" ref="CU52" si="483">+CU53+CU54</f>
        <v>0</v>
      </c>
      <c r="CV52" s="261">
        <f t="shared" ref="CV52" si="484">+CV53+CV54</f>
        <v>0</v>
      </c>
      <c r="CW52" s="261">
        <f t="shared" ref="CW52" si="485">+CW53+CW54</f>
        <v>0</v>
      </c>
      <c r="CX52" s="261">
        <f t="shared" ref="CX52" si="486">+CX53+CX54</f>
        <v>0</v>
      </c>
      <c r="CY52" s="261">
        <f t="shared" ref="CY52" si="487">+CY53+CY54</f>
        <v>0</v>
      </c>
      <c r="CZ52" s="261">
        <f t="shared" ref="CZ52" si="488">+CZ53+CZ54</f>
        <v>0</v>
      </c>
      <c r="DA52" s="261">
        <f t="shared" ref="DA52" si="489">+DA53+DA54</f>
        <v>0</v>
      </c>
      <c r="DB52" s="261">
        <f t="shared" ref="DB52" si="490">+DB53+DB54</f>
        <v>0</v>
      </c>
      <c r="DC52" s="261">
        <f t="shared" ref="DC52" si="491">+DC53+DC54</f>
        <v>0</v>
      </c>
      <c r="DD52" s="261">
        <f t="shared" ref="DD52" si="492">+DD53+DD54</f>
        <v>0</v>
      </c>
      <c r="DE52" s="261">
        <f t="shared" ref="DE52" si="493">+DE53+DE54</f>
        <v>0</v>
      </c>
      <c r="DF52" s="261">
        <f t="shared" ref="DF52" si="494">+DF53+DF54</f>
        <v>0</v>
      </c>
      <c r="DG52" s="261">
        <f t="shared" ref="DG52" si="495">+DG53+DG54</f>
        <v>0</v>
      </c>
      <c r="DH52" s="261">
        <f t="shared" ref="DH52" si="496">+DH53+DH54</f>
        <v>0</v>
      </c>
      <c r="DI52" s="261">
        <f t="shared" ref="DI52" si="497">+DI53+DI54</f>
        <v>0</v>
      </c>
      <c r="DJ52" s="261">
        <f t="shared" ref="DJ52" si="498">+DJ53+DJ54</f>
        <v>0</v>
      </c>
      <c r="DK52" s="261">
        <f t="shared" ref="DK52" si="499">+DK53+DK54</f>
        <v>0</v>
      </c>
      <c r="DL52" s="261">
        <f t="shared" ref="DL52" si="500">+DL53+DL54</f>
        <v>0</v>
      </c>
      <c r="DM52" s="261">
        <f t="shared" ref="DM52" si="501">+DM53+DM54</f>
        <v>0</v>
      </c>
      <c r="DN52" s="261">
        <f t="shared" ref="DN52" si="502">+DN53+DN54</f>
        <v>0</v>
      </c>
      <c r="DO52" s="261">
        <f t="shared" ref="DO52" si="503">+DO53+DO54</f>
        <v>0</v>
      </c>
      <c r="DP52" s="261">
        <f t="shared" ref="DP52" si="504">+DP53+DP54</f>
        <v>0</v>
      </c>
      <c r="DQ52" s="261">
        <f t="shared" ref="DQ52" si="505">+DQ53+DQ54</f>
        <v>0</v>
      </c>
      <c r="DR52" s="261">
        <f t="shared" ref="DR52:EC52" si="506">+DR53+DR54</f>
        <v>0</v>
      </c>
      <c r="DT52" s="261">
        <f t="shared" si="506"/>
        <v>0</v>
      </c>
      <c r="DU52" s="261">
        <f t="shared" si="506"/>
        <v>0</v>
      </c>
      <c r="DV52" s="261">
        <f t="shared" si="506"/>
        <v>0</v>
      </c>
      <c r="DW52" s="261">
        <f t="shared" si="506"/>
        <v>0</v>
      </c>
      <c r="DX52" s="261">
        <f t="shared" si="506"/>
        <v>0</v>
      </c>
      <c r="DY52" s="261">
        <f t="shared" si="506"/>
        <v>0</v>
      </c>
      <c r="DZ52" s="261">
        <f t="shared" si="506"/>
        <v>0</v>
      </c>
      <c r="EA52" s="261">
        <f t="shared" si="506"/>
        <v>0</v>
      </c>
      <c r="EB52" s="261">
        <f t="shared" si="506"/>
        <v>0</v>
      </c>
      <c r="EC52" s="261">
        <f t="shared" si="506"/>
        <v>0</v>
      </c>
    </row>
    <row r="53" ht="14.5">
      <c r="A53" t="s">
        <v>1263</v>
      </c>
      <c r="C53" s="47">
        <f>+'SP-mese'!D77-'SP-mese'!C77</f>
        <v>0</v>
      </c>
      <c r="D53" s="47">
        <f>+'SP-mese'!E77-'SP-mese'!D77</f>
        <v>0</v>
      </c>
      <c r="E53" s="47">
        <f>+'SP-mese'!F77-'SP-mese'!E77</f>
        <v>0</v>
      </c>
      <c r="F53" s="47">
        <f>+'SP-mese'!G77-'SP-mese'!F77</f>
        <v>0</v>
      </c>
      <c r="G53" s="47">
        <f>+'SP-mese'!H77-'SP-mese'!G77</f>
        <v>0</v>
      </c>
      <c r="H53" s="47">
        <f>+'SP-mese'!I77-'SP-mese'!H77</f>
        <v>0</v>
      </c>
      <c r="I53" s="47">
        <f>+'SP-mese'!J77-'SP-mese'!I77</f>
        <v>0</v>
      </c>
      <c r="J53" s="47">
        <f>+'SP-mese'!K77-'SP-mese'!J77</f>
        <v>0</v>
      </c>
      <c r="K53" s="47">
        <f>+'SP-mese'!L77-'SP-mese'!K77</f>
        <v>0</v>
      </c>
      <c r="L53" s="47">
        <f>+'SP-mese'!M77-'SP-mese'!L77</f>
        <v>0</v>
      </c>
      <c r="M53" s="47">
        <f>+'SP-mese'!N77-'SP-mese'!M77</f>
        <v>0</v>
      </c>
      <c r="N53" s="47">
        <f>+'SP-mese'!O77-'SP-mese'!N77</f>
        <v>0</v>
      </c>
      <c r="O53" s="47">
        <f>+'SP-mese'!P77-'SP-mese'!O77</f>
        <v>0</v>
      </c>
      <c r="P53" s="47">
        <f>+'SP-mese'!Q77-'SP-mese'!P77</f>
        <v>0</v>
      </c>
      <c r="Q53" s="47">
        <f>+'SP-mese'!R77-'SP-mese'!Q77</f>
        <v>0</v>
      </c>
      <c r="R53" s="47">
        <f>+'SP-mese'!S77-'SP-mese'!R77</f>
        <v>0</v>
      </c>
      <c r="S53" s="47">
        <f>+'SP-mese'!T77-'SP-mese'!S77</f>
        <v>0</v>
      </c>
      <c r="T53" s="47">
        <f>+'SP-mese'!U77-'SP-mese'!T77</f>
        <v>0</v>
      </c>
      <c r="U53" s="47">
        <f>+'SP-mese'!V77-'SP-mese'!U77</f>
        <v>0</v>
      </c>
      <c r="V53" s="47">
        <f>+'SP-mese'!W77-'SP-mese'!V77</f>
        <v>0</v>
      </c>
      <c r="W53" s="47">
        <f>+'SP-mese'!X77-'SP-mese'!W77</f>
        <v>0</v>
      </c>
      <c r="X53" s="47">
        <f>+'SP-mese'!Y77-'SP-mese'!X77</f>
        <v>0</v>
      </c>
      <c r="Y53" s="47">
        <f>+'SP-mese'!Z77-'SP-mese'!Y77</f>
        <v>0</v>
      </c>
      <c r="Z53" s="47">
        <f>+'SP-mese'!AA77-'SP-mese'!Z77</f>
        <v>0</v>
      </c>
      <c r="AA53" s="47">
        <f>+'SP-mese'!AB77-'SP-mese'!AA77</f>
        <v>0</v>
      </c>
      <c r="AB53" s="47">
        <f>+'SP-mese'!AC77-'SP-mese'!AB77</f>
        <v>0</v>
      </c>
      <c r="AC53" s="47">
        <f>+'SP-mese'!AD77-'SP-mese'!AC77</f>
        <v>0</v>
      </c>
      <c r="AD53" s="47">
        <f>+'SP-mese'!AE77-'SP-mese'!AD77</f>
        <v>0</v>
      </c>
      <c r="AE53" s="47">
        <f>+'SP-mese'!AF77-'SP-mese'!AE77</f>
        <v>0</v>
      </c>
      <c r="AF53" s="47">
        <f>+'SP-mese'!AG77-'SP-mese'!AF77</f>
        <v>0</v>
      </c>
      <c r="AG53" s="47">
        <f>+'SP-mese'!AH77-'SP-mese'!AG77</f>
        <v>0</v>
      </c>
      <c r="AH53" s="47">
        <f>+'SP-mese'!AI77-'SP-mese'!AH77</f>
        <v>0</v>
      </c>
      <c r="AI53" s="47">
        <f>+'SP-mese'!AJ77-'SP-mese'!AI77</f>
        <v>0</v>
      </c>
      <c r="AJ53" s="47">
        <f>+'SP-mese'!AK77-'SP-mese'!AJ77</f>
        <v>0</v>
      </c>
      <c r="AK53" s="47">
        <f>+'SP-mese'!AL77-'SP-mese'!AK77</f>
        <v>0</v>
      </c>
      <c r="AL53" s="47">
        <f>+'SP-mese'!AM77-'SP-mese'!AL77</f>
        <v>0</v>
      </c>
      <c r="AM53" s="47">
        <f>+'SP-mese'!AN77-'SP-mese'!AM77</f>
        <v>0</v>
      </c>
      <c r="AN53" s="47">
        <f>+'SP-mese'!AO77-'SP-mese'!AN77</f>
        <v>0</v>
      </c>
      <c r="AO53" s="47">
        <f>+'SP-mese'!AP77-'SP-mese'!AO77</f>
        <v>0</v>
      </c>
      <c r="AP53" s="47">
        <f>+'SP-mese'!AQ77-'SP-mese'!AP77</f>
        <v>0</v>
      </c>
      <c r="AQ53" s="47">
        <f>+'SP-mese'!AR77-'SP-mese'!AQ77</f>
        <v>0</v>
      </c>
      <c r="AR53" s="47">
        <f>+'SP-mese'!AS77-'SP-mese'!AR77</f>
        <v>0</v>
      </c>
      <c r="AS53" s="47">
        <f>+'SP-mese'!AT77-'SP-mese'!AS77</f>
        <v>0</v>
      </c>
      <c r="AT53" s="47">
        <f>+'SP-mese'!AU77-'SP-mese'!AT77</f>
        <v>0</v>
      </c>
      <c r="AU53" s="47">
        <f>+'SP-mese'!AV77-'SP-mese'!AU77</f>
        <v>0</v>
      </c>
      <c r="AV53" s="47">
        <f>+'SP-mese'!AW77-'SP-mese'!AV77</f>
        <v>0</v>
      </c>
      <c r="AW53" s="47">
        <f>+'SP-mese'!AX77-'SP-mese'!AW77</f>
        <v>0</v>
      </c>
      <c r="AX53" s="47">
        <f>+'SP-mese'!AY77-'SP-mese'!AX77</f>
        <v>0</v>
      </c>
      <c r="AY53" s="47">
        <f>+'SP-mese'!AZ77-'SP-mese'!AY77</f>
        <v>0</v>
      </c>
      <c r="AZ53" s="47">
        <f>+'SP-mese'!BA77-'SP-mese'!AZ77</f>
        <v>0</v>
      </c>
      <c r="BA53" s="47">
        <f>+'SP-mese'!BB77-'SP-mese'!BA77</f>
        <v>0</v>
      </c>
      <c r="BB53" s="47">
        <f>+'SP-mese'!BC77-'SP-mese'!BB77</f>
        <v>0</v>
      </c>
      <c r="BC53" s="47">
        <f>+'SP-mese'!BD77-'SP-mese'!BC77</f>
        <v>0</v>
      </c>
      <c r="BD53" s="47">
        <f>+'SP-mese'!BE77-'SP-mese'!BD77</f>
        <v>0</v>
      </c>
      <c r="BE53" s="47">
        <f>+'SP-mese'!BF77-'SP-mese'!BE77</f>
        <v>0</v>
      </c>
      <c r="BF53" s="47">
        <f>+'SP-mese'!BG77-'SP-mese'!BF77</f>
        <v>0</v>
      </c>
      <c r="BG53" s="47">
        <f>+'SP-mese'!BH77-'SP-mese'!BG77</f>
        <v>0</v>
      </c>
      <c r="BH53" s="47">
        <f>+'SP-mese'!BI77-'SP-mese'!BH77</f>
        <v>0</v>
      </c>
      <c r="BI53" s="47">
        <f>+'SP-mese'!BJ77-'SP-mese'!BI77</f>
        <v>0</v>
      </c>
      <c r="BJ53" s="47">
        <f>+'SP-mese'!BK77-'SP-mese'!BJ77</f>
        <v>0</v>
      </c>
      <c r="BK53" s="47">
        <f>+'SP-mese'!BL77-'SP-mese'!BK77</f>
        <v>0</v>
      </c>
      <c r="BL53" s="47">
        <f>+'SP-mese'!BM77-'SP-mese'!BL77</f>
        <v>0</v>
      </c>
      <c r="BM53" s="47">
        <f>+'SP-mese'!BN77-'SP-mese'!BM77</f>
        <v>0</v>
      </c>
      <c r="BN53" s="47">
        <f>+'SP-mese'!BO77-'SP-mese'!BN77</f>
        <v>0</v>
      </c>
      <c r="BO53" s="47">
        <f>+'SP-mese'!BP77-'SP-mese'!BO77</f>
        <v>0</v>
      </c>
      <c r="BP53" s="47">
        <f>+'SP-mese'!BQ77-'SP-mese'!BP77</f>
        <v>0</v>
      </c>
      <c r="BQ53" s="47">
        <f>+'SP-mese'!BR77-'SP-mese'!BQ77</f>
        <v>0</v>
      </c>
      <c r="BR53" s="47">
        <f>+'SP-mese'!BS77-'SP-mese'!BR77</f>
        <v>0</v>
      </c>
      <c r="BS53" s="47">
        <f>+'SP-mese'!BT77-'SP-mese'!BS77</f>
        <v>0</v>
      </c>
      <c r="BT53" s="47">
        <f>+'SP-mese'!BU77-'SP-mese'!BT77</f>
        <v>0</v>
      </c>
      <c r="BU53" s="47">
        <f>+'SP-mese'!BV77-'SP-mese'!BU77</f>
        <v>0</v>
      </c>
      <c r="BV53" s="47">
        <f>+'SP-mese'!BW77-'SP-mese'!BV77</f>
        <v>0</v>
      </c>
      <c r="BW53" s="47">
        <f>+'SP-mese'!BX77-'SP-mese'!BW77</f>
        <v>0</v>
      </c>
      <c r="BX53" s="47">
        <f>+'SP-mese'!BY77-'SP-mese'!BX77</f>
        <v>0</v>
      </c>
      <c r="BY53" s="47">
        <f>+'SP-mese'!BZ77-'SP-mese'!BY77</f>
        <v>0</v>
      </c>
      <c r="BZ53" s="47">
        <f>+'SP-mese'!CA77-'SP-mese'!BZ77</f>
        <v>0</v>
      </c>
      <c r="CA53" s="47">
        <f>+'SP-mese'!CB77-'SP-mese'!CA77</f>
        <v>0</v>
      </c>
      <c r="CB53" s="47">
        <f>+'SP-mese'!CC77-'SP-mese'!CB77</f>
        <v>0</v>
      </c>
      <c r="CC53" s="47">
        <f>+'SP-mese'!CD77-'SP-mese'!CC77</f>
        <v>0</v>
      </c>
      <c r="CD53" s="47">
        <f>+'SP-mese'!CE77-'SP-mese'!CD77</f>
        <v>0</v>
      </c>
      <c r="CE53" s="47">
        <f>+'SP-mese'!CF77-'SP-mese'!CE77</f>
        <v>0</v>
      </c>
      <c r="CF53" s="47">
        <f>+'SP-mese'!CG77-'SP-mese'!CF77</f>
        <v>0</v>
      </c>
      <c r="CG53" s="47">
        <f>+'SP-mese'!CH77-'SP-mese'!CG77</f>
        <v>0</v>
      </c>
      <c r="CH53" s="47">
        <f>+'SP-mese'!CI77-'SP-mese'!CH77</f>
        <v>0</v>
      </c>
      <c r="CI53" s="47">
        <f>+'SP-mese'!CJ77-'SP-mese'!CI77</f>
        <v>0</v>
      </c>
      <c r="CJ53" s="47">
        <f>+'SP-mese'!CK77-'SP-mese'!CJ77</f>
        <v>0</v>
      </c>
      <c r="CK53" s="47">
        <f>+'SP-mese'!CL77-'SP-mese'!CK77</f>
        <v>0</v>
      </c>
      <c r="CL53" s="47">
        <f>+'SP-mese'!CM77-'SP-mese'!CL77</f>
        <v>0</v>
      </c>
      <c r="CM53" s="47">
        <f>+'SP-mese'!CN77-'SP-mese'!CM77</f>
        <v>0</v>
      </c>
      <c r="CN53" s="47">
        <f>+'SP-mese'!CO77-'SP-mese'!CN77</f>
        <v>0</v>
      </c>
      <c r="CO53" s="47">
        <f>+'SP-mese'!CP77-'SP-mese'!CO77</f>
        <v>0</v>
      </c>
      <c r="CP53" s="47">
        <f>+'SP-mese'!CQ77-'SP-mese'!CP77</f>
        <v>0</v>
      </c>
      <c r="CQ53" s="47">
        <f>+'SP-mese'!CR77-'SP-mese'!CQ77</f>
        <v>0</v>
      </c>
      <c r="CR53" s="47">
        <f>+'SP-mese'!CS77-'SP-mese'!CR77</f>
        <v>0</v>
      </c>
      <c r="CS53" s="47">
        <f>+'SP-mese'!CT77-'SP-mese'!CS77</f>
        <v>0</v>
      </c>
      <c r="CT53" s="47">
        <f>+'SP-mese'!CU77-'SP-mese'!CT77</f>
        <v>0</v>
      </c>
      <c r="CU53" s="47">
        <f>+'SP-mese'!CV77-'SP-mese'!CU77</f>
        <v>0</v>
      </c>
      <c r="CV53" s="47">
        <f>+'SP-mese'!CW77-'SP-mese'!CV77</f>
        <v>0</v>
      </c>
      <c r="CW53" s="47">
        <f>+'SP-mese'!CX77-'SP-mese'!CW77</f>
        <v>0</v>
      </c>
      <c r="CX53" s="47">
        <f>+'SP-mese'!CY77-'SP-mese'!CX77</f>
        <v>0</v>
      </c>
      <c r="CY53" s="47">
        <f>+'SP-mese'!CZ77-'SP-mese'!CY77</f>
        <v>0</v>
      </c>
      <c r="CZ53" s="47">
        <f>+'SP-mese'!DA77-'SP-mese'!CZ77</f>
        <v>0</v>
      </c>
      <c r="DA53" s="47">
        <f>+'SP-mese'!DB77-'SP-mese'!DA77</f>
        <v>0</v>
      </c>
      <c r="DB53" s="47">
        <f>+'SP-mese'!DC77-'SP-mese'!DB77</f>
        <v>0</v>
      </c>
      <c r="DC53" s="47">
        <f>+'SP-mese'!DD77-'SP-mese'!DC77</f>
        <v>0</v>
      </c>
      <c r="DD53" s="47">
        <f>+'SP-mese'!DE77-'SP-mese'!DD77</f>
        <v>0</v>
      </c>
      <c r="DE53" s="47">
        <f>+'SP-mese'!DF77-'SP-mese'!DE77</f>
        <v>0</v>
      </c>
      <c r="DF53" s="47">
        <f>+'SP-mese'!DG77-'SP-mese'!DF77</f>
        <v>0</v>
      </c>
      <c r="DG53" s="47">
        <f>+'SP-mese'!DH77-'SP-mese'!DG77</f>
        <v>0</v>
      </c>
      <c r="DH53" s="47">
        <f>+'SP-mese'!DI77-'SP-mese'!DH77</f>
        <v>0</v>
      </c>
      <c r="DI53" s="47">
        <f>+'SP-mese'!DJ77-'SP-mese'!DI77</f>
        <v>0</v>
      </c>
      <c r="DJ53" s="47">
        <f>+'SP-mese'!DK77-'SP-mese'!DJ77</f>
        <v>0</v>
      </c>
      <c r="DK53" s="47">
        <f>+'SP-mese'!DL77-'SP-mese'!DK77</f>
        <v>0</v>
      </c>
      <c r="DL53" s="47">
        <f>+'SP-mese'!DM77-'SP-mese'!DL77</f>
        <v>0</v>
      </c>
      <c r="DM53" s="47">
        <f>+'SP-mese'!DN77-'SP-mese'!DM77</f>
        <v>0</v>
      </c>
      <c r="DN53" s="47">
        <f>+'SP-mese'!DO77-'SP-mese'!DN77</f>
        <v>0</v>
      </c>
      <c r="DO53" s="47">
        <f>+'SP-mese'!DP77-'SP-mese'!DO77</f>
        <v>0</v>
      </c>
      <c r="DP53" s="47">
        <f>+'SP-mese'!DQ77-'SP-mese'!DP77</f>
        <v>0</v>
      </c>
      <c r="DQ53" s="47">
        <f>+'SP-mese'!DR77-'SP-mese'!DQ77</f>
        <v>0</v>
      </c>
      <c r="DR53" s="47">
        <f>+'SP-mese'!DS77-'SP-mese'!DR77</f>
        <v>0</v>
      </c>
      <c r="DT53" s="144">
        <f t="shared" ref="DT53:EC54" si="507">+SUMIF($C$1:$DR$1,DT$1,$C53:$DR53)</f>
        <v>0</v>
      </c>
      <c r="DU53" s="144">
        <f t="shared" si="507"/>
        <v>0</v>
      </c>
      <c r="DV53" s="144">
        <f t="shared" si="507"/>
        <v>0</v>
      </c>
      <c r="DW53" s="144">
        <f t="shared" si="507"/>
        <v>0</v>
      </c>
      <c r="DX53" s="144">
        <f t="shared" si="507"/>
        <v>0</v>
      </c>
      <c r="DY53" s="144">
        <f t="shared" si="507"/>
        <v>0</v>
      </c>
      <c r="DZ53" s="144">
        <f t="shared" si="507"/>
        <v>0</v>
      </c>
      <c r="EA53" s="144">
        <f t="shared" si="507"/>
        <v>0</v>
      </c>
      <c r="EB53" s="144">
        <f t="shared" si="507"/>
        <v>0</v>
      </c>
      <c r="EC53" s="144">
        <f t="shared" si="507"/>
        <v>0</v>
      </c>
    </row>
    <row r="54" ht="14.5">
      <c r="A54" t="s">
        <v>1264</v>
      </c>
      <c r="C54" s="47">
        <f>+'SP-mese'!D80-'SP-mese'!C80-'SP-mese'!C81</f>
        <v>0</v>
      </c>
      <c r="D54" s="47">
        <f>+'SP-mese'!E80-'SP-mese'!D80-'SP-mese'!D81</f>
        <v>0</v>
      </c>
      <c r="E54" s="47">
        <f>+'SP-mese'!F80-'SP-mese'!E80-'SP-mese'!E81</f>
        <v>0</v>
      </c>
      <c r="F54" s="47">
        <f>+'SP-mese'!G80-'SP-mese'!F80-'SP-mese'!F81</f>
        <v>0</v>
      </c>
      <c r="G54" s="47">
        <f>+'SP-mese'!H80-'SP-mese'!G80-'SP-mese'!G81</f>
        <v>0</v>
      </c>
      <c r="H54" s="47">
        <f>+'SP-mese'!I80-'SP-mese'!H80-'SP-mese'!H81</f>
        <v>0</v>
      </c>
      <c r="I54" s="47">
        <f>+'SP-mese'!J80-'SP-mese'!I80-'SP-mese'!I81</f>
        <v>0</v>
      </c>
      <c r="J54" s="47">
        <f>+'SP-mese'!K80-'SP-mese'!J80-'SP-mese'!J81</f>
        <v>0</v>
      </c>
      <c r="K54" s="47">
        <f>+'SP-mese'!L80-'SP-mese'!K80-'SP-mese'!K81</f>
        <v>0</v>
      </c>
      <c r="L54" s="47">
        <f>+'SP-mese'!M80-'SP-mese'!L80-'SP-mese'!L81</f>
        <v>0</v>
      </c>
      <c r="M54" s="47">
        <f>+'SP-mese'!N80-'SP-mese'!M80-'SP-mese'!M81</f>
        <v>0</v>
      </c>
      <c r="N54" s="47">
        <f>+'SP-mese'!O80-'SP-mese'!N80-'SP-mese'!N81</f>
        <v>0</v>
      </c>
      <c r="O54" s="47">
        <f>+'SP-mese'!P80-'SP-mese'!O80-'SP-mese'!O81</f>
        <v>0</v>
      </c>
      <c r="P54" s="47">
        <f>+'SP-mese'!Q80-'SP-mese'!P80-'SP-mese'!P81</f>
        <v>0</v>
      </c>
      <c r="Q54" s="47">
        <f>+'SP-mese'!R80-'SP-mese'!Q80-'SP-mese'!Q81</f>
        <v>0</v>
      </c>
      <c r="R54" s="47">
        <f>+'SP-mese'!S80-'SP-mese'!R80-'SP-mese'!R81</f>
        <v>0</v>
      </c>
      <c r="S54" s="47">
        <f>+'SP-mese'!T80-'SP-mese'!S80-'SP-mese'!S81</f>
        <v>0</v>
      </c>
      <c r="T54" s="47">
        <f>+'SP-mese'!U80-'SP-mese'!T80-'SP-mese'!T81</f>
        <v>0</v>
      </c>
      <c r="U54" s="47">
        <f>+'SP-mese'!V80-'SP-mese'!U80-'SP-mese'!U81</f>
        <v>0</v>
      </c>
      <c r="V54" s="47">
        <f>+'SP-mese'!W80-'SP-mese'!V80-'SP-mese'!V81</f>
        <v>0</v>
      </c>
      <c r="W54" s="47">
        <f>+'SP-mese'!X80-'SP-mese'!W80-'SP-mese'!W81</f>
        <v>0</v>
      </c>
      <c r="X54" s="47">
        <f>+'SP-mese'!Y80-'SP-mese'!X80-'SP-mese'!X81</f>
        <v>0</v>
      </c>
      <c r="Y54" s="47">
        <f>+'SP-mese'!Z80-'SP-mese'!Y80-'SP-mese'!Y81</f>
        <v>0</v>
      </c>
      <c r="Z54" s="47">
        <f>+'SP-mese'!AA80-'SP-mese'!Z80-'SP-mese'!Z81</f>
        <v>0</v>
      </c>
      <c r="AA54" s="47">
        <f>+'SP-mese'!AB80-'SP-mese'!AA80-'SP-mese'!AA81</f>
        <v>0</v>
      </c>
      <c r="AB54" s="47">
        <f>+'SP-mese'!AC80-'SP-mese'!AB80-'SP-mese'!AB81</f>
        <v>0</v>
      </c>
      <c r="AC54" s="47">
        <f>+'SP-mese'!AD80-'SP-mese'!AC80-'SP-mese'!AC81</f>
        <v>0</v>
      </c>
      <c r="AD54" s="47">
        <f>+'SP-mese'!AE80-'SP-mese'!AD80-'SP-mese'!AD81</f>
        <v>0</v>
      </c>
      <c r="AE54" s="47">
        <f>+'SP-mese'!AF80-'SP-mese'!AE80-'SP-mese'!AE81</f>
        <v>0</v>
      </c>
      <c r="AF54" s="47">
        <f>+'SP-mese'!AG80-'SP-mese'!AF80-'SP-mese'!AF81</f>
        <v>0</v>
      </c>
      <c r="AG54" s="47">
        <f>+'SP-mese'!AH80-'SP-mese'!AG80-'SP-mese'!AG81</f>
        <v>0</v>
      </c>
      <c r="AH54" s="47">
        <f>+'SP-mese'!AI80-'SP-mese'!AH80-'SP-mese'!AH81</f>
        <v>0</v>
      </c>
      <c r="AI54" s="47">
        <f>+'SP-mese'!AJ80-'SP-mese'!AI80-'SP-mese'!AI81</f>
        <v>0</v>
      </c>
      <c r="AJ54" s="47">
        <f>+'SP-mese'!AK80-'SP-mese'!AJ80-'SP-mese'!AJ81</f>
        <v>0</v>
      </c>
      <c r="AK54" s="47">
        <f>+'SP-mese'!AL80-'SP-mese'!AK80-'SP-mese'!AK81</f>
        <v>0</v>
      </c>
      <c r="AL54" s="47">
        <f>+'SP-mese'!AM80-'SP-mese'!AL80-'SP-mese'!AL81</f>
        <v>0</v>
      </c>
      <c r="AM54" s="47">
        <f>+'SP-mese'!AN80-'SP-mese'!AM80-'SP-mese'!AM81</f>
        <v>0</v>
      </c>
      <c r="AN54" s="47">
        <f>+'SP-mese'!AO80-'SP-mese'!AN80-'SP-mese'!AN81</f>
        <v>0</v>
      </c>
      <c r="AO54" s="47">
        <f>+'SP-mese'!AP80-'SP-mese'!AO80-'SP-mese'!AO81</f>
        <v>0</v>
      </c>
      <c r="AP54" s="47">
        <f>+'SP-mese'!AQ80-'SP-mese'!AP80-'SP-mese'!AP81</f>
        <v>0</v>
      </c>
      <c r="AQ54" s="47">
        <f>+'SP-mese'!AR80-'SP-mese'!AQ80-'SP-mese'!AQ81</f>
        <v>0</v>
      </c>
      <c r="AR54" s="47">
        <f>+'SP-mese'!AS80-'SP-mese'!AR80-'SP-mese'!AR81</f>
        <v>0</v>
      </c>
      <c r="AS54" s="47">
        <f>+'SP-mese'!AT80-'SP-mese'!AS80-'SP-mese'!AS81</f>
        <v>0</v>
      </c>
      <c r="AT54" s="47">
        <f>+'SP-mese'!AU80-'SP-mese'!AT80-'SP-mese'!AT81</f>
        <v>0</v>
      </c>
      <c r="AU54" s="47">
        <f>+'SP-mese'!AV80-'SP-mese'!AU80-'SP-mese'!AU81</f>
        <v>0</v>
      </c>
      <c r="AV54" s="47">
        <f>+'SP-mese'!AW80-'SP-mese'!AV80-'SP-mese'!AV81</f>
        <v>0</v>
      </c>
      <c r="AW54" s="47">
        <f>+'SP-mese'!AX80-'SP-mese'!AW80-'SP-mese'!AW81</f>
        <v>0</v>
      </c>
      <c r="AX54" s="47">
        <f>+'SP-mese'!AY80-'SP-mese'!AX80-'SP-mese'!AX81</f>
        <v>0</v>
      </c>
      <c r="AY54" s="47">
        <f>+'SP-mese'!AZ80-'SP-mese'!AY80-'SP-mese'!AY81</f>
        <v>0</v>
      </c>
      <c r="AZ54" s="47">
        <f>+'SP-mese'!BA80-'SP-mese'!AZ80-'SP-mese'!AZ81</f>
        <v>0</v>
      </c>
      <c r="BA54" s="47">
        <f>+'SP-mese'!BB80-'SP-mese'!BA80-'SP-mese'!BA81</f>
        <v>0</v>
      </c>
      <c r="BB54" s="47">
        <f>+'SP-mese'!BC80-'SP-mese'!BB80-'SP-mese'!BB81</f>
        <v>0</v>
      </c>
      <c r="BC54" s="47">
        <f>+'SP-mese'!BD80-'SP-mese'!BC80-'SP-mese'!BC81</f>
        <v>0</v>
      </c>
      <c r="BD54" s="47">
        <f>+'SP-mese'!BE80-'SP-mese'!BD80-'SP-mese'!BD81</f>
        <v>0</v>
      </c>
      <c r="BE54" s="47">
        <f>+'SP-mese'!BF80-'SP-mese'!BE80-'SP-mese'!BE81</f>
        <v>0</v>
      </c>
      <c r="BF54" s="47">
        <f>+'SP-mese'!BG80-'SP-mese'!BF80-'SP-mese'!BF81</f>
        <v>0</v>
      </c>
      <c r="BG54" s="47">
        <f>+'SP-mese'!BH80-'SP-mese'!BG80-'SP-mese'!BG81</f>
        <v>0</v>
      </c>
      <c r="BH54" s="47">
        <f>+'SP-mese'!BI80-'SP-mese'!BH80-'SP-mese'!BH81</f>
        <v>0</v>
      </c>
      <c r="BI54" s="47">
        <f>+'SP-mese'!BJ80-'SP-mese'!BI80-'SP-mese'!BI81</f>
        <v>0</v>
      </c>
      <c r="BJ54" s="47">
        <f>+'SP-mese'!BK80-'SP-mese'!BJ80-'SP-mese'!BJ81</f>
        <v>0</v>
      </c>
      <c r="BK54" s="47">
        <f>+'SP-mese'!BL80-'SP-mese'!BK80-'SP-mese'!BK81</f>
        <v>0</v>
      </c>
      <c r="BL54" s="47">
        <f>+'SP-mese'!BM80-'SP-mese'!BL80-'SP-mese'!BL81</f>
        <v>0</v>
      </c>
      <c r="BM54" s="47">
        <f>+'SP-mese'!BN80-'SP-mese'!BM80-'SP-mese'!BM81</f>
        <v>0</v>
      </c>
      <c r="BN54" s="47">
        <f>+'SP-mese'!BO80-'SP-mese'!BN80-'SP-mese'!BN81</f>
        <v>0</v>
      </c>
      <c r="BO54" s="47">
        <f>+'SP-mese'!BP80-'SP-mese'!BO80-'SP-mese'!BO81</f>
        <v>0</v>
      </c>
      <c r="BP54" s="47">
        <f>+'SP-mese'!BQ80-'SP-mese'!BP80-'SP-mese'!BP81</f>
        <v>0</v>
      </c>
      <c r="BQ54" s="47">
        <f>+'SP-mese'!BR80-'SP-mese'!BQ80-'SP-mese'!BQ81</f>
        <v>0</v>
      </c>
      <c r="BR54" s="47">
        <f>+'SP-mese'!BS80-'SP-mese'!BR80-'SP-mese'!BR81</f>
        <v>0</v>
      </c>
      <c r="BS54" s="47">
        <f>+'SP-mese'!BT80-'SP-mese'!BS80-'SP-mese'!BS81</f>
        <v>0</v>
      </c>
      <c r="BT54" s="47">
        <f>+'SP-mese'!BU80-'SP-mese'!BT80-'SP-mese'!BT81</f>
        <v>0</v>
      </c>
      <c r="BU54" s="47">
        <f>+'SP-mese'!BV80-'SP-mese'!BU80-'SP-mese'!BU81</f>
        <v>0</v>
      </c>
      <c r="BV54" s="47">
        <f>+'SP-mese'!BW80-'SP-mese'!BV80-'SP-mese'!BV81</f>
        <v>0</v>
      </c>
      <c r="BW54" s="47">
        <f>+'SP-mese'!BX80-'SP-mese'!BW80-'SP-mese'!BW81</f>
        <v>0</v>
      </c>
      <c r="BX54" s="47">
        <f>+'SP-mese'!BY80-'SP-mese'!BX80-'SP-mese'!BX81</f>
        <v>0</v>
      </c>
      <c r="BY54" s="47">
        <f>+'SP-mese'!BZ80-'SP-mese'!BY80-'SP-mese'!BY81</f>
        <v>0</v>
      </c>
      <c r="BZ54" s="47">
        <f>+'SP-mese'!CA80-'SP-mese'!BZ80-'SP-mese'!BZ81</f>
        <v>0</v>
      </c>
      <c r="CA54" s="47">
        <f>+'SP-mese'!CB80-'SP-mese'!CA80-'SP-mese'!CA81</f>
        <v>0</v>
      </c>
      <c r="CB54" s="47">
        <f>+'SP-mese'!CC80-'SP-mese'!CB80-'SP-mese'!CB81</f>
        <v>0</v>
      </c>
      <c r="CC54" s="47">
        <f>+'SP-mese'!CD80-'SP-mese'!CC80-'SP-mese'!CC81</f>
        <v>0</v>
      </c>
      <c r="CD54" s="47">
        <f>+'SP-mese'!CE80-'SP-mese'!CD80-'SP-mese'!CD81</f>
        <v>0</v>
      </c>
      <c r="CE54" s="47">
        <f>+'SP-mese'!CF80-'SP-mese'!CE80-'SP-mese'!CE81</f>
        <v>0</v>
      </c>
      <c r="CF54" s="47">
        <f>+'SP-mese'!CG80-'SP-mese'!CF80-'SP-mese'!CF81</f>
        <v>0</v>
      </c>
      <c r="CG54" s="47">
        <f>+'SP-mese'!CH80-'SP-mese'!CG80-'SP-mese'!CG81</f>
        <v>0</v>
      </c>
      <c r="CH54" s="47">
        <f>+'SP-mese'!CI80-'SP-mese'!CH80-'SP-mese'!CH81</f>
        <v>0</v>
      </c>
      <c r="CI54" s="47">
        <f>+'SP-mese'!CJ80-'SP-mese'!CI80-'SP-mese'!CI81</f>
        <v>0</v>
      </c>
      <c r="CJ54" s="47">
        <f>+'SP-mese'!CK80-'SP-mese'!CJ80-'SP-mese'!CJ81</f>
        <v>0</v>
      </c>
      <c r="CK54" s="47">
        <f>+'SP-mese'!CL80-'SP-mese'!CK80-'SP-mese'!CK81</f>
        <v>0</v>
      </c>
      <c r="CL54" s="47">
        <f>+'SP-mese'!CM80-'SP-mese'!CL80-'SP-mese'!CL81</f>
        <v>0</v>
      </c>
      <c r="CM54" s="47">
        <f>+'SP-mese'!CN80-'SP-mese'!CM80-'SP-mese'!CM81</f>
        <v>0</v>
      </c>
      <c r="CN54" s="47">
        <f>+'SP-mese'!CO80-'SP-mese'!CN80-'SP-mese'!CN81</f>
        <v>0</v>
      </c>
      <c r="CO54" s="47">
        <f>+'SP-mese'!CP80-'SP-mese'!CO80-'SP-mese'!CO81</f>
        <v>0</v>
      </c>
      <c r="CP54" s="47">
        <f>+'SP-mese'!CQ80-'SP-mese'!CP80-'SP-mese'!CP81</f>
        <v>0</v>
      </c>
      <c r="CQ54" s="47">
        <f>+'SP-mese'!CR80-'SP-mese'!CQ80-'SP-mese'!CQ81</f>
        <v>0</v>
      </c>
      <c r="CR54" s="47">
        <f>+'SP-mese'!CS80-'SP-mese'!CR80-'SP-mese'!CR81</f>
        <v>0</v>
      </c>
      <c r="CS54" s="47">
        <f>+'SP-mese'!CT80-'SP-mese'!CS80-'SP-mese'!CS81</f>
        <v>0</v>
      </c>
      <c r="CT54" s="47">
        <f>+'SP-mese'!CU80-'SP-mese'!CT80-'SP-mese'!CT81</f>
        <v>0</v>
      </c>
      <c r="CU54" s="47">
        <f>+'SP-mese'!CV80-'SP-mese'!CU80-'SP-mese'!CU81</f>
        <v>0</v>
      </c>
      <c r="CV54" s="47">
        <f>+'SP-mese'!CW80-'SP-mese'!CV80-'SP-mese'!CV81</f>
        <v>0</v>
      </c>
      <c r="CW54" s="47">
        <f>+'SP-mese'!CX80-'SP-mese'!CW80-'SP-mese'!CW81</f>
        <v>0</v>
      </c>
      <c r="CX54" s="47">
        <f>+'SP-mese'!CY80-'SP-mese'!CX80-'SP-mese'!CX81</f>
        <v>0</v>
      </c>
      <c r="CY54" s="47">
        <f>+'SP-mese'!CZ80-'SP-mese'!CY80-'SP-mese'!CY81</f>
        <v>0</v>
      </c>
      <c r="CZ54" s="47">
        <f>+'SP-mese'!DA80-'SP-mese'!CZ80-'SP-mese'!CZ81</f>
        <v>0</v>
      </c>
      <c r="DA54" s="47">
        <f>+'SP-mese'!DB80-'SP-mese'!DA80-'SP-mese'!DA81</f>
        <v>0</v>
      </c>
      <c r="DB54" s="47">
        <f>+'SP-mese'!DC80-'SP-mese'!DB80-'SP-mese'!DB81</f>
        <v>0</v>
      </c>
      <c r="DC54" s="47">
        <f>+'SP-mese'!DD80-'SP-mese'!DC80-'SP-mese'!DC81</f>
        <v>0</v>
      </c>
      <c r="DD54" s="47">
        <f>+'SP-mese'!DE80-'SP-mese'!DD80-'SP-mese'!DD81</f>
        <v>0</v>
      </c>
      <c r="DE54" s="47">
        <f>+'SP-mese'!DF80-'SP-mese'!DE80-'SP-mese'!DE81</f>
        <v>0</v>
      </c>
      <c r="DF54" s="47">
        <f>+'SP-mese'!DG80-'SP-mese'!DF80-'SP-mese'!DF81</f>
        <v>0</v>
      </c>
      <c r="DG54" s="47">
        <f>+'SP-mese'!DH80-'SP-mese'!DG80-'SP-mese'!DG81</f>
        <v>0</v>
      </c>
      <c r="DH54" s="47">
        <f>+'SP-mese'!DI80-'SP-mese'!DH80-'SP-mese'!DH81</f>
        <v>0</v>
      </c>
      <c r="DI54" s="47">
        <f>+'SP-mese'!DJ80-'SP-mese'!DI80-'SP-mese'!DI81</f>
        <v>0</v>
      </c>
      <c r="DJ54" s="47">
        <f>+'SP-mese'!DK80-'SP-mese'!DJ80-'SP-mese'!DJ81</f>
        <v>0</v>
      </c>
      <c r="DK54" s="47">
        <f>+'SP-mese'!DL80-'SP-mese'!DK80-'SP-mese'!DK81</f>
        <v>0</v>
      </c>
      <c r="DL54" s="47">
        <f>+'SP-mese'!DM80-'SP-mese'!DL80-'SP-mese'!DL81</f>
        <v>0</v>
      </c>
      <c r="DM54" s="47">
        <f>+'SP-mese'!DN80-'SP-mese'!DM80-'SP-mese'!DM81</f>
        <v>0</v>
      </c>
      <c r="DN54" s="47">
        <f>+'SP-mese'!DO80-'SP-mese'!DN80-'SP-mese'!DN81</f>
        <v>0</v>
      </c>
      <c r="DO54" s="47">
        <f>+'SP-mese'!DP80-'SP-mese'!DO80-'SP-mese'!DO81</f>
        <v>0</v>
      </c>
      <c r="DP54" s="47">
        <f>+'SP-mese'!DQ80-'SP-mese'!DP80-'SP-mese'!DP81</f>
        <v>0</v>
      </c>
      <c r="DQ54" s="47">
        <f>+'SP-mese'!DR80-'SP-mese'!DQ80-'SP-mese'!DQ81</f>
        <v>0</v>
      </c>
      <c r="DR54" s="47">
        <f>+'SP-mese'!DS80-'SP-mese'!DR80-'SP-mese'!DR81</f>
        <v>0</v>
      </c>
      <c r="DT54" s="144">
        <f t="shared" si="507"/>
        <v>0</v>
      </c>
      <c r="DU54" s="144">
        <f t="shared" si="507"/>
        <v>0</v>
      </c>
      <c r="DV54" s="144">
        <f t="shared" si="507"/>
        <v>0</v>
      </c>
      <c r="DW54" s="144">
        <f t="shared" si="507"/>
        <v>0</v>
      </c>
      <c r="DX54" s="144">
        <f t="shared" si="507"/>
        <v>0</v>
      </c>
      <c r="DY54" s="144">
        <f t="shared" si="507"/>
        <v>0</v>
      </c>
      <c r="DZ54" s="144">
        <f t="shared" si="507"/>
        <v>0</v>
      </c>
      <c r="EA54" s="144">
        <f t="shared" si="507"/>
        <v>0</v>
      </c>
      <c r="EB54" s="144">
        <f t="shared" si="507"/>
        <v>0</v>
      </c>
      <c r="EC54" s="144">
        <f t="shared" si="507"/>
        <v>0</v>
      </c>
    </row>
    <row r="55" thickBot="1"/>
    <row r="56" thickTop="1" thickBot="1" ht="15.5">
      <c r="A56" s="301" t="s">
        <v>1265</v>
      </c>
      <c r="B56" s="301"/>
      <c r="C56" s="301" t="e">
        <f>+C44+C52</f>
        <v>#REF!</v>
      </c>
      <c r="D56" s="301" t="e">
        <f>+D44+D52</f>
        <v>#REF!</v>
      </c>
      <c r="E56" s="301" t="e">
        <f t="shared" ref="E56:I56" si="508">+E44+E52</f>
        <v>#REF!</v>
      </c>
      <c r="F56" s="301" t="e">
        <f t="shared" si="508"/>
        <v>#REF!</v>
      </c>
      <c r="G56" s="301" t="e">
        <f t="shared" si="508"/>
        <v>#REF!</v>
      </c>
      <c r="H56" s="301" t="e">
        <f t="shared" si="508"/>
        <v>#REF!</v>
      </c>
      <c r="I56" s="301" t="e">
        <f t="shared" si="508"/>
        <v>#REF!</v>
      </c>
      <c r="J56" s="301" t="e">
        <f t="shared" ref="J56:BP56" si="509">+J44+J52</f>
        <v>#REF!</v>
      </c>
      <c r="K56" s="301" t="e">
        <f t="shared" si="509"/>
        <v>#REF!</v>
      </c>
      <c r="L56" s="301" t="e">
        <f t="shared" si="509"/>
        <v>#REF!</v>
      </c>
      <c r="M56" s="301" t="e">
        <f t="shared" si="509"/>
        <v>#REF!</v>
      </c>
      <c r="N56" s="301" t="e">
        <f t="shared" si="509"/>
        <v>#REF!</v>
      </c>
      <c r="O56" s="301" t="e">
        <f t="shared" si="509"/>
        <v>#REF!</v>
      </c>
      <c r="P56" s="301" t="e">
        <f t="shared" si="509"/>
        <v>#REF!</v>
      </c>
      <c r="Q56" s="301" t="e">
        <f t="shared" si="509"/>
        <v>#REF!</v>
      </c>
      <c r="R56" s="301" t="e">
        <f t="shared" si="509"/>
        <v>#REF!</v>
      </c>
      <c r="S56" s="301" t="e">
        <f t="shared" si="509"/>
        <v>#REF!</v>
      </c>
      <c r="T56" s="301" t="e">
        <f t="shared" si="509"/>
        <v>#REF!</v>
      </c>
      <c r="U56" s="301" t="e">
        <f t="shared" si="509"/>
        <v>#REF!</v>
      </c>
      <c r="V56" s="301" t="e">
        <f t="shared" si="509"/>
        <v>#REF!</v>
      </c>
      <c r="W56" s="301" t="e">
        <f t="shared" si="509"/>
        <v>#REF!</v>
      </c>
      <c r="X56" s="301" t="e">
        <f t="shared" si="509"/>
        <v>#REF!</v>
      </c>
      <c r="Y56" s="301" t="e">
        <f t="shared" si="509"/>
        <v>#REF!</v>
      </c>
      <c r="Z56" s="301" t="e">
        <f t="shared" si="509"/>
        <v>#REF!</v>
      </c>
      <c r="AA56" s="301" t="e">
        <f t="shared" si="509"/>
        <v>#REF!</v>
      </c>
      <c r="AB56" s="301" t="e">
        <f t="shared" si="509"/>
        <v>#REF!</v>
      </c>
      <c r="AC56" s="301" t="e">
        <f t="shared" si="509"/>
        <v>#REF!</v>
      </c>
      <c r="AD56" s="301" t="e">
        <f t="shared" si="509"/>
        <v>#REF!</v>
      </c>
      <c r="AE56" s="301" t="e">
        <f t="shared" si="509"/>
        <v>#REF!</v>
      </c>
      <c r="AF56" s="301" t="e">
        <f t="shared" si="509"/>
        <v>#REF!</v>
      </c>
      <c r="AG56" s="301" t="e">
        <f t="shared" si="509"/>
        <v>#REF!</v>
      </c>
      <c r="AH56" s="301" t="e">
        <f t="shared" si="509"/>
        <v>#REF!</v>
      </c>
      <c r="AI56" s="301" t="e">
        <f t="shared" si="509"/>
        <v>#REF!</v>
      </c>
      <c r="AJ56" s="301" t="e">
        <f t="shared" si="509"/>
        <v>#REF!</v>
      </c>
      <c r="AK56" s="301" t="e">
        <f t="shared" si="509"/>
        <v>#REF!</v>
      </c>
      <c r="AL56" s="301" t="e">
        <f t="shared" si="509"/>
        <v>#REF!</v>
      </c>
      <c r="AM56" s="301" t="e">
        <f t="shared" si="509"/>
        <v>#REF!</v>
      </c>
      <c r="AN56" s="301" t="e">
        <f t="shared" si="509"/>
        <v>#REF!</v>
      </c>
      <c r="AO56" s="301" t="e">
        <f t="shared" si="509"/>
        <v>#REF!</v>
      </c>
      <c r="AP56" s="301" t="e">
        <f t="shared" si="509"/>
        <v>#REF!</v>
      </c>
      <c r="AQ56" s="301" t="e">
        <f t="shared" si="509"/>
        <v>#REF!</v>
      </c>
      <c r="AR56" s="301" t="e">
        <f t="shared" si="509"/>
        <v>#REF!</v>
      </c>
      <c r="AS56" s="301" t="e">
        <f t="shared" si="509"/>
        <v>#REF!</v>
      </c>
      <c r="AT56" s="301" t="e">
        <f t="shared" si="509"/>
        <v>#REF!</v>
      </c>
      <c r="AU56" s="301" t="e">
        <f t="shared" si="509"/>
        <v>#REF!</v>
      </c>
      <c r="AV56" s="301" t="e">
        <f t="shared" si="509"/>
        <v>#REF!</v>
      </c>
      <c r="AW56" s="301" t="e">
        <f t="shared" si="509"/>
        <v>#REF!</v>
      </c>
      <c r="AX56" s="301" t="e">
        <f t="shared" si="509"/>
        <v>#REF!</v>
      </c>
      <c r="AY56" s="301" t="e">
        <f t="shared" si="509"/>
        <v>#REF!</v>
      </c>
      <c r="AZ56" s="301" t="e">
        <f t="shared" si="509"/>
        <v>#REF!</v>
      </c>
      <c r="BA56" s="301" t="e">
        <f t="shared" si="509"/>
        <v>#REF!</v>
      </c>
      <c r="BB56" s="301" t="e">
        <f t="shared" si="509"/>
        <v>#REF!</v>
      </c>
      <c r="BC56" s="301" t="e">
        <f t="shared" si="509"/>
        <v>#REF!</v>
      </c>
      <c r="BD56" s="301" t="e">
        <f t="shared" si="509"/>
        <v>#REF!</v>
      </c>
      <c r="BE56" s="301" t="e">
        <f t="shared" si="509"/>
        <v>#REF!</v>
      </c>
      <c r="BF56" s="301" t="e">
        <f t="shared" si="509"/>
        <v>#REF!</v>
      </c>
      <c r="BG56" s="301" t="e">
        <f t="shared" si="509"/>
        <v>#REF!</v>
      </c>
      <c r="BH56" s="301" t="e">
        <f t="shared" si="509"/>
        <v>#REF!</v>
      </c>
      <c r="BI56" s="301" t="e">
        <f t="shared" si="509"/>
        <v>#REF!</v>
      </c>
      <c r="BJ56" s="301" t="e">
        <f t="shared" si="509"/>
        <v>#REF!</v>
      </c>
      <c r="BK56" s="301" t="e">
        <f t="shared" si="509"/>
        <v>#REF!</v>
      </c>
      <c r="BL56" s="301" t="e">
        <f t="shared" si="509"/>
        <v>#REF!</v>
      </c>
      <c r="BM56" s="301" t="e">
        <f t="shared" si="509"/>
        <v>#REF!</v>
      </c>
      <c r="BN56" s="301" t="e">
        <f t="shared" si="509"/>
        <v>#REF!</v>
      </c>
      <c r="BO56" s="301" t="e">
        <f t="shared" si="509"/>
        <v>#REF!</v>
      </c>
      <c r="BP56" s="301" t="e">
        <f t="shared" si="509"/>
        <v>#REF!</v>
      </c>
      <c r="BQ56" s="301" t="e">
        <f t="shared" ref="BQ56:EB56" si="510">+BQ44+BQ52</f>
        <v>#REF!</v>
      </c>
      <c r="BR56" s="301" t="e">
        <f t="shared" si="510"/>
        <v>#REF!</v>
      </c>
      <c r="BS56" s="301" t="e">
        <f t="shared" si="510"/>
        <v>#REF!</v>
      </c>
      <c r="BT56" s="301" t="e">
        <f t="shared" si="510"/>
        <v>#REF!</v>
      </c>
      <c r="BU56" s="301" t="e">
        <f t="shared" si="510"/>
        <v>#REF!</v>
      </c>
      <c r="BV56" s="301" t="e">
        <f t="shared" si="510"/>
        <v>#REF!</v>
      </c>
      <c r="BW56" s="301" t="e">
        <f t="shared" si="510"/>
        <v>#REF!</v>
      </c>
      <c r="BX56" s="301" t="e">
        <f t="shared" si="510"/>
        <v>#REF!</v>
      </c>
      <c r="BY56" s="301" t="e">
        <f t="shared" si="510"/>
        <v>#REF!</v>
      </c>
      <c r="BZ56" s="301" t="e">
        <f t="shared" si="510"/>
        <v>#REF!</v>
      </c>
      <c r="CA56" s="301" t="e">
        <f t="shared" si="510"/>
        <v>#REF!</v>
      </c>
      <c r="CB56" s="301" t="e">
        <f t="shared" si="510"/>
        <v>#REF!</v>
      </c>
      <c r="CC56" s="301" t="e">
        <f t="shared" si="510"/>
        <v>#REF!</v>
      </c>
      <c r="CD56" s="301" t="e">
        <f t="shared" si="510"/>
        <v>#REF!</v>
      </c>
      <c r="CE56" s="301" t="e">
        <f t="shared" si="510"/>
        <v>#REF!</v>
      </c>
      <c r="CF56" s="301" t="e">
        <f t="shared" si="510"/>
        <v>#REF!</v>
      </c>
      <c r="CG56" s="301" t="e">
        <f t="shared" si="510"/>
        <v>#REF!</v>
      </c>
      <c r="CH56" s="301" t="e">
        <f t="shared" si="510"/>
        <v>#REF!</v>
      </c>
      <c r="CI56" s="301" t="e">
        <f t="shared" si="510"/>
        <v>#REF!</v>
      </c>
      <c r="CJ56" s="301" t="e">
        <f t="shared" si="510"/>
        <v>#REF!</v>
      </c>
      <c r="CK56" s="301" t="e">
        <f t="shared" si="510"/>
        <v>#REF!</v>
      </c>
      <c r="CL56" s="301" t="e">
        <f t="shared" si="510"/>
        <v>#REF!</v>
      </c>
      <c r="CM56" s="301" t="e">
        <f t="shared" si="510"/>
        <v>#REF!</v>
      </c>
      <c r="CN56" s="301" t="e">
        <f t="shared" si="510"/>
        <v>#REF!</v>
      </c>
      <c r="CO56" s="301" t="e">
        <f t="shared" si="510"/>
        <v>#REF!</v>
      </c>
      <c r="CP56" s="301" t="e">
        <f t="shared" si="510"/>
        <v>#REF!</v>
      </c>
      <c r="CQ56" s="301" t="e">
        <f t="shared" si="510"/>
        <v>#REF!</v>
      </c>
      <c r="CR56" s="301" t="e">
        <f t="shared" si="510"/>
        <v>#REF!</v>
      </c>
      <c r="CS56" s="301" t="e">
        <f t="shared" si="510"/>
        <v>#REF!</v>
      </c>
      <c r="CT56" s="301" t="e">
        <f t="shared" si="510"/>
        <v>#REF!</v>
      </c>
      <c r="CU56" s="301" t="e">
        <f t="shared" si="510"/>
        <v>#REF!</v>
      </c>
      <c r="CV56" s="301" t="e">
        <f t="shared" si="510"/>
        <v>#REF!</v>
      </c>
      <c r="CW56" s="301" t="e">
        <f t="shared" si="510"/>
        <v>#REF!</v>
      </c>
      <c r="CX56" s="301" t="e">
        <f t="shared" si="510"/>
        <v>#REF!</v>
      </c>
      <c r="CY56" s="301" t="e">
        <f t="shared" si="510"/>
        <v>#REF!</v>
      </c>
      <c r="CZ56" s="301" t="e">
        <f t="shared" si="510"/>
        <v>#REF!</v>
      </c>
      <c r="DA56" s="301" t="e">
        <f t="shared" si="510"/>
        <v>#REF!</v>
      </c>
      <c r="DB56" s="301" t="e">
        <f t="shared" si="510"/>
        <v>#REF!</v>
      </c>
      <c r="DC56" s="301" t="e">
        <f t="shared" si="510"/>
        <v>#REF!</v>
      </c>
      <c r="DD56" s="301" t="e">
        <f t="shared" si="510"/>
        <v>#REF!</v>
      </c>
      <c r="DE56" s="301" t="e">
        <f t="shared" si="510"/>
        <v>#REF!</v>
      </c>
      <c r="DF56" s="301" t="e">
        <f t="shared" si="510"/>
        <v>#REF!</v>
      </c>
      <c r="DG56" s="301" t="e">
        <f t="shared" si="510"/>
        <v>#REF!</v>
      </c>
      <c r="DH56" s="301" t="e">
        <f t="shared" si="510"/>
        <v>#REF!</v>
      </c>
      <c r="DI56" s="301" t="e">
        <f t="shared" si="510"/>
        <v>#REF!</v>
      </c>
      <c r="DJ56" s="301" t="e">
        <f t="shared" si="510"/>
        <v>#REF!</v>
      </c>
      <c r="DK56" s="301" t="e">
        <f t="shared" si="510"/>
        <v>#REF!</v>
      </c>
      <c r="DL56" s="301" t="e">
        <f t="shared" si="510"/>
        <v>#REF!</v>
      </c>
      <c r="DM56" s="301" t="e">
        <f t="shared" si="510"/>
        <v>#REF!</v>
      </c>
      <c r="DN56" s="301" t="e">
        <f t="shared" si="510"/>
        <v>#REF!</v>
      </c>
      <c r="DO56" s="301" t="e">
        <f t="shared" si="510"/>
        <v>#REF!</v>
      </c>
      <c r="DP56" s="301" t="e">
        <f t="shared" si="510"/>
        <v>#REF!</v>
      </c>
      <c r="DQ56" s="301" t="e">
        <f t="shared" si="510"/>
        <v>#REF!</v>
      </c>
      <c r="DR56" s="301" t="e">
        <f t="shared" si="510"/>
        <v>#REF!</v>
      </c>
      <c r="DT56" s="301" t="e">
        <f t="shared" si="510"/>
        <v>#REF!</v>
      </c>
      <c r="DU56" s="301" t="e">
        <f t="shared" si="510"/>
        <v>#REF!</v>
      </c>
      <c r="DV56" s="301" t="e">
        <f t="shared" si="510"/>
        <v>#REF!</v>
      </c>
      <c r="DW56" s="301" t="e">
        <f t="shared" si="510"/>
        <v>#REF!</v>
      </c>
      <c r="DX56" s="301" t="e">
        <f t="shared" si="510"/>
        <v>#REF!</v>
      </c>
      <c r="DY56" s="301" t="e">
        <f t="shared" si="510"/>
        <v>#REF!</v>
      </c>
      <c r="DZ56" s="301" t="e">
        <f t="shared" si="510"/>
        <v>#REF!</v>
      </c>
      <c r="EA56" s="301" t="e">
        <f t="shared" si="510"/>
        <v>#REF!</v>
      </c>
      <c r="EB56" s="301" t="e">
        <f t="shared" si="510"/>
        <v>#REF!</v>
      </c>
      <c r="EC56" s="301" t="e">
        <f t="shared" ref="EC56" si="511">+EC44+EC52</f>
        <v>#REF!</v>
      </c>
    </row>
    <row r="57" thickTop="1" thickBot="1" ht="15.5">
      <c r="A57" s="18"/>
    </row>
    <row r="58" thickTop="1" thickBot="1" ht="15.5">
      <c r="A58" s="311" t="s">
        <v>1266</v>
      </c>
      <c r="B58" s="311"/>
      <c r="C58" s="311" t="e">
        <f t="shared" ref="C58:AH58" si="512">+C26+C40+C56</f>
        <v>#REF!</v>
      </c>
      <c r="D58" s="311" t="e">
        <f t="shared" si="512"/>
        <v>#REF!</v>
      </c>
      <c r="E58" s="311" t="e">
        <f t="shared" si="512"/>
        <v>#REF!</v>
      </c>
      <c r="F58" s="311" t="e">
        <f t="shared" si="512"/>
        <v>#REF!</v>
      </c>
      <c r="G58" s="311" t="e">
        <f t="shared" si="512"/>
        <v>#REF!</v>
      </c>
      <c r="H58" s="311" t="e">
        <f t="shared" si="512"/>
        <v>#REF!</v>
      </c>
      <c r="I58" s="311" t="e">
        <f t="shared" si="512"/>
        <v>#REF!</v>
      </c>
      <c r="J58" s="311" t="e">
        <f t="shared" si="512"/>
        <v>#REF!</v>
      </c>
      <c r="K58" s="311" t="e">
        <f t="shared" si="512"/>
        <v>#REF!</v>
      </c>
      <c r="L58" s="311" t="e">
        <f t="shared" si="512"/>
        <v>#REF!</v>
      </c>
      <c r="M58" s="311" t="e">
        <f t="shared" si="512"/>
        <v>#REF!</v>
      </c>
      <c r="N58" s="311" t="e">
        <f t="shared" si="512"/>
        <v>#REF!</v>
      </c>
      <c r="O58" s="311" t="e">
        <f t="shared" si="512"/>
        <v>#REF!</v>
      </c>
      <c r="P58" s="311" t="e">
        <f t="shared" si="512"/>
        <v>#REF!</v>
      </c>
      <c r="Q58" s="311" t="e">
        <f t="shared" si="512"/>
        <v>#REF!</v>
      </c>
      <c r="R58" s="311" t="e">
        <f t="shared" si="512"/>
        <v>#REF!</v>
      </c>
      <c r="S58" s="311" t="e">
        <f t="shared" si="512"/>
        <v>#REF!</v>
      </c>
      <c r="T58" s="311" t="e">
        <f t="shared" si="512"/>
        <v>#REF!</v>
      </c>
      <c r="U58" s="311" t="e">
        <f t="shared" si="512"/>
        <v>#REF!</v>
      </c>
      <c r="V58" s="311" t="e">
        <f t="shared" si="512"/>
        <v>#REF!</v>
      </c>
      <c r="W58" s="311" t="e">
        <f t="shared" si="512"/>
        <v>#REF!</v>
      </c>
      <c r="X58" s="311" t="e">
        <f t="shared" si="512"/>
        <v>#REF!</v>
      </c>
      <c r="Y58" s="311" t="e">
        <f t="shared" si="512"/>
        <v>#REF!</v>
      </c>
      <c r="Z58" s="311" t="e">
        <f t="shared" si="512"/>
        <v>#REF!</v>
      </c>
      <c r="AA58" s="311" t="e">
        <f t="shared" si="512"/>
        <v>#REF!</v>
      </c>
      <c r="AB58" s="311" t="e">
        <f t="shared" si="512"/>
        <v>#REF!</v>
      </c>
      <c r="AC58" s="311" t="e">
        <f t="shared" si="512"/>
        <v>#REF!</v>
      </c>
      <c r="AD58" s="311" t="e">
        <f t="shared" si="512"/>
        <v>#REF!</v>
      </c>
      <c r="AE58" s="311" t="e">
        <f t="shared" si="512"/>
        <v>#REF!</v>
      </c>
      <c r="AF58" s="311" t="e">
        <f t="shared" si="512"/>
        <v>#REF!</v>
      </c>
      <c r="AG58" s="311" t="e">
        <f t="shared" si="512"/>
        <v>#REF!</v>
      </c>
      <c r="AH58" s="311" t="e">
        <f t="shared" si="512"/>
        <v>#REF!</v>
      </c>
      <c r="AI58" s="311" t="e">
        <f t="shared" ref="AI58:BN58" si="513">+AI26+AI40+AI56</f>
        <v>#REF!</v>
      </c>
      <c r="AJ58" s="311" t="e">
        <f t="shared" si="513"/>
        <v>#REF!</v>
      </c>
      <c r="AK58" s="311" t="e">
        <f t="shared" si="513"/>
        <v>#REF!</v>
      </c>
      <c r="AL58" s="311" t="e">
        <f t="shared" si="513"/>
        <v>#REF!</v>
      </c>
      <c r="AM58" s="311" t="e">
        <f t="shared" si="513"/>
        <v>#REF!</v>
      </c>
      <c r="AN58" s="311" t="e">
        <f t="shared" si="513"/>
        <v>#REF!</v>
      </c>
      <c r="AO58" s="311" t="e">
        <f t="shared" si="513"/>
        <v>#REF!</v>
      </c>
      <c r="AP58" s="311" t="e">
        <f t="shared" si="513"/>
        <v>#REF!</v>
      </c>
      <c r="AQ58" s="311" t="e">
        <f t="shared" si="513"/>
        <v>#REF!</v>
      </c>
      <c r="AR58" s="311" t="e">
        <f t="shared" si="513"/>
        <v>#REF!</v>
      </c>
      <c r="AS58" s="311" t="e">
        <f t="shared" si="513"/>
        <v>#REF!</v>
      </c>
      <c r="AT58" s="311" t="e">
        <f t="shared" si="513"/>
        <v>#REF!</v>
      </c>
      <c r="AU58" s="311" t="e">
        <f t="shared" si="513"/>
        <v>#REF!</v>
      </c>
      <c r="AV58" s="311" t="e">
        <f t="shared" si="513"/>
        <v>#REF!</v>
      </c>
      <c r="AW58" s="311" t="e">
        <f t="shared" si="513"/>
        <v>#REF!</v>
      </c>
      <c r="AX58" s="311" t="e">
        <f t="shared" si="513"/>
        <v>#REF!</v>
      </c>
      <c r="AY58" s="311" t="e">
        <f t="shared" si="513"/>
        <v>#REF!</v>
      </c>
      <c r="AZ58" s="311" t="e">
        <f t="shared" si="513"/>
        <v>#REF!</v>
      </c>
      <c r="BA58" s="311" t="e">
        <f t="shared" si="513"/>
        <v>#REF!</v>
      </c>
      <c r="BB58" s="311" t="e">
        <f t="shared" si="513"/>
        <v>#REF!</v>
      </c>
      <c r="BC58" s="311" t="e">
        <f t="shared" si="513"/>
        <v>#REF!</v>
      </c>
      <c r="BD58" s="311" t="e">
        <f t="shared" si="513"/>
        <v>#REF!</v>
      </c>
      <c r="BE58" s="311" t="e">
        <f t="shared" si="513"/>
        <v>#REF!</v>
      </c>
      <c r="BF58" s="311" t="e">
        <f t="shared" si="513"/>
        <v>#REF!</v>
      </c>
      <c r="BG58" s="311" t="e">
        <f t="shared" si="513"/>
        <v>#REF!</v>
      </c>
      <c r="BH58" s="311" t="e">
        <f t="shared" si="513"/>
        <v>#REF!</v>
      </c>
      <c r="BI58" s="311" t="e">
        <f t="shared" si="513"/>
        <v>#REF!</v>
      </c>
      <c r="BJ58" s="311" t="e">
        <f t="shared" si="513"/>
        <v>#REF!</v>
      </c>
      <c r="BK58" s="311" t="e">
        <f t="shared" si="513"/>
        <v>#REF!</v>
      </c>
      <c r="BL58" s="311" t="e">
        <f t="shared" si="513"/>
        <v>#REF!</v>
      </c>
      <c r="BM58" s="311" t="e">
        <f t="shared" si="513"/>
        <v>#REF!</v>
      </c>
      <c r="BN58" s="311" t="e">
        <f t="shared" si="513"/>
        <v>#REF!</v>
      </c>
      <c r="BO58" s="311" t="e">
        <f t="shared" ref="BO58:CT58" si="514">+BO26+BO40+BO56</f>
        <v>#REF!</v>
      </c>
      <c r="BP58" s="311" t="e">
        <f t="shared" si="514"/>
        <v>#REF!</v>
      </c>
      <c r="BQ58" s="311" t="e">
        <f t="shared" si="514"/>
        <v>#REF!</v>
      </c>
      <c r="BR58" s="311" t="e">
        <f t="shared" si="514"/>
        <v>#REF!</v>
      </c>
      <c r="BS58" s="311" t="e">
        <f t="shared" si="514"/>
        <v>#REF!</v>
      </c>
      <c r="BT58" s="311" t="e">
        <f t="shared" si="514"/>
        <v>#REF!</v>
      </c>
      <c r="BU58" s="311" t="e">
        <f t="shared" si="514"/>
        <v>#REF!</v>
      </c>
      <c r="BV58" s="311" t="e">
        <f t="shared" si="514"/>
        <v>#REF!</v>
      </c>
      <c r="BW58" s="311" t="e">
        <f t="shared" si="514"/>
        <v>#REF!</v>
      </c>
      <c r="BX58" s="311" t="e">
        <f t="shared" si="514"/>
        <v>#REF!</v>
      </c>
      <c r="BY58" s="311" t="e">
        <f t="shared" si="514"/>
        <v>#REF!</v>
      </c>
      <c r="BZ58" s="311" t="e">
        <f t="shared" si="514"/>
        <v>#REF!</v>
      </c>
      <c r="CA58" s="311" t="e">
        <f t="shared" si="514"/>
        <v>#REF!</v>
      </c>
      <c r="CB58" s="311" t="e">
        <f t="shared" si="514"/>
        <v>#REF!</v>
      </c>
      <c r="CC58" s="311" t="e">
        <f t="shared" si="514"/>
        <v>#REF!</v>
      </c>
      <c r="CD58" s="311" t="e">
        <f t="shared" si="514"/>
        <v>#REF!</v>
      </c>
      <c r="CE58" s="311" t="e">
        <f t="shared" si="514"/>
        <v>#REF!</v>
      </c>
      <c r="CF58" s="311" t="e">
        <f t="shared" si="514"/>
        <v>#REF!</v>
      </c>
      <c r="CG58" s="311" t="e">
        <f t="shared" si="514"/>
        <v>#REF!</v>
      </c>
      <c r="CH58" s="311" t="e">
        <f t="shared" si="514"/>
        <v>#REF!</v>
      </c>
      <c r="CI58" s="311" t="e">
        <f t="shared" si="514"/>
        <v>#REF!</v>
      </c>
      <c r="CJ58" s="311" t="e">
        <f t="shared" si="514"/>
        <v>#REF!</v>
      </c>
      <c r="CK58" s="311" t="e">
        <f t="shared" si="514"/>
        <v>#REF!</v>
      </c>
      <c r="CL58" s="311" t="e">
        <f t="shared" si="514"/>
        <v>#REF!</v>
      </c>
      <c r="CM58" s="311" t="e">
        <f t="shared" si="514"/>
        <v>#REF!</v>
      </c>
      <c r="CN58" s="311" t="e">
        <f t="shared" si="514"/>
        <v>#REF!</v>
      </c>
      <c r="CO58" s="311" t="e">
        <f t="shared" si="514"/>
        <v>#REF!</v>
      </c>
      <c r="CP58" s="311" t="e">
        <f t="shared" si="514"/>
        <v>#REF!</v>
      </c>
      <c r="CQ58" s="311" t="e">
        <f t="shared" si="514"/>
        <v>#REF!</v>
      </c>
      <c r="CR58" s="311" t="e">
        <f t="shared" si="514"/>
        <v>#REF!</v>
      </c>
      <c r="CS58" s="311" t="e">
        <f t="shared" si="514"/>
        <v>#REF!</v>
      </c>
      <c r="CT58" s="311" t="e">
        <f t="shared" si="514"/>
        <v>#REF!</v>
      </c>
      <c r="CU58" s="311" t="e">
        <f t="shared" ref="CU58:DR58" si="515">+CU26+CU40+CU56</f>
        <v>#REF!</v>
      </c>
      <c r="CV58" s="311" t="e">
        <f t="shared" si="515"/>
        <v>#REF!</v>
      </c>
      <c r="CW58" s="311" t="e">
        <f t="shared" si="515"/>
        <v>#REF!</v>
      </c>
      <c r="CX58" s="311" t="e">
        <f t="shared" si="515"/>
        <v>#REF!</v>
      </c>
      <c r="CY58" s="311" t="e">
        <f t="shared" si="515"/>
        <v>#REF!</v>
      </c>
      <c r="CZ58" s="311" t="e">
        <f t="shared" si="515"/>
        <v>#REF!</v>
      </c>
      <c r="DA58" s="311" t="e">
        <f t="shared" si="515"/>
        <v>#REF!</v>
      </c>
      <c r="DB58" s="311" t="e">
        <f t="shared" si="515"/>
        <v>#REF!</v>
      </c>
      <c r="DC58" s="311" t="e">
        <f t="shared" si="515"/>
        <v>#REF!</v>
      </c>
      <c r="DD58" s="311" t="e">
        <f t="shared" si="515"/>
        <v>#REF!</v>
      </c>
      <c r="DE58" s="311" t="e">
        <f t="shared" si="515"/>
        <v>#REF!</v>
      </c>
      <c r="DF58" s="311" t="e">
        <f t="shared" si="515"/>
        <v>#REF!</v>
      </c>
      <c r="DG58" s="311" t="e">
        <f t="shared" si="515"/>
        <v>#REF!</v>
      </c>
      <c r="DH58" s="311" t="e">
        <f t="shared" si="515"/>
        <v>#REF!</v>
      </c>
      <c r="DI58" s="311" t="e">
        <f t="shared" si="515"/>
        <v>#REF!</v>
      </c>
      <c r="DJ58" s="311" t="e">
        <f t="shared" si="515"/>
        <v>#REF!</v>
      </c>
      <c r="DK58" s="311" t="e">
        <f t="shared" si="515"/>
        <v>#REF!</v>
      </c>
      <c r="DL58" s="311" t="e">
        <f t="shared" si="515"/>
        <v>#REF!</v>
      </c>
      <c r="DM58" s="311" t="e">
        <f t="shared" si="515"/>
        <v>#REF!</v>
      </c>
      <c r="DN58" s="311" t="e">
        <f t="shared" si="515"/>
        <v>#REF!</v>
      </c>
      <c r="DO58" s="311" t="e">
        <f t="shared" si="515"/>
        <v>#REF!</v>
      </c>
      <c r="DP58" s="311" t="e">
        <f t="shared" si="515"/>
        <v>#REF!</v>
      </c>
      <c r="DQ58" s="311" t="e">
        <f t="shared" si="515"/>
        <v>#REF!</v>
      </c>
      <c r="DR58" s="311" t="e">
        <f t="shared" si="515"/>
        <v>#REF!</v>
      </c>
      <c r="DT58" s="301" t="e">
        <f t="shared" ref="DT58:EC58" si="516">+DT26+DT40+DT56</f>
        <v>#REF!</v>
      </c>
      <c r="DU58" s="301" t="e">
        <f t="shared" si="516"/>
        <v>#REF!</v>
      </c>
      <c r="DV58" s="301" t="e">
        <f t="shared" si="516"/>
        <v>#REF!</v>
      </c>
      <c r="DW58" s="301" t="e">
        <f t="shared" si="516"/>
        <v>#REF!</v>
      </c>
      <c r="DX58" s="301" t="e">
        <f t="shared" si="516"/>
        <v>#REF!</v>
      </c>
      <c r="DY58" s="301" t="e">
        <f t="shared" si="516"/>
        <v>#REF!</v>
      </c>
      <c r="DZ58" s="301" t="e">
        <f t="shared" si="516"/>
        <v>#REF!</v>
      </c>
      <c r="EA58" s="301" t="e">
        <f t="shared" si="516"/>
        <v>#REF!</v>
      </c>
      <c r="EB58" s="301" t="e">
        <f t="shared" si="516"/>
        <v>#REF!</v>
      </c>
      <c r="EC58" s="301" t="e">
        <f t="shared" si="516"/>
        <v>#REF!</v>
      </c>
    </row>
    <row r="59" thickTop="1" thickBot="1" ht="15.5">
      <c r="A59" s="18"/>
    </row>
    <row r="60" thickTop="1" thickBot="1" ht="15.5">
      <c r="A60" s="301" t="s">
        <v>1267</v>
      </c>
      <c r="B60" s="301"/>
      <c r="C60" s="301">
        <v>0</v>
      </c>
      <c r="D60" s="301" t="e">
        <f>+C61</f>
        <v>#REF!</v>
      </c>
      <c r="E60" s="301" t="e">
        <f t="shared" ref="E60:BP60" si="517">+D61</f>
        <v>#REF!</v>
      </c>
      <c r="F60" s="301" t="e">
        <f t="shared" si="517"/>
        <v>#REF!</v>
      </c>
      <c r="G60" s="301" t="e">
        <f t="shared" si="517"/>
        <v>#REF!</v>
      </c>
      <c r="H60" s="301" t="e">
        <f t="shared" si="517"/>
        <v>#REF!</v>
      </c>
      <c r="I60" s="301" t="e">
        <f t="shared" si="517"/>
        <v>#REF!</v>
      </c>
      <c r="J60" s="301" t="e">
        <f t="shared" si="517"/>
        <v>#REF!</v>
      </c>
      <c r="K60" s="301" t="e">
        <f t="shared" si="517"/>
        <v>#REF!</v>
      </c>
      <c r="L60" s="301" t="e">
        <f t="shared" si="517"/>
        <v>#REF!</v>
      </c>
      <c r="M60" s="301" t="e">
        <f t="shared" si="517"/>
        <v>#REF!</v>
      </c>
      <c r="N60" s="301" t="e">
        <f t="shared" si="517"/>
        <v>#REF!</v>
      </c>
      <c r="O60" s="301" t="e">
        <f t="shared" si="517"/>
        <v>#REF!</v>
      </c>
      <c r="P60" s="301" t="e">
        <f t="shared" si="517"/>
        <v>#REF!</v>
      </c>
      <c r="Q60" s="301" t="e">
        <f t="shared" si="517"/>
        <v>#REF!</v>
      </c>
      <c r="R60" s="301" t="e">
        <f t="shared" si="517"/>
        <v>#REF!</v>
      </c>
      <c r="S60" s="301" t="e">
        <f t="shared" si="517"/>
        <v>#REF!</v>
      </c>
      <c r="T60" s="301" t="e">
        <f t="shared" si="517"/>
        <v>#REF!</v>
      </c>
      <c r="U60" s="301" t="e">
        <f t="shared" si="517"/>
        <v>#REF!</v>
      </c>
      <c r="V60" s="301" t="e">
        <f t="shared" si="517"/>
        <v>#REF!</v>
      </c>
      <c r="W60" s="301" t="e">
        <f t="shared" si="517"/>
        <v>#REF!</v>
      </c>
      <c r="X60" s="301" t="e">
        <f t="shared" si="517"/>
        <v>#REF!</v>
      </c>
      <c r="Y60" s="301" t="e">
        <f t="shared" si="517"/>
        <v>#REF!</v>
      </c>
      <c r="Z60" s="301" t="e">
        <f t="shared" si="517"/>
        <v>#REF!</v>
      </c>
      <c r="AA60" s="301" t="e">
        <f t="shared" si="517"/>
        <v>#REF!</v>
      </c>
      <c r="AB60" s="301" t="e">
        <f t="shared" si="517"/>
        <v>#REF!</v>
      </c>
      <c r="AC60" s="301" t="e">
        <f t="shared" si="517"/>
        <v>#REF!</v>
      </c>
      <c r="AD60" s="301" t="e">
        <f t="shared" si="517"/>
        <v>#REF!</v>
      </c>
      <c r="AE60" s="301" t="e">
        <f t="shared" si="517"/>
        <v>#REF!</v>
      </c>
      <c r="AF60" s="301" t="e">
        <f t="shared" si="517"/>
        <v>#REF!</v>
      </c>
      <c r="AG60" s="301" t="e">
        <f t="shared" si="517"/>
        <v>#REF!</v>
      </c>
      <c r="AH60" s="301" t="e">
        <f t="shared" si="517"/>
        <v>#REF!</v>
      </c>
      <c r="AI60" s="301" t="e">
        <f t="shared" si="517"/>
        <v>#REF!</v>
      </c>
      <c r="AJ60" s="301" t="e">
        <f t="shared" si="517"/>
        <v>#REF!</v>
      </c>
      <c r="AK60" s="301" t="e">
        <f t="shared" si="517"/>
        <v>#REF!</v>
      </c>
      <c r="AL60" s="301" t="e">
        <f t="shared" si="517"/>
        <v>#REF!</v>
      </c>
      <c r="AM60" s="301" t="e">
        <f t="shared" si="517"/>
        <v>#REF!</v>
      </c>
      <c r="AN60" s="301" t="e">
        <f t="shared" si="517"/>
        <v>#REF!</v>
      </c>
      <c r="AO60" s="301" t="e">
        <f t="shared" si="517"/>
        <v>#REF!</v>
      </c>
      <c r="AP60" s="301" t="e">
        <f t="shared" si="517"/>
        <v>#REF!</v>
      </c>
      <c r="AQ60" s="301" t="e">
        <f t="shared" si="517"/>
        <v>#REF!</v>
      </c>
      <c r="AR60" s="301" t="e">
        <f t="shared" si="517"/>
        <v>#REF!</v>
      </c>
      <c r="AS60" s="301" t="e">
        <f t="shared" si="517"/>
        <v>#REF!</v>
      </c>
      <c r="AT60" s="301" t="e">
        <f t="shared" si="517"/>
        <v>#REF!</v>
      </c>
      <c r="AU60" s="301" t="e">
        <f t="shared" si="517"/>
        <v>#REF!</v>
      </c>
      <c r="AV60" s="301" t="e">
        <f t="shared" si="517"/>
        <v>#REF!</v>
      </c>
      <c r="AW60" s="301" t="e">
        <f t="shared" si="517"/>
        <v>#REF!</v>
      </c>
      <c r="AX60" s="301" t="e">
        <f t="shared" si="517"/>
        <v>#REF!</v>
      </c>
      <c r="AY60" s="301" t="e">
        <f t="shared" si="517"/>
        <v>#REF!</v>
      </c>
      <c r="AZ60" s="301" t="e">
        <f t="shared" si="517"/>
        <v>#REF!</v>
      </c>
      <c r="BA60" s="301" t="e">
        <f t="shared" si="517"/>
        <v>#REF!</v>
      </c>
      <c r="BB60" s="301" t="e">
        <f t="shared" si="517"/>
        <v>#REF!</v>
      </c>
      <c r="BC60" s="301" t="e">
        <f t="shared" si="517"/>
        <v>#REF!</v>
      </c>
      <c r="BD60" s="301" t="e">
        <f t="shared" si="517"/>
        <v>#REF!</v>
      </c>
      <c r="BE60" s="301" t="e">
        <f t="shared" si="517"/>
        <v>#REF!</v>
      </c>
      <c r="BF60" s="301" t="e">
        <f t="shared" si="517"/>
        <v>#REF!</v>
      </c>
      <c r="BG60" s="301" t="e">
        <f t="shared" si="517"/>
        <v>#REF!</v>
      </c>
      <c r="BH60" s="301" t="e">
        <f t="shared" si="517"/>
        <v>#REF!</v>
      </c>
      <c r="BI60" s="301" t="e">
        <f t="shared" si="517"/>
        <v>#REF!</v>
      </c>
      <c r="BJ60" s="301" t="e">
        <f t="shared" si="517"/>
        <v>#REF!</v>
      </c>
      <c r="BK60" s="301" t="e">
        <f t="shared" si="517"/>
        <v>#REF!</v>
      </c>
      <c r="BL60" s="301" t="e">
        <f t="shared" si="517"/>
        <v>#REF!</v>
      </c>
      <c r="BM60" s="301" t="e">
        <f t="shared" si="517"/>
        <v>#REF!</v>
      </c>
      <c r="BN60" s="301" t="e">
        <f t="shared" si="517"/>
        <v>#REF!</v>
      </c>
      <c r="BO60" s="301" t="e">
        <f t="shared" si="517"/>
        <v>#REF!</v>
      </c>
      <c r="BP60" s="301" t="e">
        <f t="shared" si="517"/>
        <v>#REF!</v>
      </c>
      <c r="BQ60" s="301" t="e">
        <f t="shared" ref="BQ60:DT60" si="518">+BP61</f>
        <v>#REF!</v>
      </c>
      <c r="BR60" s="301" t="e">
        <f t="shared" si="518"/>
        <v>#REF!</v>
      </c>
      <c r="BS60" s="301" t="e">
        <f t="shared" si="518"/>
        <v>#REF!</v>
      </c>
      <c r="BT60" s="301" t="e">
        <f t="shared" si="518"/>
        <v>#REF!</v>
      </c>
      <c r="BU60" s="301" t="e">
        <f t="shared" si="518"/>
        <v>#REF!</v>
      </c>
      <c r="BV60" s="301" t="e">
        <f t="shared" si="518"/>
        <v>#REF!</v>
      </c>
      <c r="BW60" s="301" t="e">
        <f t="shared" si="518"/>
        <v>#REF!</v>
      </c>
      <c r="BX60" s="301" t="e">
        <f t="shared" si="518"/>
        <v>#REF!</v>
      </c>
      <c r="BY60" s="301" t="e">
        <f t="shared" si="518"/>
        <v>#REF!</v>
      </c>
      <c r="BZ60" s="301" t="e">
        <f t="shared" si="518"/>
        <v>#REF!</v>
      </c>
      <c r="CA60" s="301" t="e">
        <f t="shared" si="518"/>
        <v>#REF!</v>
      </c>
      <c r="CB60" s="301" t="e">
        <f t="shared" si="518"/>
        <v>#REF!</v>
      </c>
      <c r="CC60" s="301" t="e">
        <f t="shared" si="518"/>
        <v>#REF!</v>
      </c>
      <c r="CD60" s="301" t="e">
        <f t="shared" si="518"/>
        <v>#REF!</v>
      </c>
      <c r="CE60" s="301" t="e">
        <f t="shared" si="518"/>
        <v>#REF!</v>
      </c>
      <c r="CF60" s="301" t="e">
        <f t="shared" si="518"/>
        <v>#REF!</v>
      </c>
      <c r="CG60" s="301" t="e">
        <f t="shared" si="518"/>
        <v>#REF!</v>
      </c>
      <c r="CH60" s="301" t="e">
        <f t="shared" si="518"/>
        <v>#REF!</v>
      </c>
      <c r="CI60" s="301" t="e">
        <f t="shared" si="518"/>
        <v>#REF!</v>
      </c>
      <c r="CJ60" s="301" t="e">
        <f t="shared" si="518"/>
        <v>#REF!</v>
      </c>
      <c r="CK60" s="301" t="e">
        <f t="shared" si="518"/>
        <v>#REF!</v>
      </c>
      <c r="CL60" s="301" t="e">
        <f t="shared" si="518"/>
        <v>#REF!</v>
      </c>
      <c r="CM60" s="301" t="e">
        <f t="shared" si="518"/>
        <v>#REF!</v>
      </c>
      <c r="CN60" s="301" t="e">
        <f t="shared" si="518"/>
        <v>#REF!</v>
      </c>
      <c r="CO60" s="301" t="e">
        <f t="shared" si="518"/>
        <v>#REF!</v>
      </c>
      <c r="CP60" s="301" t="e">
        <f t="shared" si="518"/>
        <v>#REF!</v>
      </c>
      <c r="CQ60" s="301" t="e">
        <f t="shared" si="518"/>
        <v>#REF!</v>
      </c>
      <c r="CR60" s="301" t="e">
        <f t="shared" si="518"/>
        <v>#REF!</v>
      </c>
      <c r="CS60" s="301" t="e">
        <f t="shared" si="518"/>
        <v>#REF!</v>
      </c>
      <c r="CT60" s="301" t="e">
        <f t="shared" si="518"/>
        <v>#REF!</v>
      </c>
      <c r="CU60" s="301" t="e">
        <f t="shared" si="518"/>
        <v>#REF!</v>
      </c>
      <c r="CV60" s="301" t="e">
        <f t="shared" si="518"/>
        <v>#REF!</v>
      </c>
      <c r="CW60" s="301" t="e">
        <f t="shared" si="518"/>
        <v>#REF!</v>
      </c>
      <c r="CX60" s="301" t="e">
        <f t="shared" si="518"/>
        <v>#REF!</v>
      </c>
      <c r="CY60" s="301" t="e">
        <f t="shared" si="518"/>
        <v>#REF!</v>
      </c>
      <c r="CZ60" s="301" t="e">
        <f t="shared" si="518"/>
        <v>#REF!</v>
      </c>
      <c r="DA60" s="301" t="e">
        <f t="shared" si="518"/>
        <v>#REF!</v>
      </c>
      <c r="DB60" s="301" t="e">
        <f t="shared" si="518"/>
        <v>#REF!</v>
      </c>
      <c r="DC60" s="301" t="e">
        <f t="shared" si="518"/>
        <v>#REF!</v>
      </c>
      <c r="DD60" s="301" t="e">
        <f t="shared" si="518"/>
        <v>#REF!</v>
      </c>
      <c r="DE60" s="301" t="e">
        <f t="shared" si="518"/>
        <v>#REF!</v>
      </c>
      <c r="DF60" s="301" t="e">
        <f t="shared" si="518"/>
        <v>#REF!</v>
      </c>
      <c r="DG60" s="301" t="e">
        <f t="shared" si="518"/>
        <v>#REF!</v>
      </c>
      <c r="DH60" s="301" t="e">
        <f t="shared" si="518"/>
        <v>#REF!</v>
      </c>
      <c r="DI60" s="301" t="e">
        <f t="shared" si="518"/>
        <v>#REF!</v>
      </c>
      <c r="DJ60" s="301" t="e">
        <f t="shared" si="518"/>
        <v>#REF!</v>
      </c>
      <c r="DK60" s="301" t="e">
        <f t="shared" si="518"/>
        <v>#REF!</v>
      </c>
      <c r="DL60" s="301" t="e">
        <f t="shared" si="518"/>
        <v>#REF!</v>
      </c>
      <c r="DM60" s="301" t="e">
        <f t="shared" si="518"/>
        <v>#REF!</v>
      </c>
      <c r="DN60" s="301" t="e">
        <f t="shared" si="518"/>
        <v>#REF!</v>
      </c>
      <c r="DO60" s="301" t="e">
        <f t="shared" si="518"/>
        <v>#REF!</v>
      </c>
      <c r="DP60" s="301" t="e">
        <f t="shared" si="518"/>
        <v>#REF!</v>
      </c>
      <c r="DQ60" s="301" t="e">
        <f t="shared" si="518"/>
        <v>#REF!</v>
      </c>
      <c r="DR60" s="301" t="e">
        <f t="shared" si="518"/>
        <v>#REF!</v>
      </c>
      <c r="DT60" s="301">
        <f t="shared" si="518"/>
        <v>0</v>
      </c>
      <c r="DU60" s="301" t="e">
        <f t="shared" ref="DU60" si="519">+DT61</f>
        <v>#REF!</v>
      </c>
      <c r="DV60" s="301" t="e">
        <f t="shared" ref="DV60" si="520">+DU61</f>
        <v>#REF!</v>
      </c>
      <c r="DW60" s="301" t="e">
        <f t="shared" ref="DW60" si="521">+DV61</f>
        <v>#REF!</v>
      </c>
      <c r="DX60" s="301" t="e">
        <f t="shared" ref="DX60" si="522">+DW61</f>
        <v>#REF!</v>
      </c>
      <c r="DY60" s="301" t="e">
        <f t="shared" ref="DY60" si="523">+DX61</f>
        <v>#REF!</v>
      </c>
      <c r="DZ60" s="301" t="e">
        <f t="shared" ref="DZ60" si="524">+DY61</f>
        <v>#REF!</v>
      </c>
      <c r="EA60" s="301" t="e">
        <f t="shared" ref="EA60" si="525">+DZ61</f>
        <v>#REF!</v>
      </c>
      <c r="EB60" s="301" t="e">
        <f t="shared" ref="EB60" si="526">+EA61</f>
        <v>#REF!</v>
      </c>
      <c r="EC60" s="301" t="e">
        <f t="shared" ref="EC60" si="527">+EB61</f>
        <v>#REF!</v>
      </c>
    </row>
    <row r="61" thickTop="1" thickBot="1" ht="15.5">
      <c r="A61" s="301" t="s">
        <v>1268</v>
      </c>
      <c r="B61" s="301"/>
      <c r="C61" s="313" t="e">
        <f>+C58+C60</f>
        <v>#REF!</v>
      </c>
      <c r="D61" s="313" t="e">
        <f>+D58+D60</f>
        <v>#REF!</v>
      </c>
      <c r="E61" s="313" t="e">
        <f t="shared" ref="E61:I61" si="528">+E58+E60</f>
        <v>#REF!</v>
      </c>
      <c r="F61" s="313" t="e">
        <f t="shared" si="528"/>
        <v>#REF!</v>
      </c>
      <c r="G61" s="313" t="e">
        <f t="shared" si="528"/>
        <v>#REF!</v>
      </c>
      <c r="H61" s="313" t="e">
        <f t="shared" si="528"/>
        <v>#REF!</v>
      </c>
      <c r="I61" s="313" t="e">
        <f t="shared" si="528"/>
        <v>#REF!</v>
      </c>
      <c r="J61" s="313" t="e">
        <f t="shared" ref="J61" si="529">+J58+J60</f>
        <v>#REF!</v>
      </c>
      <c r="K61" s="313" t="e">
        <f t="shared" ref="K61" si="530">+K58+K60</f>
        <v>#REF!</v>
      </c>
      <c r="L61" s="313" t="e">
        <f t="shared" ref="L61" si="531">+L58+L60</f>
        <v>#REF!</v>
      </c>
      <c r="M61" s="313" t="e">
        <f t="shared" ref="M61" si="532">+M58+M60</f>
        <v>#REF!</v>
      </c>
      <c r="N61" s="313" t="e">
        <f t="shared" ref="N61" si="533">+N58+N60</f>
        <v>#REF!</v>
      </c>
      <c r="O61" s="313" t="e">
        <f t="shared" ref="O61" si="534">+O58+O60</f>
        <v>#REF!</v>
      </c>
      <c r="P61" s="313" t="e">
        <f t="shared" ref="P61" si="535">+P58+P60</f>
        <v>#REF!</v>
      </c>
      <c r="Q61" s="313" t="e">
        <f t="shared" ref="Q61" si="536">+Q58+Q60</f>
        <v>#REF!</v>
      </c>
      <c r="R61" s="313" t="e">
        <f t="shared" ref="R61" si="537">+R58+R60</f>
        <v>#REF!</v>
      </c>
      <c r="S61" s="313" t="e">
        <f t="shared" ref="S61" si="538">+S58+S60</f>
        <v>#REF!</v>
      </c>
      <c r="T61" s="313" t="e">
        <f t="shared" ref="T61" si="539">+T58+T60</f>
        <v>#REF!</v>
      </c>
      <c r="U61" s="313" t="e">
        <f t="shared" ref="U61" si="540">+U58+U60</f>
        <v>#REF!</v>
      </c>
      <c r="V61" s="313" t="e">
        <f t="shared" ref="V61" si="541">+V58+V60</f>
        <v>#REF!</v>
      </c>
      <c r="W61" s="313" t="e">
        <f t="shared" ref="W61" si="542">+W58+W60</f>
        <v>#REF!</v>
      </c>
      <c r="X61" s="313" t="e">
        <f t="shared" ref="X61" si="543">+X58+X60</f>
        <v>#REF!</v>
      </c>
      <c r="Y61" s="313" t="e">
        <f t="shared" ref="Y61" si="544">+Y58+Y60</f>
        <v>#REF!</v>
      </c>
      <c r="Z61" s="313" t="e">
        <f t="shared" ref="Z61" si="545">+Z58+Z60</f>
        <v>#REF!</v>
      </c>
      <c r="AA61" s="313" t="e">
        <f t="shared" ref="AA61" si="546">+AA58+AA60</f>
        <v>#REF!</v>
      </c>
      <c r="AB61" s="313" t="e">
        <f t="shared" ref="AB61" si="547">+AB58+AB60</f>
        <v>#REF!</v>
      </c>
      <c r="AC61" s="313" t="e">
        <f t="shared" ref="AC61" si="548">+AC58+AC60</f>
        <v>#REF!</v>
      </c>
      <c r="AD61" s="313" t="e">
        <f t="shared" ref="AD61" si="549">+AD58+AD60</f>
        <v>#REF!</v>
      </c>
      <c r="AE61" s="313" t="e">
        <f t="shared" ref="AE61" si="550">+AE58+AE60</f>
        <v>#REF!</v>
      </c>
      <c r="AF61" s="313" t="e">
        <f t="shared" ref="AF61" si="551">+AF58+AF60</f>
        <v>#REF!</v>
      </c>
      <c r="AG61" s="313" t="e">
        <f t="shared" ref="AG61" si="552">+AG58+AG60</f>
        <v>#REF!</v>
      </c>
      <c r="AH61" s="313" t="e">
        <f t="shared" ref="AH61" si="553">+AH58+AH60</f>
        <v>#REF!</v>
      </c>
      <c r="AI61" s="313" t="e">
        <f t="shared" ref="AI61" si="554">+AI58+AI60</f>
        <v>#REF!</v>
      </c>
      <c r="AJ61" s="313" t="e">
        <f t="shared" ref="AJ61" si="555">+AJ58+AJ60</f>
        <v>#REF!</v>
      </c>
      <c r="AK61" s="313" t="e">
        <f t="shared" ref="AK61" si="556">+AK58+AK60</f>
        <v>#REF!</v>
      </c>
      <c r="AL61" s="313" t="e">
        <f t="shared" ref="AL61" si="557">+AL58+AL60</f>
        <v>#REF!</v>
      </c>
      <c r="AM61" s="313" t="e">
        <f t="shared" ref="AM61" si="558">+AM58+AM60</f>
        <v>#REF!</v>
      </c>
      <c r="AN61" s="313" t="e">
        <f t="shared" ref="AN61" si="559">+AN58+AN60</f>
        <v>#REF!</v>
      </c>
      <c r="AO61" s="313" t="e">
        <f t="shared" ref="AO61" si="560">+AO58+AO60</f>
        <v>#REF!</v>
      </c>
      <c r="AP61" s="313" t="e">
        <f t="shared" ref="AP61" si="561">+AP58+AP60</f>
        <v>#REF!</v>
      </c>
      <c r="AQ61" s="313" t="e">
        <f t="shared" ref="AQ61" si="562">+AQ58+AQ60</f>
        <v>#REF!</v>
      </c>
      <c r="AR61" s="313" t="e">
        <f t="shared" ref="AR61" si="563">+AR58+AR60</f>
        <v>#REF!</v>
      </c>
      <c r="AS61" s="313" t="e">
        <f t="shared" ref="AS61" si="564">+AS58+AS60</f>
        <v>#REF!</v>
      </c>
      <c r="AT61" s="313" t="e">
        <f t="shared" ref="AT61" si="565">+AT58+AT60</f>
        <v>#REF!</v>
      </c>
      <c r="AU61" s="313" t="e">
        <f t="shared" ref="AU61" si="566">+AU58+AU60</f>
        <v>#REF!</v>
      </c>
      <c r="AV61" s="313" t="e">
        <f t="shared" ref="AV61" si="567">+AV58+AV60</f>
        <v>#REF!</v>
      </c>
      <c r="AW61" s="313" t="e">
        <f t="shared" ref="AW61" si="568">+AW58+AW60</f>
        <v>#REF!</v>
      </c>
      <c r="AX61" s="313" t="e">
        <f t="shared" ref="AX61" si="569">+AX58+AX60</f>
        <v>#REF!</v>
      </c>
      <c r="AY61" s="313" t="e">
        <f t="shared" ref="AY61" si="570">+AY58+AY60</f>
        <v>#REF!</v>
      </c>
      <c r="AZ61" s="313" t="e">
        <f t="shared" ref="AZ61" si="571">+AZ58+AZ60</f>
        <v>#REF!</v>
      </c>
      <c r="BA61" s="313" t="e">
        <f t="shared" ref="BA61" si="572">+BA58+BA60</f>
        <v>#REF!</v>
      </c>
      <c r="BB61" s="313" t="e">
        <f t="shared" ref="BB61" si="573">+BB58+BB60</f>
        <v>#REF!</v>
      </c>
      <c r="BC61" s="313" t="e">
        <f t="shared" ref="BC61" si="574">+BC58+BC60</f>
        <v>#REF!</v>
      </c>
      <c r="BD61" s="313" t="e">
        <f t="shared" ref="BD61" si="575">+BD58+BD60</f>
        <v>#REF!</v>
      </c>
      <c r="BE61" s="313" t="e">
        <f t="shared" ref="BE61" si="576">+BE58+BE60</f>
        <v>#REF!</v>
      </c>
      <c r="BF61" s="313" t="e">
        <f t="shared" ref="BF61" si="577">+BF58+BF60</f>
        <v>#REF!</v>
      </c>
      <c r="BG61" s="313" t="e">
        <f t="shared" ref="BG61" si="578">+BG58+BG60</f>
        <v>#REF!</v>
      </c>
      <c r="BH61" s="313" t="e">
        <f t="shared" ref="BH61" si="579">+BH58+BH60</f>
        <v>#REF!</v>
      </c>
      <c r="BI61" s="313" t="e">
        <f t="shared" ref="BI61" si="580">+BI58+BI60</f>
        <v>#REF!</v>
      </c>
      <c r="BJ61" s="313" t="e">
        <f t="shared" ref="BJ61" si="581">+BJ58+BJ60</f>
        <v>#REF!</v>
      </c>
      <c r="BK61" s="313" t="e">
        <f t="shared" ref="BK61" si="582">+BK58+BK60</f>
        <v>#REF!</v>
      </c>
      <c r="BL61" s="313" t="e">
        <f t="shared" ref="BL61" si="583">+BL58+BL60</f>
        <v>#REF!</v>
      </c>
      <c r="BM61" s="313" t="e">
        <f t="shared" ref="BM61" si="584">+BM58+BM60</f>
        <v>#REF!</v>
      </c>
      <c r="BN61" s="313" t="e">
        <f t="shared" ref="BN61" si="585">+BN58+BN60</f>
        <v>#REF!</v>
      </c>
      <c r="BO61" s="313" t="e">
        <f t="shared" ref="BO61" si="586">+BO58+BO60</f>
        <v>#REF!</v>
      </c>
      <c r="BP61" s="313" t="e">
        <f t="shared" ref="BP61" si="587">+BP58+BP60</f>
        <v>#REF!</v>
      </c>
      <c r="BQ61" s="313" t="e">
        <f t="shared" ref="BQ61" si="588">+BQ58+BQ60</f>
        <v>#REF!</v>
      </c>
      <c r="BR61" s="313" t="e">
        <f t="shared" ref="BR61" si="589">+BR58+BR60</f>
        <v>#REF!</v>
      </c>
      <c r="BS61" s="313" t="e">
        <f t="shared" ref="BS61" si="590">+BS58+BS60</f>
        <v>#REF!</v>
      </c>
      <c r="BT61" s="313" t="e">
        <f t="shared" ref="BT61" si="591">+BT58+BT60</f>
        <v>#REF!</v>
      </c>
      <c r="BU61" s="313" t="e">
        <f t="shared" ref="BU61" si="592">+BU58+BU60</f>
        <v>#REF!</v>
      </c>
      <c r="BV61" s="313" t="e">
        <f t="shared" ref="BV61" si="593">+BV58+BV60</f>
        <v>#REF!</v>
      </c>
      <c r="BW61" s="313" t="e">
        <f t="shared" ref="BW61" si="594">+BW58+BW60</f>
        <v>#REF!</v>
      </c>
      <c r="BX61" s="313" t="e">
        <f t="shared" ref="BX61" si="595">+BX58+BX60</f>
        <v>#REF!</v>
      </c>
      <c r="BY61" s="313" t="e">
        <f t="shared" ref="BY61" si="596">+BY58+BY60</f>
        <v>#REF!</v>
      </c>
      <c r="BZ61" s="313" t="e">
        <f t="shared" ref="BZ61" si="597">+BZ58+BZ60</f>
        <v>#REF!</v>
      </c>
      <c r="CA61" s="313" t="e">
        <f t="shared" ref="CA61" si="598">+CA58+CA60</f>
        <v>#REF!</v>
      </c>
      <c r="CB61" s="313" t="e">
        <f t="shared" ref="CB61" si="599">+CB58+CB60</f>
        <v>#REF!</v>
      </c>
      <c r="CC61" s="313" t="e">
        <f t="shared" ref="CC61" si="600">+CC58+CC60</f>
        <v>#REF!</v>
      </c>
      <c r="CD61" s="313" t="e">
        <f t="shared" ref="CD61" si="601">+CD58+CD60</f>
        <v>#REF!</v>
      </c>
      <c r="CE61" s="313" t="e">
        <f t="shared" ref="CE61" si="602">+CE58+CE60</f>
        <v>#REF!</v>
      </c>
      <c r="CF61" s="313" t="e">
        <f t="shared" ref="CF61" si="603">+CF58+CF60</f>
        <v>#REF!</v>
      </c>
      <c r="CG61" s="313" t="e">
        <f t="shared" ref="CG61" si="604">+CG58+CG60</f>
        <v>#REF!</v>
      </c>
      <c r="CH61" s="313" t="e">
        <f t="shared" ref="CH61" si="605">+CH58+CH60</f>
        <v>#REF!</v>
      </c>
      <c r="CI61" s="313" t="e">
        <f t="shared" ref="CI61" si="606">+CI58+CI60</f>
        <v>#REF!</v>
      </c>
      <c r="CJ61" s="313" t="e">
        <f t="shared" ref="CJ61" si="607">+CJ58+CJ60</f>
        <v>#REF!</v>
      </c>
      <c r="CK61" s="313" t="e">
        <f t="shared" ref="CK61" si="608">+CK58+CK60</f>
        <v>#REF!</v>
      </c>
      <c r="CL61" s="313" t="e">
        <f t="shared" ref="CL61" si="609">+CL58+CL60</f>
        <v>#REF!</v>
      </c>
      <c r="CM61" s="313" t="e">
        <f t="shared" ref="CM61" si="610">+CM58+CM60</f>
        <v>#REF!</v>
      </c>
      <c r="CN61" s="313" t="e">
        <f t="shared" ref="CN61" si="611">+CN58+CN60</f>
        <v>#REF!</v>
      </c>
      <c r="CO61" s="313" t="e">
        <f t="shared" ref="CO61" si="612">+CO58+CO60</f>
        <v>#REF!</v>
      </c>
      <c r="CP61" s="313" t="e">
        <f t="shared" ref="CP61" si="613">+CP58+CP60</f>
        <v>#REF!</v>
      </c>
      <c r="CQ61" s="313" t="e">
        <f t="shared" ref="CQ61" si="614">+CQ58+CQ60</f>
        <v>#REF!</v>
      </c>
      <c r="CR61" s="313" t="e">
        <f t="shared" ref="CR61" si="615">+CR58+CR60</f>
        <v>#REF!</v>
      </c>
      <c r="CS61" s="313" t="e">
        <f t="shared" ref="CS61" si="616">+CS58+CS60</f>
        <v>#REF!</v>
      </c>
      <c r="CT61" s="313" t="e">
        <f t="shared" ref="CT61" si="617">+CT58+CT60</f>
        <v>#REF!</v>
      </c>
      <c r="CU61" s="313" t="e">
        <f t="shared" ref="CU61" si="618">+CU58+CU60</f>
        <v>#REF!</v>
      </c>
      <c r="CV61" s="313" t="e">
        <f t="shared" ref="CV61" si="619">+CV58+CV60</f>
        <v>#REF!</v>
      </c>
      <c r="CW61" s="313" t="e">
        <f t="shared" ref="CW61" si="620">+CW58+CW60</f>
        <v>#REF!</v>
      </c>
      <c r="CX61" s="313" t="e">
        <f t="shared" ref="CX61" si="621">+CX58+CX60</f>
        <v>#REF!</v>
      </c>
      <c r="CY61" s="313" t="e">
        <f t="shared" ref="CY61" si="622">+CY58+CY60</f>
        <v>#REF!</v>
      </c>
      <c r="CZ61" s="313" t="e">
        <f t="shared" ref="CZ61" si="623">+CZ58+CZ60</f>
        <v>#REF!</v>
      </c>
      <c r="DA61" s="313" t="e">
        <f t="shared" ref="DA61" si="624">+DA58+DA60</f>
        <v>#REF!</v>
      </c>
      <c r="DB61" s="313" t="e">
        <f t="shared" ref="DB61" si="625">+DB58+DB60</f>
        <v>#REF!</v>
      </c>
      <c r="DC61" s="313" t="e">
        <f t="shared" ref="DC61" si="626">+DC58+DC60</f>
        <v>#REF!</v>
      </c>
      <c r="DD61" s="313" t="e">
        <f t="shared" ref="DD61" si="627">+DD58+DD60</f>
        <v>#REF!</v>
      </c>
      <c r="DE61" s="313" t="e">
        <f t="shared" ref="DE61" si="628">+DE58+DE60</f>
        <v>#REF!</v>
      </c>
      <c r="DF61" s="313" t="e">
        <f t="shared" ref="DF61" si="629">+DF58+DF60</f>
        <v>#REF!</v>
      </c>
      <c r="DG61" s="313" t="e">
        <f t="shared" ref="DG61" si="630">+DG58+DG60</f>
        <v>#REF!</v>
      </c>
      <c r="DH61" s="313" t="e">
        <f t="shared" ref="DH61" si="631">+DH58+DH60</f>
        <v>#REF!</v>
      </c>
      <c r="DI61" s="313" t="e">
        <f t="shared" ref="DI61" si="632">+DI58+DI60</f>
        <v>#REF!</v>
      </c>
      <c r="DJ61" s="313" t="e">
        <f t="shared" ref="DJ61" si="633">+DJ58+DJ60</f>
        <v>#REF!</v>
      </c>
      <c r="DK61" s="313" t="e">
        <f t="shared" ref="DK61" si="634">+DK58+DK60</f>
        <v>#REF!</v>
      </c>
      <c r="DL61" s="313" t="e">
        <f t="shared" ref="DL61" si="635">+DL58+DL60</f>
        <v>#REF!</v>
      </c>
      <c r="DM61" s="313" t="e">
        <f t="shared" ref="DM61" si="636">+DM58+DM60</f>
        <v>#REF!</v>
      </c>
      <c r="DN61" s="313" t="e">
        <f t="shared" ref="DN61" si="637">+DN58+DN60</f>
        <v>#REF!</v>
      </c>
      <c r="DO61" s="313" t="e">
        <f t="shared" ref="DO61" si="638">+DO58+DO60</f>
        <v>#REF!</v>
      </c>
      <c r="DP61" s="313" t="e">
        <f t="shared" ref="DP61" si="639">+DP58+DP60</f>
        <v>#REF!</v>
      </c>
      <c r="DQ61" s="313" t="e">
        <f t="shared" ref="DQ61" si="640">+DQ58+DQ60</f>
        <v>#REF!</v>
      </c>
      <c r="DR61" s="313" t="e">
        <f t="shared" ref="DR61:DT61" si="641">+DR58+DR60</f>
        <v>#REF!</v>
      </c>
      <c r="DT61" s="313" t="e">
        <f t="shared" si="641"/>
        <v>#REF!</v>
      </c>
      <c r="DU61" s="313" t="e">
        <f t="shared" ref="DU61:EC61" si="642">+DU58+DU60</f>
        <v>#REF!</v>
      </c>
      <c r="DV61" s="313" t="e">
        <f t="shared" si="642"/>
        <v>#REF!</v>
      </c>
      <c r="DW61" s="313" t="e">
        <f t="shared" si="642"/>
        <v>#REF!</v>
      </c>
      <c r="DX61" s="313" t="e">
        <f t="shared" si="642"/>
        <v>#REF!</v>
      </c>
      <c r="DY61" s="313" t="e">
        <f t="shared" si="642"/>
        <v>#REF!</v>
      </c>
      <c r="DZ61" s="313" t="e">
        <f t="shared" si="642"/>
        <v>#REF!</v>
      </c>
      <c r="EA61" s="313" t="e">
        <f t="shared" si="642"/>
        <v>#REF!</v>
      </c>
      <c r="EB61" s="313" t="e">
        <f t="shared" si="642"/>
        <v>#REF!</v>
      </c>
      <c r="EC61" s="313" t="e">
        <f t="shared" si="642"/>
        <v>#REF!</v>
      </c>
    </row>
    <row r="62" thickTop="1"/>
    <row r="64" ht="16.5" customHeight="1">
      <c r="A64" s="314" t="s">
        <v>1269</v>
      </c>
      <c r="C64" s="315" t="e">
        <f>+C61-'Banca-mese'!C45</f>
        <v>#REF!</v>
      </c>
      <c r="D64" s="315" t="e">
        <f>+D61-'Banca-mese'!D45</f>
        <v>#REF!</v>
      </c>
      <c r="E64" s="315" t="e">
        <f>+E61-'Banca-mese'!E45</f>
        <v>#REF!</v>
      </c>
      <c r="F64" s="315" t="e">
        <f>+F61-'Banca-mese'!F45</f>
        <v>#REF!</v>
      </c>
      <c r="G64" s="315" t="e">
        <f>+G61-'Banca-mese'!G45</f>
        <v>#REF!</v>
      </c>
      <c r="H64" s="315" t="e">
        <f>+H61-'Banca-mese'!H45</f>
        <v>#REF!</v>
      </c>
      <c r="I64" s="315" t="e">
        <f>+I61-'Banca-mese'!I45</f>
        <v>#REF!</v>
      </c>
      <c r="J64" s="315" t="e">
        <f>+J61-'Banca-mese'!J45</f>
        <v>#REF!</v>
      </c>
      <c r="K64" s="315" t="e">
        <f>+K61-'Banca-mese'!K45</f>
        <v>#REF!</v>
      </c>
      <c r="L64" s="315" t="e">
        <f>+L61-'Banca-mese'!L45</f>
        <v>#REF!</v>
      </c>
      <c r="M64" s="315" t="e">
        <f>+M61-'Banca-mese'!M45</f>
        <v>#REF!</v>
      </c>
      <c r="N64" s="315" t="e">
        <f>+N61-'Banca-mese'!N45</f>
        <v>#REF!</v>
      </c>
      <c r="O64" s="315" t="e">
        <f>+O61-'Banca-mese'!O45</f>
        <v>#REF!</v>
      </c>
      <c r="P64" s="315" t="e">
        <f>+P61-'Banca-mese'!P45</f>
        <v>#REF!</v>
      </c>
      <c r="Q64" s="315" t="e">
        <f>+Q61-'Banca-mese'!Q45</f>
        <v>#REF!</v>
      </c>
      <c r="R64" s="315" t="e">
        <f>+R61-'Banca-mese'!R45</f>
        <v>#REF!</v>
      </c>
      <c r="S64" s="315" t="e">
        <f>+S61-'Banca-mese'!S45</f>
        <v>#REF!</v>
      </c>
      <c r="T64" s="315" t="e">
        <f>+T61-'Banca-mese'!T45</f>
        <v>#REF!</v>
      </c>
      <c r="U64" s="315" t="e">
        <f>+U61-'Banca-mese'!U45</f>
        <v>#REF!</v>
      </c>
      <c r="V64" s="315" t="e">
        <f>+V61-'Banca-mese'!V45</f>
        <v>#REF!</v>
      </c>
      <c r="W64" s="315" t="e">
        <f>+W61-'Banca-mese'!W45</f>
        <v>#REF!</v>
      </c>
      <c r="X64" s="315" t="e">
        <f>+X61-'Banca-mese'!X45</f>
        <v>#REF!</v>
      </c>
      <c r="Y64" s="315" t="e">
        <f>+Y61-'Banca-mese'!Y45</f>
        <v>#REF!</v>
      </c>
      <c r="Z64" s="315" t="e">
        <f>+Z61-'Banca-mese'!Z45</f>
        <v>#REF!</v>
      </c>
      <c r="AA64" s="315" t="e">
        <f>+AA61-'Banca-mese'!AA45</f>
        <v>#REF!</v>
      </c>
      <c r="AB64" s="315" t="e">
        <f>+AB61-'Banca-mese'!AB45</f>
        <v>#REF!</v>
      </c>
      <c r="AC64" s="315" t="e">
        <f>+AC61-'Banca-mese'!AC45</f>
        <v>#REF!</v>
      </c>
      <c r="AD64" s="315" t="e">
        <f>+AD61-'Banca-mese'!AD45</f>
        <v>#REF!</v>
      </c>
      <c r="AE64" s="315" t="e">
        <f>+AE61-'Banca-mese'!AE45</f>
        <v>#REF!</v>
      </c>
      <c r="AF64" s="315" t="e">
        <f>+AF61-'Banca-mese'!AF45</f>
        <v>#REF!</v>
      </c>
      <c r="AG64" s="315" t="e">
        <f>+AG61-'Banca-mese'!AG45</f>
        <v>#REF!</v>
      </c>
      <c r="AH64" s="315" t="e">
        <f>+AH61-'Banca-mese'!AH45</f>
        <v>#REF!</v>
      </c>
      <c r="AI64" s="315" t="e">
        <f>+AI61-'Banca-mese'!AI45</f>
        <v>#REF!</v>
      </c>
      <c r="AJ64" s="315" t="e">
        <f>+AJ61-'Banca-mese'!AJ45</f>
        <v>#REF!</v>
      </c>
      <c r="AK64" s="315" t="e">
        <f>+AK61-'Banca-mese'!AK45</f>
        <v>#REF!</v>
      </c>
      <c r="AL64" s="315" t="e">
        <f>+AL61-'Banca-mese'!AL45</f>
        <v>#REF!</v>
      </c>
      <c r="AM64" s="315" t="e">
        <f>+AM61-'Banca-mese'!AM45</f>
        <v>#REF!</v>
      </c>
      <c r="AN64" s="315" t="e">
        <f>+AN61-'Banca-mese'!AN45</f>
        <v>#REF!</v>
      </c>
      <c r="AO64" s="315" t="e">
        <f>+AO61-'Banca-mese'!AO45</f>
        <v>#REF!</v>
      </c>
      <c r="AP64" s="315" t="e">
        <f>+AP61-'Banca-mese'!AP45</f>
        <v>#REF!</v>
      </c>
      <c r="AQ64" s="315" t="e">
        <f>+AQ61-'Banca-mese'!AQ45</f>
        <v>#REF!</v>
      </c>
      <c r="AR64" s="315" t="e">
        <f>+AR61-'Banca-mese'!AR45</f>
        <v>#REF!</v>
      </c>
      <c r="AS64" s="315" t="e">
        <f>+AS61-'Banca-mese'!AS45</f>
        <v>#REF!</v>
      </c>
      <c r="AT64" s="315" t="e">
        <f>+AT61-'Banca-mese'!AT45</f>
        <v>#REF!</v>
      </c>
      <c r="AU64" s="315" t="e">
        <f>+AU61-'Banca-mese'!AU45</f>
        <v>#REF!</v>
      </c>
      <c r="AV64" s="315" t="e">
        <f>+AV61-'Banca-mese'!AV45</f>
        <v>#REF!</v>
      </c>
      <c r="AW64" s="315" t="e">
        <f>+AW61-'Banca-mese'!AW45</f>
        <v>#REF!</v>
      </c>
      <c r="AX64" s="315" t="e">
        <f>+AX61-'Banca-mese'!AX45</f>
        <v>#REF!</v>
      </c>
      <c r="AY64" s="315" t="e">
        <f>+AY61-'Banca-mese'!AY45</f>
        <v>#REF!</v>
      </c>
      <c r="AZ64" s="315" t="e">
        <f>+AZ61-'Banca-mese'!AZ45</f>
        <v>#REF!</v>
      </c>
      <c r="BA64" s="315" t="e">
        <f>+BA61-'Banca-mese'!BA45</f>
        <v>#REF!</v>
      </c>
      <c r="BB64" s="315" t="e">
        <f>+BB61-'Banca-mese'!BB45</f>
        <v>#REF!</v>
      </c>
      <c r="BC64" s="315" t="e">
        <f>+BC61-'Banca-mese'!BC45</f>
        <v>#REF!</v>
      </c>
      <c r="BD64" s="315" t="e">
        <f>+BD61-'Banca-mese'!BD45</f>
        <v>#REF!</v>
      </c>
      <c r="BE64" s="315" t="e">
        <f>+BE61-'Banca-mese'!BE45</f>
        <v>#REF!</v>
      </c>
      <c r="BF64" s="315" t="e">
        <f>+BF61-'Banca-mese'!BF45</f>
        <v>#REF!</v>
      </c>
      <c r="BG64" s="315" t="e">
        <f>+BG61-'Banca-mese'!BG45</f>
        <v>#REF!</v>
      </c>
      <c r="BH64" s="315" t="e">
        <f>+BH61-'Banca-mese'!BH45</f>
        <v>#REF!</v>
      </c>
      <c r="BI64" s="315" t="e">
        <f>+BI61-'Banca-mese'!BI45</f>
        <v>#REF!</v>
      </c>
      <c r="BJ64" s="315" t="e">
        <f>+BJ61-'Banca-mese'!BJ45</f>
        <v>#REF!</v>
      </c>
      <c r="BK64" s="315" t="e">
        <f>+BK61-'Banca-mese'!BK45</f>
        <v>#REF!</v>
      </c>
      <c r="BL64" s="315" t="e">
        <f>+BL61-'Banca-mese'!BL45</f>
        <v>#REF!</v>
      </c>
      <c r="BM64" s="315" t="e">
        <f>+BM61-'Banca-mese'!BM45</f>
        <v>#REF!</v>
      </c>
      <c r="BN64" s="315" t="e">
        <f>+BN61-'Banca-mese'!BN45</f>
        <v>#REF!</v>
      </c>
      <c r="BO64" s="315" t="e">
        <f>+BO61-'Banca-mese'!BO45</f>
        <v>#REF!</v>
      </c>
      <c r="BP64" s="315" t="e">
        <f>+BP61-'Banca-mese'!BP45</f>
        <v>#REF!</v>
      </c>
      <c r="BQ64" s="315" t="e">
        <f>+BQ61-'Banca-mese'!BQ45</f>
        <v>#REF!</v>
      </c>
      <c r="BR64" s="315" t="e">
        <f>+BR61-'Banca-mese'!BR45</f>
        <v>#REF!</v>
      </c>
      <c r="BS64" s="315" t="e">
        <f>+BS61-'Banca-mese'!BS45</f>
        <v>#REF!</v>
      </c>
      <c r="BT64" s="315" t="e">
        <f>+BT61-'Banca-mese'!BT45</f>
        <v>#REF!</v>
      </c>
      <c r="BU64" s="315" t="e">
        <f>+BU61-'Banca-mese'!BU45</f>
        <v>#REF!</v>
      </c>
      <c r="BV64" s="315" t="e">
        <f>+BV61-'Banca-mese'!BV45</f>
        <v>#REF!</v>
      </c>
      <c r="BW64" s="315" t="e">
        <f>+BW61-'Banca-mese'!BW45</f>
        <v>#REF!</v>
      </c>
      <c r="BX64" s="315" t="e">
        <f>+BX61-'Banca-mese'!BX45</f>
        <v>#REF!</v>
      </c>
      <c r="BY64" s="315" t="e">
        <f>+BY61-'Banca-mese'!BY45</f>
        <v>#REF!</v>
      </c>
      <c r="BZ64" s="315" t="e">
        <f>+BZ61-'Banca-mese'!BZ45</f>
        <v>#REF!</v>
      </c>
      <c r="CA64" s="315" t="e">
        <f>+CA61-'Banca-mese'!CA45</f>
        <v>#REF!</v>
      </c>
      <c r="CB64" s="315" t="e">
        <f>+CB61-'Banca-mese'!CB45</f>
        <v>#REF!</v>
      </c>
      <c r="CC64" s="315" t="e">
        <f>+CC61-'Banca-mese'!CC45</f>
        <v>#REF!</v>
      </c>
      <c r="CD64" s="315" t="e">
        <f>+CD61-'Banca-mese'!CD45</f>
        <v>#REF!</v>
      </c>
      <c r="CE64" s="315" t="e">
        <f>+CE61-'Banca-mese'!CE45</f>
        <v>#REF!</v>
      </c>
      <c r="CF64" s="315" t="e">
        <f>+CF61-'Banca-mese'!CF45</f>
        <v>#REF!</v>
      </c>
      <c r="CG64" s="315" t="e">
        <f>+CG61-'Banca-mese'!CG45</f>
        <v>#REF!</v>
      </c>
      <c r="CH64" s="315" t="e">
        <f>+CH61-'Banca-mese'!CH45</f>
        <v>#REF!</v>
      </c>
      <c r="CI64" s="315" t="e">
        <f>+CI61-'Banca-mese'!CI45</f>
        <v>#REF!</v>
      </c>
      <c r="CJ64" s="315" t="e">
        <f>+CJ61-'Banca-mese'!CJ45</f>
        <v>#REF!</v>
      </c>
      <c r="CK64" s="315" t="e">
        <f>+CK61-'Banca-mese'!CK45</f>
        <v>#REF!</v>
      </c>
      <c r="CL64" s="315" t="e">
        <f>+CL61-'Banca-mese'!CL45</f>
        <v>#REF!</v>
      </c>
      <c r="CM64" s="315" t="e">
        <f>+CM61-'Banca-mese'!CM45</f>
        <v>#REF!</v>
      </c>
      <c r="CN64" s="315" t="e">
        <f>+CN61-'Banca-mese'!CN45</f>
        <v>#REF!</v>
      </c>
      <c r="CO64" s="315" t="e">
        <f>+CO61-'Banca-mese'!CO45</f>
        <v>#REF!</v>
      </c>
      <c r="CP64" s="315" t="e">
        <f>+CP61-'Banca-mese'!CP45</f>
        <v>#REF!</v>
      </c>
      <c r="CQ64" s="315" t="e">
        <f>+CQ61-'Banca-mese'!CQ45</f>
        <v>#REF!</v>
      </c>
      <c r="CR64" s="315" t="e">
        <f>+CR61-'Banca-mese'!CR45</f>
        <v>#REF!</v>
      </c>
      <c r="CS64" s="315" t="e">
        <f>+CS61-'Banca-mese'!CS45</f>
        <v>#REF!</v>
      </c>
      <c r="CT64" s="315" t="e">
        <f>+CT61-'Banca-mese'!CT45</f>
        <v>#REF!</v>
      </c>
      <c r="CU64" s="315" t="e">
        <f>+CU61-'Banca-mese'!CU45</f>
        <v>#REF!</v>
      </c>
      <c r="CV64" s="315" t="e">
        <f>+CV61-'Banca-mese'!CV45</f>
        <v>#REF!</v>
      </c>
      <c r="CW64" s="315" t="e">
        <f>+CW61-'Banca-mese'!CW45</f>
        <v>#REF!</v>
      </c>
      <c r="CX64" s="315" t="e">
        <f>+CX61-'Banca-mese'!CX45</f>
        <v>#REF!</v>
      </c>
      <c r="CY64" s="315" t="e">
        <f>+CY61-'Banca-mese'!CY45</f>
        <v>#REF!</v>
      </c>
      <c r="CZ64" s="315" t="e">
        <f>+CZ61-'Banca-mese'!CZ45</f>
        <v>#REF!</v>
      </c>
      <c r="DA64" s="315" t="e">
        <f>+DA61-'Banca-mese'!DA45</f>
        <v>#REF!</v>
      </c>
      <c r="DB64" s="315" t="e">
        <f>+DB61-'Banca-mese'!DB45</f>
        <v>#REF!</v>
      </c>
      <c r="DC64" s="315" t="e">
        <f>+DC61-'Banca-mese'!DC45</f>
        <v>#REF!</v>
      </c>
      <c r="DD64" s="315" t="e">
        <f>+DD61-'Banca-mese'!DD45</f>
        <v>#REF!</v>
      </c>
      <c r="DE64" s="315" t="e">
        <f>+DE61-'Banca-mese'!DE45</f>
        <v>#REF!</v>
      </c>
      <c r="DF64" s="315" t="e">
        <f>+DF61-'Banca-mese'!DF45</f>
        <v>#REF!</v>
      </c>
      <c r="DG64" s="315" t="e">
        <f>+DG61-'Banca-mese'!DG45</f>
        <v>#REF!</v>
      </c>
      <c r="DH64" s="315" t="e">
        <f>+DH61-'Banca-mese'!DH45</f>
        <v>#REF!</v>
      </c>
      <c r="DI64" s="315" t="e">
        <f>+DI61-'Banca-mese'!DI45</f>
        <v>#REF!</v>
      </c>
      <c r="DJ64" s="315" t="e">
        <f>+DJ61-'Banca-mese'!DJ45</f>
        <v>#REF!</v>
      </c>
      <c r="DK64" s="315" t="e">
        <f>+DK61-'Banca-mese'!DK45</f>
        <v>#REF!</v>
      </c>
      <c r="DL64" s="315" t="e">
        <f>+DL61-'Banca-mese'!DL45</f>
        <v>#REF!</v>
      </c>
      <c r="DM64" s="315" t="e">
        <f>+DM61-'Banca-mese'!DM45</f>
        <v>#REF!</v>
      </c>
      <c r="DN64" s="315" t="e">
        <f>+DN61-'Banca-mese'!DN45</f>
        <v>#REF!</v>
      </c>
      <c r="DO64" s="315" t="e">
        <f>+DO61-'Banca-mese'!DO45</f>
        <v>#REF!</v>
      </c>
      <c r="DP64" s="315" t="e">
        <f>+DP61-'Banca-mese'!DP45</f>
        <v>#REF!</v>
      </c>
      <c r="DQ64" s="315" t="e">
        <f>+DQ61-'Banca-mese'!DQ45</f>
        <v>#REF!</v>
      </c>
      <c r="DR64" s="315" t="e">
        <f>+DR61-'Banca-mese'!DR45</f>
        <v>#REF!</v>
      </c>
      <c r="DT64" s="315" t="e">
        <f>+DT61-'Banca-mese'!DT45</f>
        <v>#REF!</v>
      </c>
      <c r="DU64" s="315" t="e">
        <f>+DU61-'Banca-mese'!DU45</f>
        <v>#REF!</v>
      </c>
      <c r="DV64" s="315" t="e">
        <f>+DV61-'Banca-mese'!DV45</f>
        <v>#REF!</v>
      </c>
      <c r="DW64" s="315" t="e">
        <f>+DW61-'Banca-mese'!DW45</f>
        <v>#REF!</v>
      </c>
      <c r="DX64" s="315" t="e">
        <f>+DX61-'Banca-mese'!DX45</f>
        <v>#REF!</v>
      </c>
      <c r="DY64" s="315" t="e">
        <f>+DY61-'Banca-mese'!DY45</f>
        <v>#REF!</v>
      </c>
      <c r="DZ64" s="315" t="e">
        <f>+DZ61-'Banca-mese'!DZ45</f>
        <v>#REF!</v>
      </c>
      <c r="EA64" s="315" t="e">
        <f>+EA61-'Banca-mese'!EA45</f>
        <v>#REF!</v>
      </c>
      <c r="EB64" s="315" t="e">
        <f>+EB61-'Banca-mese'!EB45</f>
        <v>#REF!</v>
      </c>
      <c r="EC64" s="315" t="e">
        <f>+EC61-'Banca-mese'!EC45</f>
        <v>#REF!</v>
      </c>
    </row>
  </sheetData>
  <hyperlinks>
    <hyperlink ref="A1" location="Input!A1" display="MENU"/>
  </hyperlinks>
  <pageSetup r:id="rId1" paperSize="9" orientation="portrait"/>
</worksheet>
</file>

<file path=xl/worksheets/sheet34.xml><?xml version="1.0" encoding="utf-8"?>
<worksheet xmlns:r="http://schemas.openxmlformats.org/officeDocument/2006/relationships" xmlns="http://schemas.openxmlformats.org/spreadsheetml/2006/main">
  <sheetPr>
    <tabColor rgb="FF92D050"/>
  </sheetPr>
  <sheetViews>
    <sheetView showGridLines="0" zoomScaleNormal="100" zoomScalePageLayoutView="86" workbookViewId="0">
      <pane activePane="topRight" state="frozen" topLeftCell="B1" xSplit="1"/>
    </sheetView>
  </sheetViews>
  <sheetFormatPr defaultColWidth="8.855469" defaultRowHeight="15" outlineLevelCol="1"/>
  <cols>
    <col min="1" max="1" width="48.14063" bestFit="1" customWidth="1"/>
    <col min="2" max="2" width="7" bestFit="1" customWidth="1"/>
    <col min="3" max="61" width="11.85547" customWidth="1" outlineLevel="1"/>
    <col min="62" max="62" width="13" customWidth="1" outlineLevel="1"/>
    <col min="63" max="73" width="11.85547" customWidth="1" outlineLevel="1"/>
    <col min="74" max="74" width="13" customWidth="1" outlineLevel="1"/>
    <col min="75" max="85" width="11.85547" customWidth="1" outlineLevel="1"/>
    <col min="86" max="86" width="13" customWidth="1" outlineLevel="1"/>
    <col min="87" max="97" width="11.85547" customWidth="1" outlineLevel="1"/>
    <col min="98" max="98" width="13" customWidth="1" outlineLevel="1"/>
    <col min="99" max="108" width="11.85547" customWidth="1" outlineLevel="1"/>
    <col min="109" max="109" width="13.42578" customWidth="1" outlineLevel="1"/>
    <col min="110" max="111" width="13.42578" style="316" customWidth="1" outlineLevel="1"/>
    <col min="112" max="121" width="11.85547" style="316" customWidth="1" outlineLevel="1"/>
    <col min="122" max="122" width="14.42578" style="316" customWidth="1" outlineLevel="1"/>
    <col min="124" max="125" width="13.42578" bestFit="1" customWidth="1"/>
    <col min="126" max="132" width="13.42578" customWidth="1"/>
    <col min="133" max="133" width="14.42578" bestFit="1" customWidth="1"/>
  </cols>
  <sheetData>
    <row r="1" ht="14.5">
      <c r="A1" s="79" t="s">
        <v>38</v>
      </c>
    </row>
    <row r="2" s="3" customFormat="1" ht="23.5">
      <c r="A2" s="317" t="s">
        <v>1017</v>
      </c>
      <c r="B2" s="143" t="str">
        <f>+'CE-mese'!B3</f>
        <v>anno</v>
      </c>
      <c r="C2" s="143">
        <f>+'CE-mese'!C3</f>
        <v>2025</v>
      </c>
      <c r="D2" s="143">
        <f>+'CE-mese'!D3</f>
        <v>2025</v>
      </c>
      <c r="E2" s="143">
        <f>+'CE-mese'!E3</f>
        <v>2025</v>
      </c>
      <c r="F2" s="143">
        <f>+'CE-mese'!F3</f>
        <v>2026</v>
      </c>
      <c r="G2" s="143">
        <f>+'CE-mese'!G3</f>
        <v>2026</v>
      </c>
      <c r="H2" s="143">
        <f>+'CE-mese'!H3</f>
        <v>2026</v>
      </c>
      <c r="I2" s="143">
        <f>+'CE-mese'!I3</f>
        <v>2026</v>
      </c>
      <c r="J2" s="143">
        <f>+'CE-mese'!J3</f>
        <v>2026</v>
      </c>
      <c r="K2" s="143">
        <f>+'CE-mese'!K3</f>
        <v>2026</v>
      </c>
      <c r="L2" s="143">
        <f>+'CE-mese'!L3</f>
        <v>2026</v>
      </c>
      <c r="M2" s="143">
        <f>+'CE-mese'!M3</f>
        <v>2026</v>
      </c>
      <c r="N2" s="143">
        <f>+'CE-mese'!N3</f>
        <v>2026</v>
      </c>
      <c r="O2" s="143">
        <f>+'CE-mese'!O3</f>
        <v>2026</v>
      </c>
      <c r="P2" s="143">
        <f>+'CE-mese'!P3</f>
        <v>2026</v>
      </c>
      <c r="Q2" s="143">
        <f>+'CE-mese'!Q3</f>
        <v>2026</v>
      </c>
      <c r="R2" s="143">
        <f>+'CE-mese'!R3</f>
        <v>2027</v>
      </c>
      <c r="S2" s="143">
        <f>+'CE-mese'!S3</f>
        <v>2027</v>
      </c>
      <c r="T2" s="143">
        <f>+'CE-mese'!T3</f>
        <v>2027</v>
      </c>
      <c r="U2" s="143">
        <f>+'CE-mese'!U3</f>
        <v>2027</v>
      </c>
      <c r="V2" s="143">
        <f>+'CE-mese'!V3</f>
        <v>2027</v>
      </c>
      <c r="W2" s="143">
        <f>+'CE-mese'!W3</f>
        <v>2027</v>
      </c>
      <c r="X2" s="143">
        <f>+'CE-mese'!X3</f>
        <v>2027</v>
      </c>
      <c r="Y2" s="143">
        <f>+'CE-mese'!Y3</f>
        <v>2027</v>
      </c>
      <c r="Z2" s="143">
        <f>+'CE-mese'!Z3</f>
        <v>2027</v>
      </c>
      <c r="AA2" s="143">
        <f>+'CE-mese'!AA3</f>
        <v>2027</v>
      </c>
      <c r="AB2" s="143">
        <f>+'CE-mese'!AB3</f>
        <v>2027</v>
      </c>
      <c r="AC2" s="143">
        <f>+'CE-mese'!AC3</f>
        <v>2027</v>
      </c>
      <c r="AD2" s="143">
        <f>+'CE-mese'!AD3</f>
        <v>2028</v>
      </c>
      <c r="AE2" s="143">
        <f>+'CE-mese'!AE3</f>
        <v>2028</v>
      </c>
      <c r="AF2" s="143">
        <f>+'CE-mese'!AF3</f>
        <v>2028</v>
      </c>
      <c r="AG2" s="143">
        <f>+'CE-mese'!AG3</f>
        <v>2028</v>
      </c>
      <c r="AH2" s="143">
        <f>+'CE-mese'!AH3</f>
        <v>2028</v>
      </c>
      <c r="AI2" s="143">
        <f>+'CE-mese'!AI3</f>
        <v>2028</v>
      </c>
      <c r="AJ2" s="143">
        <f>+'CE-mese'!AJ3</f>
        <v>2028</v>
      </c>
      <c r="AK2" s="143">
        <f>+'CE-mese'!AK3</f>
        <v>2028</v>
      </c>
      <c r="AL2" s="143">
        <f>+'CE-mese'!AL3</f>
        <v>2028</v>
      </c>
      <c r="AM2" s="143">
        <f>+'CE-mese'!AM3</f>
        <v>2028</v>
      </c>
      <c r="AN2" s="143">
        <f>+'CE-mese'!AN3</f>
        <v>2028</v>
      </c>
      <c r="AO2" s="143">
        <f>+'CE-mese'!AO3</f>
        <v>2028</v>
      </c>
      <c r="AP2" s="143">
        <f>+'CE-mese'!AP3</f>
        <v>2029</v>
      </c>
      <c r="AQ2" s="143">
        <f>+'CE-mese'!AQ3</f>
        <v>2029</v>
      </c>
      <c r="AR2" s="143">
        <f>+'CE-mese'!AR3</f>
        <v>2029</v>
      </c>
      <c r="AS2" s="143">
        <f>+'CE-mese'!AS3</f>
        <v>2029</v>
      </c>
      <c r="AT2" s="143">
        <f>+'CE-mese'!AT3</f>
        <v>2029</v>
      </c>
      <c r="AU2" s="143">
        <f>+'CE-mese'!AU3</f>
        <v>2029</v>
      </c>
      <c r="AV2" s="143">
        <f>+'CE-mese'!AV3</f>
        <v>2029</v>
      </c>
      <c r="AW2" s="143">
        <f>+'CE-mese'!AW3</f>
        <v>2029</v>
      </c>
      <c r="AX2" s="143">
        <f>+'CE-mese'!AX3</f>
        <v>2029</v>
      </c>
      <c r="AY2" s="143">
        <f>+'CE-mese'!AY3</f>
        <v>2029</v>
      </c>
      <c r="AZ2" s="143">
        <f>+'CE-mese'!AZ3</f>
        <v>2029</v>
      </c>
      <c r="BA2" s="143">
        <f>+'CE-mese'!BA3</f>
        <v>2029</v>
      </c>
      <c r="BB2" s="143">
        <f>+'CE-mese'!BB3</f>
        <v>2030</v>
      </c>
      <c r="BC2" s="143">
        <f>+'CE-mese'!BC3</f>
        <v>2030</v>
      </c>
      <c r="BD2" s="143">
        <f>+'CE-mese'!BD3</f>
        <v>2030</v>
      </c>
      <c r="BE2" s="143">
        <f>+'CE-mese'!BE3</f>
        <v>2030</v>
      </c>
      <c r="BF2" s="143">
        <f>+'CE-mese'!BF3</f>
        <v>2030</v>
      </c>
      <c r="BG2" s="143">
        <f>+'CE-mese'!BG3</f>
        <v>2030</v>
      </c>
      <c r="BH2" s="143">
        <f>+'CE-mese'!BH3</f>
        <v>2030</v>
      </c>
      <c r="BI2" s="143">
        <f>+'CE-mese'!BI3</f>
        <v>2030</v>
      </c>
      <c r="BJ2" s="143">
        <f>+'CE-mese'!BJ3</f>
        <v>2030</v>
      </c>
      <c r="BK2" s="143">
        <f>+'CE-mese'!BK3</f>
        <v>2030</v>
      </c>
      <c r="BL2" s="143">
        <f>+'CE-mese'!BL3</f>
        <v>2030</v>
      </c>
      <c r="BM2" s="143">
        <f>+'CE-mese'!BM3</f>
        <v>2030</v>
      </c>
      <c r="BN2" s="143">
        <f>+'CE-mese'!BN3</f>
        <v>2031</v>
      </c>
      <c r="BO2" s="143">
        <f>+'CE-mese'!BO3</f>
        <v>2031</v>
      </c>
      <c r="BP2" s="143">
        <f>+'CE-mese'!BP3</f>
        <v>2031</v>
      </c>
      <c r="BQ2" s="143">
        <f>+'CE-mese'!BQ3</f>
        <v>2031</v>
      </c>
      <c r="BR2" s="143">
        <f>+'CE-mese'!BR3</f>
        <v>2031</v>
      </c>
      <c r="BS2" s="143">
        <f>+'CE-mese'!BS3</f>
        <v>2031</v>
      </c>
      <c r="BT2" s="143">
        <f>+'CE-mese'!BT3</f>
        <v>2031</v>
      </c>
      <c r="BU2" s="143">
        <f>+'CE-mese'!BU3</f>
        <v>2031</v>
      </c>
      <c r="BV2" s="143">
        <f>+'CE-mese'!BV3</f>
        <v>2031</v>
      </c>
      <c r="BW2" s="143">
        <f>+'CE-mese'!BW3</f>
        <v>2031</v>
      </c>
      <c r="BX2" s="143">
        <f>+'CE-mese'!BX3</f>
        <v>2031</v>
      </c>
      <c r="BY2" s="143">
        <f>+'CE-mese'!BY3</f>
        <v>2031</v>
      </c>
      <c r="BZ2" s="143">
        <f>+'CE-mese'!BZ3</f>
        <v>2032</v>
      </c>
      <c r="CA2" s="143">
        <f>+'CE-mese'!CA3</f>
        <v>2032</v>
      </c>
      <c r="CB2" s="143">
        <f>+'CE-mese'!CB3</f>
        <v>2032</v>
      </c>
      <c r="CC2" s="143">
        <f>+'CE-mese'!CC3</f>
        <v>2032</v>
      </c>
      <c r="CD2" s="143">
        <f>+'CE-mese'!CD3</f>
        <v>2032</v>
      </c>
      <c r="CE2" s="143">
        <f>+'CE-mese'!CE3</f>
        <v>2032</v>
      </c>
      <c r="CF2" s="143">
        <f>+'CE-mese'!CF3</f>
        <v>2032</v>
      </c>
      <c r="CG2" s="143">
        <f>+'CE-mese'!CG3</f>
        <v>2032</v>
      </c>
      <c r="CH2" s="143">
        <f>+'CE-mese'!CH3</f>
        <v>2032</v>
      </c>
      <c r="CI2" s="143">
        <f>+'CE-mese'!CI3</f>
        <v>2032</v>
      </c>
      <c r="CJ2" s="143">
        <f>+'CE-mese'!CJ3</f>
        <v>2032</v>
      </c>
      <c r="CK2" s="143">
        <f>+'CE-mese'!CK3</f>
        <v>2032</v>
      </c>
      <c r="CL2" s="143">
        <f>+'CE-mese'!CL3</f>
        <v>2033</v>
      </c>
      <c r="CM2" s="143">
        <f>+'CE-mese'!CM3</f>
        <v>2033</v>
      </c>
      <c r="CN2" s="143">
        <f>+'CE-mese'!CN3</f>
        <v>2033</v>
      </c>
      <c r="CO2" s="143">
        <f>+'CE-mese'!CO3</f>
        <v>2033</v>
      </c>
      <c r="CP2" s="143">
        <f>+'CE-mese'!CP3</f>
        <v>2033</v>
      </c>
      <c r="CQ2" s="143">
        <f>+'CE-mese'!CQ3</f>
        <v>2033</v>
      </c>
      <c r="CR2" s="143">
        <f>+'CE-mese'!CR3</f>
        <v>2033</v>
      </c>
      <c r="CS2" s="143">
        <f>+'CE-mese'!CS3</f>
        <v>2033</v>
      </c>
      <c r="CT2" s="143">
        <f>+'CE-mese'!CT3</f>
        <v>2033</v>
      </c>
      <c r="CU2" s="143">
        <f>+'CE-mese'!CU3</f>
        <v>2033</v>
      </c>
      <c r="CV2" s="143">
        <f>+'CE-mese'!CV3</f>
        <v>2033</v>
      </c>
      <c r="CW2" s="143">
        <f>+'CE-mese'!CW3</f>
        <v>2033</v>
      </c>
      <c r="CX2" s="143">
        <f>+'CE-mese'!CX3</f>
        <v>2034</v>
      </c>
      <c r="CY2" s="143">
        <f>+'CE-mese'!CY3</f>
        <v>2034</v>
      </c>
      <c r="CZ2" s="143">
        <f>+'CE-mese'!CZ3</f>
        <v>2034</v>
      </c>
      <c r="DA2" s="143">
        <f>+'CE-mese'!DA3</f>
        <v>2034</v>
      </c>
      <c r="DB2" s="143">
        <f>+'CE-mese'!DB3</f>
        <v>2034</v>
      </c>
      <c r="DC2" s="143">
        <f>+'CE-mese'!DC3</f>
        <v>2034</v>
      </c>
      <c r="DD2" s="143">
        <f>+'CE-mese'!DD3</f>
        <v>2034</v>
      </c>
      <c r="DE2" s="143">
        <f>+'CE-mese'!DE3</f>
        <v>2034</v>
      </c>
      <c r="DF2" s="143">
        <f>+'CE-mese'!DF3</f>
        <v>2034</v>
      </c>
      <c r="DG2" s="143">
        <f>+'CE-mese'!DG3</f>
        <v>2034</v>
      </c>
      <c r="DH2" s="143">
        <f>+'CE-mese'!DH3</f>
        <v>2034</v>
      </c>
      <c r="DI2" s="143">
        <f>+'CE-mese'!DI3</f>
        <v>2034</v>
      </c>
      <c r="DJ2" s="143">
        <f>+'CE-mese'!DJ3</f>
        <v>2035</v>
      </c>
      <c r="DK2" s="143">
        <f>+'CE-mese'!DK3</f>
        <v>2035</v>
      </c>
      <c r="DL2" s="143">
        <f>+'CE-mese'!DL3</f>
        <v>2035</v>
      </c>
      <c r="DM2" s="143">
        <f>+'CE-mese'!DM3</f>
        <v>2035</v>
      </c>
      <c r="DN2" s="143">
        <f>+'CE-mese'!DN3</f>
        <v>2035</v>
      </c>
      <c r="DO2" s="143">
        <f>+'CE-mese'!DO3</f>
        <v>2035</v>
      </c>
      <c r="DP2" s="143">
        <f>+'CE-mese'!DP3</f>
        <v>2035</v>
      </c>
      <c r="DQ2" s="143">
        <f>+'CE-mese'!DQ3</f>
        <v>2035</v>
      </c>
      <c r="DR2" s="143">
        <f>+'CE-mese'!DR3</f>
        <v>2035</v>
      </c>
      <c r="DT2" s="143">
        <f>+C2</f>
        <v>2025</v>
      </c>
      <c r="DU2" s="143">
        <f>+DT2+1</f>
        <v>2026</v>
      </c>
      <c r="DV2" s="143">
        <f t="shared" ref="DV2:EC2" si="0">+DU2+1</f>
        <v>2027</v>
      </c>
      <c r="DW2" s="143">
        <f t="shared" si="0"/>
        <v>2028</v>
      </c>
      <c r="DX2" s="143">
        <f t="shared" si="0"/>
        <v>2029</v>
      </c>
      <c r="DY2" s="143">
        <f t="shared" si="0"/>
        <v>2030</v>
      </c>
      <c r="DZ2" s="143">
        <f t="shared" si="0"/>
        <v>2031</v>
      </c>
      <c r="EA2" s="143">
        <f t="shared" si="0"/>
        <v>2032</v>
      </c>
      <c r="EB2" s="143">
        <f t="shared" si="0"/>
        <v>2033</v>
      </c>
      <c r="EC2" s="143">
        <f t="shared" si="0"/>
        <v>2034</v>
      </c>
    </row>
    <row r="3" s="3" customFormat="1" ht="14.5">
      <c r="B3" s="282" t="str">
        <f>+'CE-mese'!B4</f>
        <v>mese</v>
      </c>
      <c r="C3" s="282">
        <f>+'CE-mese'!C4</f>
        <v>10</v>
      </c>
      <c r="D3" s="282">
        <f>+'CE-mese'!D4</f>
        <v>11</v>
      </c>
      <c r="E3" s="282">
        <f>+'CE-mese'!E4</f>
        <v>12</v>
      </c>
      <c r="F3" s="282">
        <f>+'CE-mese'!F4</f>
        <v>1</v>
      </c>
      <c r="G3" s="282">
        <f>+'CE-mese'!G4</f>
        <v>2</v>
      </c>
      <c r="H3" s="282">
        <f>+'CE-mese'!H4</f>
        <v>3</v>
      </c>
      <c r="I3" s="282">
        <f>+'CE-mese'!I4</f>
        <v>4</v>
      </c>
      <c r="J3" s="282">
        <f>+'CE-mese'!J4</f>
        <v>5</v>
      </c>
      <c r="K3" s="282">
        <f>+'CE-mese'!K4</f>
        <v>6</v>
      </c>
      <c r="L3" s="282">
        <f>+'CE-mese'!L4</f>
        <v>7</v>
      </c>
      <c r="M3" s="282">
        <f>+'CE-mese'!M4</f>
        <v>8</v>
      </c>
      <c r="N3" s="282">
        <f>+'CE-mese'!N4</f>
        <v>9</v>
      </c>
      <c r="O3" s="282">
        <f>+'CE-mese'!O4</f>
        <v>10</v>
      </c>
      <c r="P3" s="282">
        <f>+'CE-mese'!P4</f>
        <v>11</v>
      </c>
      <c r="Q3" s="282">
        <f>+'CE-mese'!Q4</f>
        <v>12</v>
      </c>
      <c r="R3" s="282">
        <f>+'CE-mese'!R4</f>
        <v>1</v>
      </c>
      <c r="S3" s="282">
        <f>+'CE-mese'!S4</f>
        <v>2</v>
      </c>
      <c r="T3" s="282">
        <f>+'CE-mese'!T4</f>
        <v>3</v>
      </c>
      <c r="U3" s="282">
        <f>+'CE-mese'!U4</f>
        <v>4</v>
      </c>
      <c r="V3" s="282">
        <f>+'CE-mese'!V4</f>
        <v>5</v>
      </c>
      <c r="W3" s="282">
        <f>+'CE-mese'!W4</f>
        <v>6</v>
      </c>
      <c r="X3" s="282">
        <f>+'CE-mese'!X4</f>
        <v>7</v>
      </c>
      <c r="Y3" s="282">
        <f>+'CE-mese'!Y4</f>
        <v>8</v>
      </c>
      <c r="Z3" s="282">
        <f>+'CE-mese'!Z4</f>
        <v>9</v>
      </c>
      <c r="AA3" s="282">
        <f>+'CE-mese'!AA4</f>
        <v>10</v>
      </c>
      <c r="AB3" s="282">
        <f>+'CE-mese'!AB4</f>
        <v>11</v>
      </c>
      <c r="AC3" s="282">
        <f>+'CE-mese'!AC4</f>
        <v>12</v>
      </c>
      <c r="AD3" s="282">
        <f>+'CE-mese'!AD4</f>
        <v>1</v>
      </c>
      <c r="AE3" s="282">
        <f>+'CE-mese'!AE4</f>
        <v>2</v>
      </c>
      <c r="AF3" s="282">
        <f>+'CE-mese'!AF4</f>
        <v>3</v>
      </c>
      <c r="AG3" s="282">
        <f>+'CE-mese'!AG4</f>
        <v>4</v>
      </c>
      <c r="AH3" s="282">
        <f>+'CE-mese'!AH4</f>
        <v>5</v>
      </c>
      <c r="AI3" s="282">
        <f>+'CE-mese'!AI4</f>
        <v>6</v>
      </c>
      <c r="AJ3" s="282">
        <f>+'CE-mese'!AJ4</f>
        <v>7</v>
      </c>
      <c r="AK3" s="282">
        <f>+'CE-mese'!AK4</f>
        <v>8</v>
      </c>
      <c r="AL3" s="282">
        <f>+'CE-mese'!AL4</f>
        <v>9</v>
      </c>
      <c r="AM3" s="282">
        <f>+'CE-mese'!AM4</f>
        <v>10</v>
      </c>
      <c r="AN3" s="282">
        <f>+'CE-mese'!AN4</f>
        <v>11</v>
      </c>
      <c r="AO3" s="282">
        <f>+'CE-mese'!AO4</f>
        <v>12</v>
      </c>
      <c r="AP3" s="282">
        <f>+'CE-mese'!AP4</f>
        <v>1</v>
      </c>
      <c r="AQ3" s="282">
        <f>+'CE-mese'!AQ4</f>
        <v>2</v>
      </c>
      <c r="AR3" s="282">
        <f>+'CE-mese'!AR4</f>
        <v>3</v>
      </c>
      <c r="AS3" s="282">
        <f>+'CE-mese'!AS4</f>
        <v>4</v>
      </c>
      <c r="AT3" s="282">
        <f>+'CE-mese'!AT4</f>
        <v>5</v>
      </c>
      <c r="AU3" s="282">
        <f>+'CE-mese'!AU4</f>
        <v>6</v>
      </c>
      <c r="AV3" s="282">
        <f>+'CE-mese'!AV4</f>
        <v>7</v>
      </c>
      <c r="AW3" s="282">
        <f>+'CE-mese'!AW4</f>
        <v>8</v>
      </c>
      <c r="AX3" s="282">
        <f>+'CE-mese'!AX4</f>
        <v>9</v>
      </c>
      <c r="AY3" s="282">
        <f>+'CE-mese'!AY4</f>
        <v>10</v>
      </c>
      <c r="AZ3" s="282">
        <f>+'CE-mese'!AZ4</f>
        <v>11</v>
      </c>
      <c r="BA3" s="282">
        <f>+'CE-mese'!BA4</f>
        <v>12</v>
      </c>
      <c r="BB3" s="282">
        <f>+'CE-mese'!BB4</f>
        <v>1</v>
      </c>
      <c r="BC3" s="282">
        <f>+'CE-mese'!BC4</f>
        <v>2</v>
      </c>
      <c r="BD3" s="282">
        <f>+'CE-mese'!BD4</f>
        <v>3</v>
      </c>
      <c r="BE3" s="282">
        <f>+'CE-mese'!BE4</f>
        <v>4</v>
      </c>
      <c r="BF3" s="282">
        <f>+'CE-mese'!BF4</f>
        <v>5</v>
      </c>
      <c r="BG3" s="282">
        <f>+'CE-mese'!BG4</f>
        <v>6</v>
      </c>
      <c r="BH3" s="282">
        <f>+'CE-mese'!BH4</f>
        <v>7</v>
      </c>
      <c r="BI3" s="282">
        <f>+'CE-mese'!BI4</f>
        <v>8</v>
      </c>
      <c r="BJ3" s="282">
        <f>+'CE-mese'!BJ4</f>
        <v>9</v>
      </c>
      <c r="BK3" s="282">
        <f>+'CE-mese'!BK4</f>
        <v>10</v>
      </c>
      <c r="BL3" s="282">
        <f>+'CE-mese'!BL4</f>
        <v>11</v>
      </c>
      <c r="BM3" s="282">
        <f>+'CE-mese'!BM4</f>
        <v>12</v>
      </c>
      <c r="BN3" s="282">
        <f>+'CE-mese'!BN4</f>
        <v>1</v>
      </c>
      <c r="BO3" s="282">
        <f>+'CE-mese'!BO4</f>
        <v>2</v>
      </c>
      <c r="BP3" s="282">
        <f>+'CE-mese'!BP4</f>
        <v>3</v>
      </c>
      <c r="BQ3" s="282">
        <f>+'CE-mese'!BQ4</f>
        <v>4</v>
      </c>
      <c r="BR3" s="282">
        <f>+'CE-mese'!BR4</f>
        <v>5</v>
      </c>
      <c r="BS3" s="282">
        <f>+'CE-mese'!BS4</f>
        <v>6</v>
      </c>
      <c r="BT3" s="282">
        <f>+'CE-mese'!BT4</f>
        <v>7</v>
      </c>
      <c r="BU3" s="282">
        <f>+'CE-mese'!BU4</f>
        <v>8</v>
      </c>
      <c r="BV3" s="282">
        <f>+'CE-mese'!BV4</f>
        <v>9</v>
      </c>
      <c r="BW3" s="282">
        <f>+'CE-mese'!BW4</f>
        <v>10</v>
      </c>
      <c r="BX3" s="282">
        <f>+'CE-mese'!BX4</f>
        <v>11</v>
      </c>
      <c r="BY3" s="282">
        <f>+'CE-mese'!BY4</f>
        <v>12</v>
      </c>
      <c r="BZ3" s="282">
        <f>+'CE-mese'!BZ4</f>
        <v>1</v>
      </c>
      <c r="CA3" s="282">
        <f>+'CE-mese'!CA4</f>
        <v>2</v>
      </c>
      <c r="CB3" s="282">
        <f>+'CE-mese'!CB4</f>
        <v>3</v>
      </c>
      <c r="CC3" s="282">
        <f>+'CE-mese'!CC4</f>
        <v>4</v>
      </c>
      <c r="CD3" s="282">
        <f>+'CE-mese'!CD4</f>
        <v>5</v>
      </c>
      <c r="CE3" s="282">
        <f>+'CE-mese'!CE4</f>
        <v>6</v>
      </c>
      <c r="CF3" s="282">
        <f>+'CE-mese'!CF4</f>
        <v>7</v>
      </c>
      <c r="CG3" s="282">
        <f>+'CE-mese'!CG4</f>
        <v>8</v>
      </c>
      <c r="CH3" s="282">
        <f>+'CE-mese'!CH4</f>
        <v>9</v>
      </c>
      <c r="CI3" s="282">
        <f>+'CE-mese'!CI4</f>
        <v>10</v>
      </c>
      <c r="CJ3" s="282">
        <f>+'CE-mese'!CJ4</f>
        <v>11</v>
      </c>
      <c r="CK3" s="282">
        <f>+'CE-mese'!CK4</f>
        <v>12</v>
      </c>
      <c r="CL3" s="282">
        <f>+'CE-mese'!CL4</f>
        <v>1</v>
      </c>
      <c r="CM3" s="282">
        <f>+'CE-mese'!CM4</f>
        <v>2</v>
      </c>
      <c r="CN3" s="282">
        <f>+'CE-mese'!CN4</f>
        <v>3</v>
      </c>
      <c r="CO3" s="282">
        <f>+'CE-mese'!CO4</f>
        <v>4</v>
      </c>
      <c r="CP3" s="282">
        <f>+'CE-mese'!CP4</f>
        <v>5</v>
      </c>
      <c r="CQ3" s="282">
        <f>+'CE-mese'!CQ4</f>
        <v>6</v>
      </c>
      <c r="CR3" s="282">
        <f>+'CE-mese'!CR4</f>
        <v>7</v>
      </c>
      <c r="CS3" s="282">
        <f>+'CE-mese'!CS4</f>
        <v>8</v>
      </c>
      <c r="CT3" s="282">
        <f>+'CE-mese'!CT4</f>
        <v>9</v>
      </c>
      <c r="CU3" s="282">
        <f>+'CE-mese'!CU4</f>
        <v>10</v>
      </c>
      <c r="CV3" s="282">
        <f>+'CE-mese'!CV4</f>
        <v>11</v>
      </c>
      <c r="CW3" s="282">
        <f>+'CE-mese'!CW4</f>
        <v>12</v>
      </c>
      <c r="CX3" s="282">
        <f>+'CE-mese'!CX4</f>
        <v>1</v>
      </c>
      <c r="CY3" s="282">
        <f>+'CE-mese'!CY4</f>
        <v>2</v>
      </c>
      <c r="CZ3" s="282">
        <f>+'CE-mese'!CZ4</f>
        <v>3</v>
      </c>
      <c r="DA3" s="282">
        <f>+'CE-mese'!DA4</f>
        <v>4</v>
      </c>
      <c r="DB3" s="282">
        <f>+'CE-mese'!DB4</f>
        <v>5</v>
      </c>
      <c r="DC3" s="282">
        <f>+'CE-mese'!DC4</f>
        <v>6</v>
      </c>
      <c r="DD3" s="282">
        <f>+'CE-mese'!DD4</f>
        <v>7</v>
      </c>
      <c r="DE3" s="282">
        <f>+'CE-mese'!DE4</f>
        <v>8</v>
      </c>
      <c r="DF3" s="282">
        <f>+'CE-mese'!DF4</f>
        <v>9</v>
      </c>
      <c r="DG3" s="282">
        <f>+'CE-mese'!DG4</f>
        <v>10</v>
      </c>
      <c r="DH3" s="282">
        <f>+'CE-mese'!DH4</f>
        <v>11</v>
      </c>
      <c r="DI3" s="282">
        <f>+'CE-mese'!DI4</f>
        <v>12</v>
      </c>
      <c r="DJ3" s="282">
        <f>+'CE-mese'!DJ4</f>
        <v>1</v>
      </c>
      <c r="DK3" s="282">
        <f>+'CE-mese'!DK4</f>
        <v>2</v>
      </c>
      <c r="DL3" s="282">
        <f>+'CE-mese'!DL4</f>
        <v>3</v>
      </c>
      <c r="DM3" s="282">
        <f>+'CE-mese'!DM4</f>
        <v>4</v>
      </c>
      <c r="DN3" s="282">
        <f>+'CE-mese'!DN4</f>
        <v>5</v>
      </c>
      <c r="DO3" s="282">
        <f>+'CE-mese'!DO4</f>
        <v>6</v>
      </c>
      <c r="DP3" s="282">
        <f>+'CE-mese'!DP4</f>
        <v>7</v>
      </c>
      <c r="DQ3" s="282">
        <f>+'CE-mese'!DQ4</f>
        <v>8</v>
      </c>
      <c r="DR3" s="282">
        <f>+'CE-mese'!DR4</f>
        <v>9</v>
      </c>
    </row>
    <row r="4" ht="14.5">
      <c r="A4" s="3" t="s">
        <v>1270</v>
      </c>
    </row>
    <row r="5" ht="14.5">
      <c r="A5" s="318"/>
    </row>
    <row r="6" ht="14.5">
      <c r="A6" s="319" t="s">
        <v>1271</v>
      </c>
      <c r="C6" s="145"/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  <c r="AA6" s="145"/>
      <c r="AB6" s="145"/>
      <c r="AC6" s="145"/>
      <c r="AD6" s="145"/>
      <c r="AE6" s="145"/>
      <c r="AF6" s="145"/>
      <c r="AG6" s="145"/>
      <c r="AH6" s="145"/>
      <c r="AI6" s="145"/>
      <c r="AJ6" s="145"/>
      <c r="AK6" s="145"/>
      <c r="AL6" s="145"/>
      <c r="AM6" s="145"/>
      <c r="AN6" s="145"/>
      <c r="AO6" s="145"/>
      <c r="AP6" s="145"/>
      <c r="AQ6" s="145"/>
      <c r="AR6" s="145"/>
      <c r="AS6" s="145"/>
      <c r="AT6" s="145"/>
      <c r="AU6" s="145"/>
      <c r="AV6" s="145"/>
      <c r="AW6" s="145"/>
      <c r="AX6" s="145"/>
      <c r="AY6" s="145"/>
      <c r="AZ6" s="145"/>
      <c r="BA6" s="145"/>
      <c r="BB6" s="145"/>
      <c r="BC6" s="145"/>
      <c r="BD6" s="145"/>
      <c r="BE6" s="145"/>
      <c r="BF6" s="145"/>
      <c r="BG6" s="145"/>
      <c r="BH6" s="145"/>
      <c r="BI6" s="145"/>
      <c r="BJ6" s="145"/>
      <c r="BK6" s="145"/>
      <c r="BL6" s="145"/>
      <c r="BM6" s="145"/>
      <c r="BN6" s="145"/>
      <c r="BO6" s="145"/>
      <c r="BP6" s="145"/>
      <c r="BQ6" s="145"/>
      <c r="BR6" s="145"/>
      <c r="BS6" s="145"/>
      <c r="BT6" s="145"/>
      <c r="BU6" s="145"/>
      <c r="BV6" s="145"/>
      <c r="BW6" s="145"/>
      <c r="BX6" s="145"/>
      <c r="BY6" s="145"/>
      <c r="BZ6" s="145"/>
      <c r="CA6" s="145"/>
      <c r="CB6" s="145"/>
      <c r="CC6" s="145"/>
      <c r="CD6" s="145"/>
      <c r="CE6" s="145"/>
      <c r="CF6" s="145"/>
      <c r="CG6" s="145"/>
      <c r="CH6" s="145"/>
      <c r="CI6" s="145"/>
      <c r="CJ6" s="145"/>
      <c r="CK6" s="145"/>
      <c r="CL6" s="145"/>
      <c r="CM6" s="145"/>
      <c r="CN6" s="145"/>
      <c r="CO6" s="145"/>
      <c r="CP6" s="145"/>
      <c r="CQ6" s="145"/>
      <c r="CR6" s="145"/>
      <c r="CS6" s="145"/>
      <c r="CT6" s="145"/>
      <c r="CU6" s="145"/>
      <c r="CV6" s="145"/>
      <c r="CW6" s="145"/>
      <c r="CX6" s="145"/>
      <c r="CY6" s="145"/>
      <c r="CZ6" s="145"/>
      <c r="DA6" s="145"/>
      <c r="DB6" s="145"/>
      <c r="DC6" s="145"/>
      <c r="DD6" s="145"/>
      <c r="DE6" s="145"/>
      <c r="DF6" s="145"/>
      <c r="DG6" s="145"/>
      <c r="DH6" s="145"/>
      <c r="DI6" s="145"/>
      <c r="DJ6" s="145"/>
      <c r="DK6" s="145"/>
      <c r="DL6" s="145"/>
      <c r="DM6" s="145"/>
      <c r="DN6" s="145"/>
      <c r="DO6" s="145"/>
      <c r="DP6" s="145"/>
      <c r="DQ6" s="145"/>
      <c r="DR6" s="145"/>
      <c r="DT6" s="145">
        <f>+SUMIF($C$2:$DR$2,DT$2,$C6:$DR6)</f>
        <v>0</v>
      </c>
      <c r="DU6" s="145">
        <f t="shared" ref="DU6:EC6" si="1">+SUMIF($C$2:$DR$2,DU$2,$C6:$DR6)</f>
        <v>0</v>
      </c>
      <c r="DV6" s="145">
        <f t="shared" si="1"/>
        <v>0</v>
      </c>
      <c r="DW6" s="145">
        <f t="shared" si="1"/>
        <v>0</v>
      </c>
      <c r="DX6" s="145">
        <f t="shared" si="1"/>
        <v>0</v>
      </c>
      <c r="DY6" s="145">
        <f t="shared" si="1"/>
        <v>0</v>
      </c>
      <c r="DZ6" s="145">
        <f t="shared" si="1"/>
        <v>0</v>
      </c>
      <c r="EA6" s="145">
        <f t="shared" si="1"/>
        <v>0</v>
      </c>
      <c r="EB6" s="145">
        <f t="shared" si="1"/>
        <v>0</v>
      </c>
      <c r="EC6" s="145">
        <f t="shared" si="1"/>
        <v>0</v>
      </c>
    </row>
    <row r="7" ht="14.5">
      <c r="A7" s="320" t="s">
        <v>1272</v>
      </c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  <c r="AL7" s="145"/>
      <c r="AM7" s="145"/>
      <c r="AN7" s="145"/>
      <c r="AO7" s="145"/>
      <c r="AP7" s="145"/>
      <c r="AQ7" s="145"/>
      <c r="AR7" s="145"/>
      <c r="AS7" s="145"/>
      <c r="AT7" s="145"/>
      <c r="AU7" s="145"/>
      <c r="AV7" s="145"/>
      <c r="AW7" s="145"/>
      <c r="AX7" s="145"/>
      <c r="AY7" s="145"/>
      <c r="AZ7" s="145"/>
      <c r="BA7" s="145"/>
      <c r="BB7" s="145"/>
      <c r="BC7" s="145"/>
      <c r="BD7" s="145"/>
      <c r="BE7" s="145"/>
      <c r="BF7" s="145"/>
      <c r="BG7" s="145"/>
      <c r="BH7" s="145"/>
      <c r="BI7" s="145"/>
      <c r="BJ7" s="145"/>
      <c r="BK7" s="145"/>
      <c r="BL7" s="145"/>
      <c r="BM7" s="145"/>
      <c r="BN7" s="145"/>
      <c r="BO7" s="145"/>
      <c r="BP7" s="145"/>
      <c r="BQ7" s="145"/>
      <c r="BR7" s="145"/>
      <c r="BS7" s="145"/>
      <c r="BT7" s="145"/>
      <c r="BU7" s="145"/>
      <c r="BV7" s="145"/>
      <c r="BW7" s="145"/>
      <c r="BX7" s="145"/>
      <c r="BY7" s="145"/>
      <c r="BZ7" s="145"/>
      <c r="CA7" s="145"/>
      <c r="CB7" s="145"/>
      <c r="CC7" s="145"/>
      <c r="CD7" s="145"/>
      <c r="CE7" s="145"/>
      <c r="CF7" s="145"/>
      <c r="CG7" s="145"/>
      <c r="CH7" s="145"/>
      <c r="CI7" s="145"/>
      <c r="CJ7" s="145"/>
      <c r="CK7" s="145"/>
      <c r="CL7" s="145"/>
      <c r="CM7" s="145"/>
      <c r="CN7" s="145"/>
      <c r="CO7" s="145"/>
      <c r="CP7" s="145"/>
      <c r="CQ7" s="145"/>
      <c r="CR7" s="145"/>
      <c r="CS7" s="145"/>
      <c r="CT7" s="145"/>
      <c r="CU7" s="145"/>
      <c r="CV7" s="145"/>
      <c r="CW7" s="145"/>
      <c r="CX7" s="145"/>
      <c r="CY7" s="145"/>
      <c r="CZ7" s="145"/>
      <c r="DA7" s="145"/>
      <c r="DB7" s="145"/>
      <c r="DC7" s="145"/>
      <c r="DD7" s="145"/>
      <c r="DE7" s="145"/>
      <c r="DF7" s="145"/>
      <c r="DG7" s="145"/>
      <c r="DH7" s="145"/>
      <c r="DI7" s="145"/>
      <c r="DJ7" s="145"/>
      <c r="DK7" s="145"/>
      <c r="DL7" s="145"/>
      <c r="DM7" s="145"/>
      <c r="DN7" s="145"/>
      <c r="DO7" s="145"/>
      <c r="DP7" s="145"/>
      <c r="DQ7" s="145"/>
      <c r="DR7" s="145"/>
      <c r="DT7" s="145">
        <f t="shared" ref="DT7:EC9" si="2">+SUMIF($C$2:$DR$2,DT$2,$C7:$DR7)</f>
        <v>0</v>
      </c>
      <c r="DU7" s="145">
        <f t="shared" si="2"/>
        <v>0</v>
      </c>
      <c r="DV7" s="145">
        <f t="shared" si="2"/>
        <v>0</v>
      </c>
      <c r="DW7" s="145">
        <f t="shared" si="2"/>
        <v>0</v>
      </c>
      <c r="DX7" s="145">
        <f t="shared" si="2"/>
        <v>0</v>
      </c>
      <c r="DY7" s="145">
        <f t="shared" si="2"/>
        <v>0</v>
      </c>
      <c r="DZ7" s="145">
        <f t="shared" si="2"/>
        <v>0</v>
      </c>
      <c r="EA7" s="145">
        <f t="shared" si="2"/>
        <v>0</v>
      </c>
      <c r="EB7" s="145">
        <f t="shared" si="2"/>
        <v>0</v>
      </c>
      <c r="EC7" s="145">
        <f t="shared" si="2"/>
        <v>0</v>
      </c>
    </row>
    <row r="8" ht="14.5">
      <c r="A8" s="320" t="s">
        <v>1273</v>
      </c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F8" s="145"/>
      <c r="AG8" s="145"/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  <c r="AV8" s="145"/>
      <c r="AW8" s="145"/>
      <c r="AX8" s="145"/>
      <c r="AY8" s="145"/>
      <c r="AZ8" s="145"/>
      <c r="BA8" s="145"/>
      <c r="BB8" s="145"/>
      <c r="BC8" s="145"/>
      <c r="BD8" s="145"/>
      <c r="BE8" s="145"/>
      <c r="BF8" s="145"/>
      <c r="BG8" s="145"/>
      <c r="BH8" s="145"/>
      <c r="BI8" s="145"/>
      <c r="BJ8" s="145"/>
      <c r="BK8" s="145"/>
      <c r="BL8" s="145"/>
      <c r="BM8" s="145"/>
      <c r="BN8" s="145"/>
      <c r="BO8" s="145"/>
      <c r="BP8" s="145"/>
      <c r="BQ8" s="145"/>
      <c r="BR8" s="145"/>
      <c r="BS8" s="145"/>
      <c r="BT8" s="145"/>
      <c r="BU8" s="145"/>
      <c r="BV8" s="145"/>
      <c r="BW8" s="145"/>
      <c r="BX8" s="145"/>
      <c r="BY8" s="145"/>
      <c r="BZ8" s="145"/>
      <c r="CA8" s="145"/>
      <c r="CB8" s="145"/>
      <c r="CC8" s="145"/>
      <c r="CD8" s="145"/>
      <c r="CE8" s="145"/>
      <c r="CF8" s="145"/>
      <c r="CG8" s="145"/>
      <c r="CH8" s="145"/>
      <c r="CI8" s="145"/>
      <c r="CJ8" s="145"/>
      <c r="CK8" s="145"/>
      <c r="CL8" s="145"/>
      <c r="CM8" s="145"/>
      <c r="CN8" s="145"/>
      <c r="CO8" s="145"/>
      <c r="CP8" s="145"/>
      <c r="CQ8" s="145"/>
      <c r="CR8" s="145"/>
      <c r="CS8" s="145"/>
      <c r="CT8" s="145"/>
      <c r="CU8" s="145"/>
      <c r="CV8" s="145"/>
      <c r="CW8" s="145"/>
      <c r="CX8" s="145"/>
      <c r="CY8" s="145"/>
      <c r="CZ8" s="145"/>
      <c r="DA8" s="145"/>
      <c r="DB8" s="145"/>
      <c r="DC8" s="145"/>
      <c r="DD8" s="145"/>
      <c r="DE8" s="145"/>
      <c r="DF8" s="145"/>
      <c r="DG8" s="145"/>
      <c r="DH8" s="145"/>
      <c r="DI8" s="145"/>
      <c r="DJ8" s="145"/>
      <c r="DK8" s="145"/>
      <c r="DL8" s="145"/>
      <c r="DM8" s="145"/>
      <c r="DN8" s="145"/>
      <c r="DO8" s="145"/>
      <c r="DP8" s="145"/>
      <c r="DQ8" s="145"/>
      <c r="DR8" s="145"/>
      <c r="DT8" s="145">
        <f t="shared" si="2"/>
        <v>0</v>
      </c>
      <c r="DU8" s="145">
        <f t="shared" si="2"/>
        <v>0</v>
      </c>
      <c r="DV8" s="145">
        <f t="shared" si="2"/>
        <v>0</v>
      </c>
      <c r="DW8" s="145">
        <f t="shared" si="2"/>
        <v>0</v>
      </c>
      <c r="DX8" s="145">
        <f t="shared" si="2"/>
        <v>0</v>
      </c>
      <c r="DY8" s="145">
        <f t="shared" si="2"/>
        <v>0</v>
      </c>
      <c r="DZ8" s="145">
        <f t="shared" si="2"/>
        <v>0</v>
      </c>
      <c r="EA8" s="145">
        <f t="shared" si="2"/>
        <v>0</v>
      </c>
      <c r="EB8" s="145">
        <f t="shared" si="2"/>
        <v>0</v>
      </c>
      <c r="EC8" s="145">
        <f t="shared" si="2"/>
        <v>0</v>
      </c>
    </row>
    <row r="9" ht="14.5">
      <c r="A9" s="320" t="s">
        <v>1274</v>
      </c>
      <c r="C9" s="145"/>
      <c r="D9" s="145"/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  <c r="AA9" s="145"/>
      <c r="AB9" s="145"/>
      <c r="AC9" s="145"/>
      <c r="AD9" s="145"/>
      <c r="AE9" s="145"/>
      <c r="AF9" s="145"/>
      <c r="AG9" s="145"/>
      <c r="AH9" s="145"/>
      <c r="AI9" s="145"/>
      <c r="AJ9" s="145"/>
      <c r="AK9" s="145"/>
      <c r="AL9" s="145"/>
      <c r="AM9" s="145"/>
      <c r="AN9" s="145"/>
      <c r="AO9" s="145"/>
      <c r="AP9" s="145"/>
      <c r="AQ9" s="145"/>
      <c r="AR9" s="145"/>
      <c r="AS9" s="145"/>
      <c r="AT9" s="145"/>
      <c r="AU9" s="145"/>
      <c r="AV9" s="145"/>
      <c r="AW9" s="145"/>
      <c r="AX9" s="145"/>
      <c r="AY9" s="145"/>
      <c r="AZ9" s="145"/>
      <c r="BA9" s="145"/>
      <c r="BB9" s="145"/>
      <c r="BC9" s="145"/>
      <c r="BD9" s="145"/>
      <c r="BE9" s="145"/>
      <c r="BF9" s="145"/>
      <c r="BG9" s="145"/>
      <c r="BH9" s="145"/>
      <c r="BI9" s="145"/>
      <c r="BJ9" s="145"/>
      <c r="BK9" s="145"/>
      <c r="BL9" s="145"/>
      <c r="BM9" s="145"/>
      <c r="BN9" s="145"/>
      <c r="BO9" s="145"/>
      <c r="BP9" s="145"/>
      <c r="BQ9" s="145"/>
      <c r="BR9" s="145"/>
      <c r="BS9" s="145"/>
      <c r="BT9" s="145"/>
      <c r="BU9" s="145"/>
      <c r="BV9" s="145"/>
      <c r="BW9" s="145"/>
      <c r="BX9" s="145"/>
      <c r="BY9" s="145"/>
      <c r="BZ9" s="145"/>
      <c r="CA9" s="145"/>
      <c r="CB9" s="145"/>
      <c r="CC9" s="145"/>
      <c r="CD9" s="145"/>
      <c r="CE9" s="145"/>
      <c r="CF9" s="145"/>
      <c r="CG9" s="145"/>
      <c r="CH9" s="145"/>
      <c r="CI9" s="145"/>
      <c r="CJ9" s="145"/>
      <c r="CK9" s="145"/>
      <c r="CL9" s="145"/>
      <c r="CM9" s="145"/>
      <c r="CN9" s="145"/>
      <c r="CO9" s="145"/>
      <c r="CP9" s="145"/>
      <c r="CQ9" s="145"/>
      <c r="CR9" s="145"/>
      <c r="CS9" s="145"/>
      <c r="CT9" s="145"/>
      <c r="CU9" s="145"/>
      <c r="CV9" s="145"/>
      <c r="CW9" s="145"/>
      <c r="CX9" s="145"/>
      <c r="CY9" s="145"/>
      <c r="CZ9" s="145"/>
      <c r="DA9" s="145"/>
      <c r="DB9" s="145"/>
      <c r="DC9" s="145"/>
      <c r="DD9" s="145"/>
      <c r="DE9" s="145"/>
      <c r="DF9" s="145"/>
      <c r="DG9" s="145"/>
      <c r="DH9" s="145"/>
      <c r="DI9" s="145"/>
      <c r="DJ9" s="145"/>
      <c r="DK9" s="145"/>
      <c r="DL9" s="145"/>
      <c r="DM9" s="145"/>
      <c r="DN9" s="145"/>
      <c r="DO9" s="145"/>
      <c r="DP9" s="145"/>
      <c r="DQ9" s="145"/>
      <c r="DR9" s="145"/>
      <c r="DT9" s="145">
        <f t="shared" si="2"/>
        <v>0</v>
      </c>
      <c r="DU9" s="145">
        <f t="shared" si="2"/>
        <v>0</v>
      </c>
      <c r="DV9" s="145">
        <f t="shared" si="2"/>
        <v>0</v>
      </c>
      <c r="DW9" s="145">
        <f t="shared" si="2"/>
        <v>0</v>
      </c>
      <c r="DX9" s="145">
        <f t="shared" si="2"/>
        <v>0</v>
      </c>
      <c r="DY9" s="145">
        <f t="shared" si="2"/>
        <v>0</v>
      </c>
      <c r="DZ9" s="145">
        <f t="shared" si="2"/>
        <v>0</v>
      </c>
      <c r="EA9" s="145">
        <f t="shared" si="2"/>
        <v>0</v>
      </c>
      <c r="EB9" s="145">
        <f t="shared" si="2"/>
        <v>0</v>
      </c>
      <c r="EC9" s="145">
        <f t="shared" si="2"/>
        <v>0</v>
      </c>
    </row>
    <row r="10" ht="14.5">
      <c r="A10" s="320" t="s">
        <v>1275</v>
      </c>
      <c r="C10" s="145"/>
      <c r="D10" s="145"/>
      <c r="E10" s="145"/>
      <c r="F10" s="145"/>
      <c r="G10" s="145"/>
      <c r="H10" s="145"/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  <c r="Z10" s="145"/>
      <c r="AA10" s="145"/>
      <c r="AB10" s="145"/>
      <c r="AC10" s="145"/>
      <c r="AD10" s="145"/>
      <c r="AE10" s="145"/>
      <c r="AF10" s="145"/>
      <c r="AG10" s="145"/>
      <c r="AH10" s="145"/>
      <c r="AI10" s="145"/>
      <c r="AJ10" s="145"/>
      <c r="AK10" s="145"/>
      <c r="AL10" s="145"/>
      <c r="AM10" s="145"/>
      <c r="AN10" s="145"/>
      <c r="AO10" s="145"/>
      <c r="AP10" s="145"/>
      <c r="AQ10" s="145"/>
      <c r="AR10" s="145"/>
      <c r="AS10" s="145"/>
      <c r="AT10" s="145"/>
      <c r="AU10" s="145"/>
      <c r="AV10" s="145"/>
      <c r="AW10" s="145"/>
      <c r="AX10" s="145"/>
      <c r="AY10" s="145"/>
      <c r="AZ10" s="145"/>
      <c r="BA10" s="145"/>
      <c r="BB10" s="145"/>
      <c r="BC10" s="145"/>
      <c r="BD10" s="145"/>
      <c r="BE10" s="145"/>
      <c r="BF10" s="145"/>
      <c r="BG10" s="145"/>
      <c r="BH10" s="145"/>
      <c r="BI10" s="145"/>
      <c r="BJ10" s="145"/>
      <c r="BK10" s="145"/>
      <c r="BL10" s="145"/>
      <c r="BM10" s="145"/>
      <c r="BN10" s="145"/>
      <c r="BO10" s="145"/>
      <c r="BP10" s="145"/>
      <c r="BQ10" s="145"/>
      <c r="BR10" s="145"/>
      <c r="BS10" s="145"/>
      <c r="BT10" s="145"/>
      <c r="BU10" s="145"/>
      <c r="BV10" s="145"/>
      <c r="BW10" s="145"/>
      <c r="BX10" s="145"/>
      <c r="BY10" s="145"/>
      <c r="BZ10" s="145"/>
      <c r="CA10" s="145"/>
      <c r="CB10" s="145"/>
      <c r="CC10" s="145"/>
      <c r="CD10" s="145"/>
      <c r="CE10" s="145"/>
      <c r="CF10" s="145"/>
      <c r="CG10" s="145"/>
      <c r="CH10" s="145"/>
      <c r="CI10" s="145"/>
      <c r="CJ10" s="145"/>
      <c r="CK10" s="145"/>
      <c r="CL10" s="145"/>
      <c r="CM10" s="145"/>
      <c r="CN10" s="145"/>
      <c r="CO10" s="145"/>
      <c r="CP10" s="145"/>
      <c r="CQ10" s="145"/>
      <c r="CR10" s="145"/>
      <c r="CS10" s="145"/>
      <c r="CT10" s="145"/>
      <c r="CU10" s="145"/>
      <c r="CV10" s="145"/>
      <c r="CW10" s="145"/>
      <c r="CX10" s="145"/>
      <c r="CY10" s="145"/>
      <c r="CZ10" s="145"/>
      <c r="DA10" s="145"/>
      <c r="DB10" s="145"/>
      <c r="DC10" s="145"/>
      <c r="DD10" s="145"/>
      <c r="DE10" s="145"/>
      <c r="DF10" s="145"/>
      <c r="DG10" s="145"/>
      <c r="DH10" s="145"/>
      <c r="DI10" s="145"/>
      <c r="DJ10" s="145"/>
      <c r="DK10" s="145"/>
      <c r="DL10" s="145"/>
      <c r="DM10" s="145"/>
      <c r="DN10" s="145"/>
      <c r="DO10" s="145"/>
      <c r="DP10" s="145"/>
      <c r="DQ10" s="145"/>
      <c r="DR10" s="145"/>
    </row>
    <row r="11" thickBot="1">
      <c r="A11" s="321"/>
      <c r="DF11"/>
      <c r="DG11"/>
      <c r="DH11"/>
      <c r="DI11"/>
      <c r="DJ11"/>
      <c r="DK11"/>
      <c r="DL11"/>
      <c r="DM11"/>
      <c r="DN11"/>
      <c r="DO11"/>
      <c r="DP11"/>
      <c r="DQ11"/>
      <c r="DR11"/>
    </row>
    <row r="12" thickTop="1" thickBot="1" ht="18.75" customHeight="1">
      <c r="A12" s="293" t="s">
        <v>968</v>
      </c>
      <c r="B12" s="294"/>
      <c r="C12" s="295">
        <f t="shared" ref="C12:AH12" si="3">SUM(C6:C10)</f>
        <v>0</v>
      </c>
      <c r="D12" s="295">
        <f t="shared" si="3"/>
        <v>0</v>
      </c>
      <c r="E12" s="295">
        <f t="shared" si="3"/>
        <v>0</v>
      </c>
      <c r="F12" s="295">
        <f t="shared" si="3"/>
        <v>0</v>
      </c>
      <c r="G12" s="295">
        <f t="shared" si="3"/>
        <v>0</v>
      </c>
      <c r="H12" s="295">
        <f t="shared" si="3"/>
        <v>0</v>
      </c>
      <c r="I12" s="295">
        <f t="shared" si="3"/>
        <v>0</v>
      </c>
      <c r="J12" s="295">
        <f t="shared" si="3"/>
        <v>0</v>
      </c>
      <c r="K12" s="295">
        <f t="shared" si="3"/>
        <v>0</v>
      </c>
      <c r="L12" s="295">
        <f t="shared" si="3"/>
        <v>0</v>
      </c>
      <c r="M12" s="295">
        <f t="shared" si="3"/>
        <v>0</v>
      </c>
      <c r="N12" s="295">
        <f t="shared" si="3"/>
        <v>0</v>
      </c>
      <c r="O12" s="295">
        <f t="shared" si="3"/>
        <v>0</v>
      </c>
      <c r="P12" s="295">
        <f t="shared" si="3"/>
        <v>0</v>
      </c>
      <c r="Q12" s="295">
        <f t="shared" si="3"/>
        <v>0</v>
      </c>
      <c r="R12" s="295">
        <f t="shared" si="3"/>
        <v>0</v>
      </c>
      <c r="S12" s="295">
        <f t="shared" si="3"/>
        <v>0</v>
      </c>
      <c r="T12" s="295">
        <f t="shared" si="3"/>
        <v>0</v>
      </c>
      <c r="U12" s="295">
        <f t="shared" si="3"/>
        <v>0</v>
      </c>
      <c r="V12" s="295">
        <f t="shared" si="3"/>
        <v>0</v>
      </c>
      <c r="W12" s="295">
        <f t="shared" si="3"/>
        <v>0</v>
      </c>
      <c r="X12" s="295">
        <f t="shared" si="3"/>
        <v>0</v>
      </c>
      <c r="Y12" s="295">
        <f t="shared" si="3"/>
        <v>0</v>
      </c>
      <c r="Z12" s="295">
        <f t="shared" si="3"/>
        <v>0</v>
      </c>
      <c r="AA12" s="295">
        <f t="shared" si="3"/>
        <v>0</v>
      </c>
      <c r="AB12" s="295">
        <f t="shared" si="3"/>
        <v>0</v>
      </c>
      <c r="AC12" s="295">
        <f t="shared" si="3"/>
        <v>0</v>
      </c>
      <c r="AD12" s="295">
        <f t="shared" si="3"/>
        <v>0</v>
      </c>
      <c r="AE12" s="295">
        <f t="shared" si="3"/>
        <v>0</v>
      </c>
      <c r="AF12" s="295">
        <f t="shared" si="3"/>
        <v>0</v>
      </c>
      <c r="AG12" s="295">
        <f t="shared" si="3"/>
        <v>0</v>
      </c>
      <c r="AH12" s="295">
        <f t="shared" si="3"/>
        <v>0</v>
      </c>
      <c r="AI12" s="295">
        <f t="shared" ref="AI12:BN12" si="4">SUM(AI6:AI10)</f>
        <v>0</v>
      </c>
      <c r="AJ12" s="295">
        <f t="shared" si="4"/>
        <v>0</v>
      </c>
      <c r="AK12" s="295">
        <f t="shared" si="4"/>
        <v>0</v>
      </c>
      <c r="AL12" s="295">
        <f t="shared" si="4"/>
        <v>0</v>
      </c>
      <c r="AM12" s="295">
        <f t="shared" si="4"/>
        <v>0</v>
      </c>
      <c r="AN12" s="295">
        <f t="shared" si="4"/>
        <v>0</v>
      </c>
      <c r="AO12" s="295">
        <f t="shared" si="4"/>
        <v>0</v>
      </c>
      <c r="AP12" s="295">
        <f t="shared" si="4"/>
        <v>0</v>
      </c>
      <c r="AQ12" s="295">
        <f t="shared" si="4"/>
        <v>0</v>
      </c>
      <c r="AR12" s="295">
        <f t="shared" si="4"/>
        <v>0</v>
      </c>
      <c r="AS12" s="295">
        <f t="shared" si="4"/>
        <v>0</v>
      </c>
      <c r="AT12" s="295">
        <f t="shared" si="4"/>
        <v>0</v>
      </c>
      <c r="AU12" s="295">
        <f t="shared" si="4"/>
        <v>0</v>
      </c>
      <c r="AV12" s="295">
        <f t="shared" si="4"/>
        <v>0</v>
      </c>
      <c r="AW12" s="295">
        <f t="shared" si="4"/>
        <v>0</v>
      </c>
      <c r="AX12" s="295">
        <f t="shared" si="4"/>
        <v>0</v>
      </c>
      <c r="AY12" s="295">
        <f t="shared" si="4"/>
        <v>0</v>
      </c>
      <c r="AZ12" s="295">
        <f t="shared" si="4"/>
        <v>0</v>
      </c>
      <c r="BA12" s="295">
        <f t="shared" si="4"/>
        <v>0</v>
      </c>
      <c r="BB12" s="295">
        <f t="shared" si="4"/>
        <v>0</v>
      </c>
      <c r="BC12" s="295">
        <f t="shared" si="4"/>
        <v>0</v>
      </c>
      <c r="BD12" s="295">
        <f t="shared" si="4"/>
        <v>0</v>
      </c>
      <c r="BE12" s="295">
        <f t="shared" si="4"/>
        <v>0</v>
      </c>
      <c r="BF12" s="295">
        <f t="shared" si="4"/>
        <v>0</v>
      </c>
      <c r="BG12" s="295">
        <f t="shared" si="4"/>
        <v>0</v>
      </c>
      <c r="BH12" s="295">
        <f t="shared" si="4"/>
        <v>0</v>
      </c>
      <c r="BI12" s="295">
        <f t="shared" si="4"/>
        <v>0</v>
      </c>
      <c r="BJ12" s="295">
        <f t="shared" si="4"/>
        <v>0</v>
      </c>
      <c r="BK12" s="295">
        <f t="shared" si="4"/>
        <v>0</v>
      </c>
      <c r="BL12" s="295">
        <f t="shared" si="4"/>
        <v>0</v>
      </c>
      <c r="BM12" s="295">
        <f t="shared" si="4"/>
        <v>0</v>
      </c>
      <c r="BN12" s="295">
        <f t="shared" si="4"/>
        <v>0</v>
      </c>
      <c r="BO12" s="295">
        <f t="shared" ref="BO12:CT12" si="5">SUM(BO6:BO10)</f>
        <v>0</v>
      </c>
      <c r="BP12" s="295">
        <f t="shared" si="5"/>
        <v>0</v>
      </c>
      <c r="BQ12" s="295">
        <f t="shared" si="5"/>
        <v>0</v>
      </c>
      <c r="BR12" s="295">
        <f t="shared" si="5"/>
        <v>0</v>
      </c>
      <c r="BS12" s="295">
        <f t="shared" si="5"/>
        <v>0</v>
      </c>
      <c r="BT12" s="295">
        <f t="shared" si="5"/>
        <v>0</v>
      </c>
      <c r="BU12" s="295">
        <f t="shared" si="5"/>
        <v>0</v>
      </c>
      <c r="BV12" s="295">
        <f t="shared" si="5"/>
        <v>0</v>
      </c>
      <c r="BW12" s="295">
        <f t="shared" si="5"/>
        <v>0</v>
      </c>
      <c r="BX12" s="295">
        <f t="shared" si="5"/>
        <v>0</v>
      </c>
      <c r="BY12" s="295">
        <f t="shared" si="5"/>
        <v>0</v>
      </c>
      <c r="BZ12" s="295">
        <f t="shared" si="5"/>
        <v>0</v>
      </c>
      <c r="CA12" s="295">
        <f t="shared" si="5"/>
        <v>0</v>
      </c>
      <c r="CB12" s="295">
        <f t="shared" si="5"/>
        <v>0</v>
      </c>
      <c r="CC12" s="295">
        <f t="shared" si="5"/>
        <v>0</v>
      </c>
      <c r="CD12" s="295">
        <f t="shared" si="5"/>
        <v>0</v>
      </c>
      <c r="CE12" s="295">
        <f t="shared" si="5"/>
        <v>0</v>
      </c>
      <c r="CF12" s="295">
        <f t="shared" si="5"/>
        <v>0</v>
      </c>
      <c r="CG12" s="295">
        <f t="shared" si="5"/>
        <v>0</v>
      </c>
      <c r="CH12" s="295">
        <f t="shared" si="5"/>
        <v>0</v>
      </c>
      <c r="CI12" s="295">
        <f t="shared" si="5"/>
        <v>0</v>
      </c>
      <c r="CJ12" s="295">
        <f t="shared" si="5"/>
        <v>0</v>
      </c>
      <c r="CK12" s="295">
        <f t="shared" si="5"/>
        <v>0</v>
      </c>
      <c r="CL12" s="295">
        <f t="shared" si="5"/>
        <v>0</v>
      </c>
      <c r="CM12" s="295">
        <f t="shared" si="5"/>
        <v>0</v>
      </c>
      <c r="CN12" s="295">
        <f t="shared" si="5"/>
        <v>0</v>
      </c>
      <c r="CO12" s="295">
        <f t="shared" si="5"/>
        <v>0</v>
      </c>
      <c r="CP12" s="295">
        <f t="shared" si="5"/>
        <v>0</v>
      </c>
      <c r="CQ12" s="295">
        <f t="shared" si="5"/>
        <v>0</v>
      </c>
      <c r="CR12" s="295">
        <f t="shared" si="5"/>
        <v>0</v>
      </c>
      <c r="CS12" s="295">
        <f t="shared" si="5"/>
        <v>0</v>
      </c>
      <c r="CT12" s="295">
        <f t="shared" si="5"/>
        <v>0</v>
      </c>
      <c r="CU12" s="295">
        <f t="shared" ref="CU12:EC12" si="6">SUM(CU6:CU10)</f>
        <v>0</v>
      </c>
      <c r="CV12" s="295">
        <f t="shared" si="6"/>
        <v>0</v>
      </c>
      <c r="CW12" s="295">
        <f t="shared" si="6"/>
        <v>0</v>
      </c>
      <c r="CX12" s="295">
        <f t="shared" si="6"/>
        <v>0</v>
      </c>
      <c r="CY12" s="295">
        <f t="shared" si="6"/>
        <v>0</v>
      </c>
      <c r="CZ12" s="295">
        <f t="shared" si="6"/>
        <v>0</v>
      </c>
      <c r="DA12" s="295">
        <f t="shared" si="6"/>
        <v>0</v>
      </c>
      <c r="DB12" s="295">
        <f t="shared" si="6"/>
        <v>0</v>
      </c>
      <c r="DC12" s="295">
        <f t="shared" si="6"/>
        <v>0</v>
      </c>
      <c r="DD12" s="295">
        <f t="shared" si="6"/>
        <v>0</v>
      </c>
      <c r="DE12" s="295">
        <f t="shared" si="6"/>
        <v>0</v>
      </c>
      <c r="DF12" s="295">
        <f t="shared" si="6"/>
        <v>0</v>
      </c>
      <c r="DG12" s="295">
        <f t="shared" si="6"/>
        <v>0</v>
      </c>
      <c r="DH12" s="295">
        <f t="shared" si="6"/>
        <v>0</v>
      </c>
      <c r="DI12" s="295">
        <f t="shared" si="6"/>
        <v>0</v>
      </c>
      <c r="DJ12" s="295">
        <f t="shared" si="6"/>
        <v>0</v>
      </c>
      <c r="DK12" s="295">
        <f t="shared" si="6"/>
        <v>0</v>
      </c>
      <c r="DL12" s="295">
        <f t="shared" si="6"/>
        <v>0</v>
      </c>
      <c r="DM12" s="295">
        <f t="shared" si="6"/>
        <v>0</v>
      </c>
      <c r="DN12" s="295">
        <f t="shared" si="6"/>
        <v>0</v>
      </c>
      <c r="DO12" s="295">
        <f t="shared" si="6"/>
        <v>0</v>
      </c>
      <c r="DP12" s="295">
        <f t="shared" si="6"/>
        <v>0</v>
      </c>
      <c r="DQ12" s="295">
        <f t="shared" si="6"/>
        <v>0</v>
      </c>
      <c r="DR12" s="295">
        <f t="shared" si="6"/>
        <v>0</v>
      </c>
      <c r="DT12" s="295">
        <f t="shared" si="6"/>
        <v>0</v>
      </c>
      <c r="DU12" s="295">
        <f t="shared" si="6"/>
        <v>0</v>
      </c>
      <c r="DV12" s="295">
        <f t="shared" si="6"/>
        <v>0</v>
      </c>
      <c r="DW12" s="295">
        <f t="shared" si="6"/>
        <v>0</v>
      </c>
      <c r="DX12" s="295">
        <f t="shared" si="6"/>
        <v>0</v>
      </c>
      <c r="DY12" s="295">
        <f t="shared" si="6"/>
        <v>0</v>
      </c>
      <c r="DZ12" s="295">
        <f t="shared" si="6"/>
        <v>0</v>
      </c>
      <c r="EA12" s="295">
        <f t="shared" si="6"/>
        <v>0</v>
      </c>
      <c r="EB12" s="295">
        <f t="shared" si="6"/>
        <v>0</v>
      </c>
      <c r="EC12" s="295">
        <f t="shared" si="6"/>
        <v>0</v>
      </c>
    </row>
    <row r="13" thickTop="1">
      <c r="A13" s="3"/>
    </row>
    <row r="14" ht="14.5">
      <c r="A14" s="3"/>
    </row>
    <row r="15" ht="21">
      <c r="A15" s="298" t="s">
        <v>1276</v>
      </c>
    </row>
    <row r="17" ht="14.5">
      <c r="A17" s="320" t="s">
        <v>1277</v>
      </c>
      <c r="C17" s="144"/>
      <c r="D17" s="144"/>
      <c r="E17" s="144"/>
      <c r="F17" s="144"/>
      <c r="G17" s="144"/>
      <c r="H17" s="144"/>
      <c r="I17" s="144"/>
      <c r="J17" s="144"/>
      <c r="K17" s="144"/>
      <c r="L17" s="144"/>
      <c r="M17" s="144"/>
      <c r="N17" s="144"/>
      <c r="O17" s="144"/>
      <c r="P17" s="144"/>
      <c r="Q17" s="144"/>
      <c r="R17" s="144"/>
      <c r="S17" s="144"/>
      <c r="T17" s="144"/>
      <c r="U17" s="144"/>
      <c r="V17" s="144"/>
      <c r="W17" s="144"/>
      <c r="X17" s="144"/>
      <c r="Y17" s="144"/>
      <c r="Z17" s="144"/>
      <c r="AA17" s="144"/>
      <c r="AB17" s="144"/>
      <c r="AC17" s="144"/>
      <c r="AD17" s="144"/>
      <c r="AE17" s="144"/>
      <c r="AF17" s="144"/>
      <c r="AG17" s="144"/>
      <c r="AH17" s="144"/>
      <c r="AI17" s="144"/>
      <c r="AJ17" s="144"/>
      <c r="AK17" s="144"/>
      <c r="AL17" s="144"/>
      <c r="AM17" s="144"/>
      <c r="AN17" s="144"/>
      <c r="AO17" s="144"/>
      <c r="AP17" s="144"/>
      <c r="AQ17" s="144"/>
      <c r="AR17" s="144"/>
      <c r="AS17" s="144"/>
      <c r="AT17" s="144"/>
      <c r="AU17" s="144"/>
      <c r="AV17" s="144"/>
      <c r="AW17" s="144"/>
      <c r="AX17" s="144"/>
      <c r="AY17" s="144"/>
      <c r="AZ17" s="144"/>
      <c r="BA17" s="144"/>
      <c r="BB17" s="144"/>
      <c r="BC17" s="144"/>
      <c r="BD17" s="144"/>
      <c r="BE17" s="144"/>
      <c r="BF17" s="144"/>
      <c r="BG17" s="144"/>
      <c r="BH17" s="144"/>
      <c r="BI17" s="144"/>
      <c r="BJ17" s="144"/>
      <c r="BK17" s="144"/>
      <c r="BL17" s="144"/>
      <c r="BM17" s="144"/>
      <c r="BN17" s="144"/>
      <c r="BO17" s="144"/>
      <c r="BP17" s="144"/>
      <c r="BQ17" s="144"/>
      <c r="BR17" s="144"/>
      <c r="BS17" s="144"/>
      <c r="BT17" s="144"/>
      <c r="BU17" s="144"/>
      <c r="BV17" s="144"/>
      <c r="BW17" s="144"/>
      <c r="BX17" s="144"/>
      <c r="BY17" s="144"/>
      <c r="BZ17" s="144"/>
      <c r="CA17" s="144"/>
      <c r="CB17" s="144"/>
      <c r="CC17" s="144"/>
      <c r="CD17" s="144"/>
      <c r="CE17" s="144"/>
      <c r="CF17" s="144"/>
      <c r="CG17" s="144"/>
      <c r="CH17" s="144"/>
      <c r="CI17" s="144"/>
      <c r="CJ17" s="144"/>
      <c r="CK17" s="144"/>
      <c r="CL17" s="144"/>
      <c r="CM17" s="144"/>
      <c r="CN17" s="144"/>
      <c r="CO17" s="144"/>
      <c r="CP17" s="144"/>
      <c r="CQ17" s="144"/>
      <c r="CR17" s="144"/>
      <c r="CS17" s="144"/>
      <c r="CT17" s="144"/>
      <c r="CU17" s="144"/>
      <c r="CV17" s="144"/>
      <c r="CW17" s="144"/>
      <c r="CX17" s="144"/>
      <c r="CY17" s="144"/>
      <c r="CZ17" s="144"/>
      <c r="DA17" s="144"/>
      <c r="DB17" s="144"/>
      <c r="DC17" s="144"/>
      <c r="DD17" s="144"/>
      <c r="DE17" s="144"/>
      <c r="DF17" s="144"/>
      <c r="DG17" s="144"/>
      <c r="DH17" s="144"/>
      <c r="DI17" s="144"/>
      <c r="DJ17" s="144"/>
      <c r="DK17" s="144"/>
      <c r="DL17" s="144"/>
      <c r="DM17" s="144"/>
      <c r="DN17" s="144"/>
      <c r="DO17" s="144"/>
      <c r="DP17" s="144"/>
      <c r="DQ17" s="144"/>
      <c r="DR17" s="144"/>
      <c r="DT17" s="145">
        <f t="shared" ref="DT17:EC37" si="7">+SUMIF($C$2:$DR$2,DT$2,$C17:$DR17)</f>
        <v>0</v>
      </c>
      <c r="DU17" s="145">
        <f t="shared" si="7"/>
        <v>0</v>
      </c>
      <c r="DV17" s="145">
        <f t="shared" si="7"/>
        <v>0</v>
      </c>
      <c r="DW17" s="145">
        <f t="shared" si="7"/>
        <v>0</v>
      </c>
      <c r="DX17" s="145">
        <f t="shared" si="7"/>
        <v>0</v>
      </c>
      <c r="DY17" s="145">
        <f t="shared" si="7"/>
        <v>0</v>
      </c>
      <c r="DZ17" s="145">
        <f t="shared" si="7"/>
        <v>0</v>
      </c>
      <c r="EA17" s="145">
        <f t="shared" si="7"/>
        <v>0</v>
      </c>
      <c r="EB17" s="145">
        <f t="shared" si="7"/>
        <v>0</v>
      </c>
      <c r="EC17" s="145">
        <f t="shared" si="7"/>
        <v>0</v>
      </c>
    </row>
    <row r="18" ht="14.5">
      <c r="A18" s="320" t="s">
        <v>1278</v>
      </c>
      <c r="C18" s="144"/>
      <c r="D18" s="144"/>
      <c r="E18" s="144"/>
      <c r="F18" s="144"/>
      <c r="G18" s="144"/>
      <c r="H18" s="144"/>
      <c r="I18" s="144"/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4"/>
      <c r="AM18" s="144"/>
      <c r="AN18" s="144"/>
      <c r="AO18" s="144"/>
      <c r="AP18" s="144"/>
      <c r="AQ18" s="144"/>
      <c r="AR18" s="144"/>
      <c r="AS18" s="144"/>
      <c r="AT18" s="144"/>
      <c r="AU18" s="144"/>
      <c r="AV18" s="144"/>
      <c r="AW18" s="144"/>
      <c r="AX18" s="144"/>
      <c r="AY18" s="144"/>
      <c r="AZ18" s="144"/>
      <c r="BA18" s="144"/>
      <c r="BB18" s="144"/>
      <c r="BC18" s="144"/>
      <c r="BD18" s="144"/>
      <c r="BE18" s="144"/>
      <c r="BF18" s="144"/>
      <c r="BG18" s="144"/>
      <c r="BH18" s="144"/>
      <c r="BI18" s="144"/>
      <c r="BJ18" s="144"/>
      <c r="BK18" s="144"/>
      <c r="BL18" s="144"/>
      <c r="BM18" s="144"/>
      <c r="BN18" s="144"/>
      <c r="BO18" s="144"/>
      <c r="BP18" s="144"/>
      <c r="BQ18" s="144"/>
      <c r="BR18" s="144"/>
      <c r="BS18" s="144"/>
      <c r="BT18" s="144"/>
      <c r="BU18" s="144"/>
      <c r="BV18" s="144"/>
      <c r="BW18" s="144"/>
      <c r="BX18" s="144"/>
      <c r="BY18" s="144"/>
      <c r="BZ18" s="144"/>
      <c r="CA18" s="144"/>
      <c r="CB18" s="144"/>
      <c r="CC18" s="144"/>
      <c r="CD18" s="144"/>
      <c r="CE18" s="144"/>
      <c r="CF18" s="144"/>
      <c r="CG18" s="144"/>
      <c r="CH18" s="144"/>
      <c r="CI18" s="144"/>
      <c r="CJ18" s="144"/>
      <c r="CK18" s="144"/>
      <c r="CL18" s="144"/>
      <c r="CM18" s="144"/>
      <c r="CN18" s="144"/>
      <c r="CO18" s="144"/>
      <c r="CP18" s="144"/>
      <c r="CQ18" s="144"/>
      <c r="CR18" s="144"/>
      <c r="CS18" s="144"/>
      <c r="CT18" s="144"/>
      <c r="CU18" s="144"/>
      <c r="CV18" s="144"/>
      <c r="CW18" s="144"/>
      <c r="CX18" s="144"/>
      <c r="CY18" s="144"/>
      <c r="CZ18" s="144"/>
      <c r="DA18" s="144"/>
      <c r="DB18" s="144"/>
      <c r="DC18" s="144"/>
      <c r="DD18" s="144"/>
      <c r="DE18" s="144"/>
      <c r="DF18" s="144"/>
      <c r="DG18" s="144"/>
      <c r="DH18" s="144"/>
      <c r="DI18" s="144"/>
      <c r="DJ18" s="144"/>
      <c r="DK18" s="144"/>
      <c r="DL18" s="144"/>
      <c r="DM18" s="144"/>
      <c r="DN18" s="144"/>
      <c r="DO18" s="144"/>
      <c r="DP18" s="144"/>
      <c r="DQ18" s="144"/>
      <c r="DR18" s="144"/>
      <c r="DT18" s="145">
        <f t="shared" si="7"/>
        <v>0</v>
      </c>
      <c r="DU18" s="145">
        <f t="shared" si="7"/>
        <v>0</v>
      </c>
      <c r="DV18" s="145">
        <f t="shared" si="7"/>
        <v>0</v>
      </c>
      <c r="DW18" s="145">
        <f t="shared" si="7"/>
        <v>0</v>
      </c>
      <c r="DX18" s="145">
        <f t="shared" si="7"/>
        <v>0</v>
      </c>
      <c r="DY18" s="145">
        <f t="shared" si="7"/>
        <v>0</v>
      </c>
      <c r="DZ18" s="145">
        <f t="shared" si="7"/>
        <v>0</v>
      </c>
      <c r="EA18" s="145">
        <f t="shared" si="7"/>
        <v>0</v>
      </c>
      <c r="EB18" s="145">
        <f t="shared" si="7"/>
        <v>0</v>
      </c>
      <c r="EC18" s="145">
        <f t="shared" si="7"/>
        <v>0</v>
      </c>
    </row>
    <row r="19" ht="14.5">
      <c r="A19" s="320" t="s">
        <v>1279</v>
      </c>
      <c r="C19" s="144"/>
      <c r="D19" s="144"/>
      <c r="E19" s="144"/>
      <c r="F19" s="144"/>
      <c r="G19" s="144"/>
      <c r="H19" s="144"/>
      <c r="I19" s="144"/>
      <c r="J19" s="144"/>
      <c r="K19" s="144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4"/>
      <c r="AM19" s="144"/>
      <c r="AN19" s="144"/>
      <c r="AO19" s="144"/>
      <c r="AP19" s="144"/>
      <c r="AQ19" s="144"/>
      <c r="AR19" s="144"/>
      <c r="AS19" s="144"/>
      <c r="AT19" s="144"/>
      <c r="AU19" s="144"/>
      <c r="AV19" s="144"/>
      <c r="AW19" s="144"/>
      <c r="AX19" s="144"/>
      <c r="AY19" s="144"/>
      <c r="AZ19" s="144"/>
      <c r="BA19" s="144"/>
      <c r="BB19" s="144"/>
      <c r="BC19" s="144"/>
      <c r="BD19" s="144"/>
      <c r="BE19" s="144"/>
      <c r="BF19" s="144"/>
      <c r="BG19" s="144"/>
      <c r="BH19" s="144"/>
      <c r="BI19" s="144"/>
      <c r="BJ19" s="144"/>
      <c r="BK19" s="144"/>
      <c r="BL19" s="144"/>
      <c r="BM19" s="144"/>
      <c r="BN19" s="144"/>
      <c r="BO19" s="144"/>
      <c r="BP19" s="144"/>
      <c r="BQ19" s="144"/>
      <c r="BR19" s="144"/>
      <c r="BS19" s="144"/>
      <c r="BT19" s="144"/>
      <c r="BU19" s="144"/>
      <c r="BV19" s="144"/>
      <c r="BW19" s="144"/>
      <c r="BX19" s="144"/>
      <c r="BY19" s="144"/>
      <c r="BZ19" s="144"/>
      <c r="CA19" s="144"/>
      <c r="CB19" s="144"/>
      <c r="CC19" s="144"/>
      <c r="CD19" s="144"/>
      <c r="CE19" s="144"/>
      <c r="CF19" s="144"/>
      <c r="CG19" s="144"/>
      <c r="CH19" s="144"/>
      <c r="CI19" s="144"/>
      <c r="CJ19" s="144"/>
      <c r="CK19" s="144"/>
      <c r="CL19" s="144"/>
      <c r="CM19" s="144"/>
      <c r="CN19" s="144"/>
      <c r="CO19" s="144"/>
      <c r="CP19" s="144"/>
      <c r="CQ19" s="144"/>
      <c r="CR19" s="144"/>
      <c r="CS19" s="144"/>
      <c r="CT19" s="144"/>
      <c r="CU19" s="144"/>
      <c r="CV19" s="144"/>
      <c r="CW19" s="144"/>
      <c r="CX19" s="144"/>
      <c r="CY19" s="144"/>
      <c r="CZ19" s="144"/>
      <c r="DA19" s="144"/>
      <c r="DB19" s="144"/>
      <c r="DC19" s="144"/>
      <c r="DD19" s="144"/>
      <c r="DE19" s="144"/>
      <c r="DF19" s="144"/>
      <c r="DG19" s="144"/>
      <c r="DH19" s="144"/>
      <c r="DI19" s="144"/>
      <c r="DJ19" s="144"/>
      <c r="DK19" s="144"/>
      <c r="DL19" s="144"/>
      <c r="DM19" s="144"/>
      <c r="DN19" s="144"/>
      <c r="DO19" s="144"/>
      <c r="DP19" s="144"/>
      <c r="DQ19" s="144"/>
      <c r="DR19" s="144"/>
      <c r="DT19" s="145">
        <f t="shared" si="7"/>
        <v>0</v>
      </c>
      <c r="DU19" s="145">
        <f t="shared" si="7"/>
        <v>0</v>
      </c>
      <c r="DV19" s="145">
        <f t="shared" si="7"/>
        <v>0</v>
      </c>
      <c r="DW19" s="145">
        <f t="shared" si="7"/>
        <v>0</v>
      </c>
      <c r="DX19" s="145">
        <f t="shared" si="7"/>
        <v>0</v>
      </c>
      <c r="DY19" s="145">
        <f t="shared" si="7"/>
        <v>0</v>
      </c>
      <c r="DZ19" s="145">
        <f t="shared" si="7"/>
        <v>0</v>
      </c>
      <c r="EA19" s="145">
        <f t="shared" si="7"/>
        <v>0</v>
      </c>
      <c r="EB19" s="145">
        <f t="shared" si="7"/>
        <v>0</v>
      </c>
      <c r="EC19" s="145">
        <f t="shared" si="7"/>
        <v>0</v>
      </c>
    </row>
    <row r="20" ht="14.5">
      <c r="A20" s="320" t="s">
        <v>1280</v>
      </c>
      <c r="C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144"/>
      <c r="AD20" s="144"/>
      <c r="AE20" s="144"/>
      <c r="AF20" s="144"/>
      <c r="AG20" s="144"/>
      <c r="AH20" s="144"/>
      <c r="AI20" s="144"/>
      <c r="AJ20" s="144"/>
      <c r="AK20" s="144"/>
      <c r="AL20" s="144"/>
      <c r="AM20" s="144"/>
      <c r="AN20" s="144"/>
      <c r="AO20" s="144"/>
      <c r="AP20" s="144"/>
      <c r="AQ20" s="144"/>
      <c r="AR20" s="144"/>
      <c r="AS20" s="144"/>
      <c r="AT20" s="144"/>
      <c r="AU20" s="144"/>
      <c r="AV20" s="144"/>
      <c r="AW20" s="144"/>
      <c r="AX20" s="144"/>
      <c r="AY20" s="144"/>
      <c r="AZ20" s="144"/>
      <c r="BA20" s="144"/>
      <c r="BB20" s="144"/>
      <c r="BC20" s="144"/>
      <c r="BD20" s="144"/>
      <c r="BE20" s="144"/>
      <c r="BF20" s="144"/>
      <c r="BG20" s="144"/>
      <c r="BH20" s="144"/>
      <c r="BI20" s="144"/>
      <c r="BJ20" s="144"/>
      <c r="BK20" s="144"/>
      <c r="BL20" s="144"/>
      <c r="BM20" s="144"/>
      <c r="BN20" s="144"/>
      <c r="BO20" s="144"/>
      <c r="BP20" s="144"/>
      <c r="BQ20" s="144"/>
      <c r="BR20" s="144"/>
      <c r="BS20" s="144"/>
      <c r="BT20" s="144"/>
      <c r="BU20" s="144"/>
      <c r="BV20" s="144"/>
      <c r="BW20" s="144"/>
      <c r="BX20" s="144"/>
      <c r="BY20" s="144"/>
      <c r="BZ20" s="144"/>
      <c r="CA20" s="144"/>
      <c r="CB20" s="144"/>
      <c r="CC20" s="144"/>
      <c r="CD20" s="144"/>
      <c r="CE20" s="144"/>
      <c r="CF20" s="144"/>
      <c r="CG20" s="144"/>
      <c r="CH20" s="144"/>
      <c r="CI20" s="144"/>
      <c r="CJ20" s="144"/>
      <c r="CK20" s="144"/>
      <c r="CL20" s="144"/>
      <c r="CM20" s="144"/>
      <c r="CN20" s="144"/>
      <c r="CO20" s="144"/>
      <c r="CP20" s="144"/>
      <c r="CQ20" s="144"/>
      <c r="CR20" s="144"/>
      <c r="CS20" s="144"/>
      <c r="CT20" s="144"/>
      <c r="CU20" s="144"/>
      <c r="CV20" s="144"/>
      <c r="CW20" s="144"/>
      <c r="CX20" s="144"/>
      <c r="CY20" s="144"/>
      <c r="CZ20" s="144"/>
      <c r="DA20" s="144"/>
      <c r="DB20" s="144"/>
      <c r="DC20" s="144"/>
      <c r="DD20" s="144"/>
      <c r="DE20" s="144"/>
      <c r="DF20" s="144"/>
      <c r="DG20" s="144"/>
      <c r="DH20" s="144"/>
      <c r="DI20" s="144"/>
      <c r="DJ20" s="144"/>
      <c r="DK20" s="144"/>
      <c r="DL20" s="144"/>
      <c r="DM20" s="144"/>
      <c r="DN20" s="144"/>
      <c r="DO20" s="144"/>
      <c r="DP20" s="144"/>
      <c r="DQ20" s="144"/>
      <c r="DR20" s="144"/>
      <c r="DT20" s="145">
        <f t="shared" si="7"/>
        <v>0</v>
      </c>
      <c r="DU20" s="145">
        <f t="shared" si="7"/>
        <v>0</v>
      </c>
      <c r="DV20" s="145">
        <f t="shared" si="7"/>
        <v>0</v>
      </c>
      <c r="DW20" s="145">
        <f t="shared" si="7"/>
        <v>0</v>
      </c>
      <c r="DX20" s="145">
        <f t="shared" si="7"/>
        <v>0</v>
      </c>
      <c r="DY20" s="145">
        <f t="shared" si="7"/>
        <v>0</v>
      </c>
      <c r="DZ20" s="145">
        <f t="shared" si="7"/>
        <v>0</v>
      </c>
      <c r="EA20" s="145">
        <f t="shared" si="7"/>
        <v>0</v>
      </c>
      <c r="EB20" s="145">
        <f t="shared" si="7"/>
        <v>0</v>
      </c>
      <c r="EC20" s="145">
        <f t="shared" si="7"/>
        <v>0</v>
      </c>
    </row>
    <row r="21" ht="14.5">
      <c r="A21" s="320" t="s">
        <v>1281</v>
      </c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4"/>
      <c r="AM21" s="144"/>
      <c r="AN21" s="144"/>
      <c r="AO21" s="144"/>
      <c r="AP21" s="144"/>
      <c r="AQ21" s="144"/>
      <c r="AR21" s="144"/>
      <c r="AS21" s="144"/>
      <c r="AT21" s="144"/>
      <c r="AU21" s="144"/>
      <c r="AV21" s="144"/>
      <c r="AW21" s="144"/>
      <c r="AX21" s="144"/>
      <c r="AY21" s="144"/>
      <c r="AZ21" s="144"/>
      <c r="BA21" s="144"/>
      <c r="BB21" s="144"/>
      <c r="BC21" s="144"/>
      <c r="BD21" s="144"/>
      <c r="BE21" s="144"/>
      <c r="BF21" s="144"/>
      <c r="BG21" s="144"/>
      <c r="BH21" s="144"/>
      <c r="BI21" s="144"/>
      <c r="BJ21" s="144"/>
      <c r="BK21" s="144"/>
      <c r="BL21" s="144"/>
      <c r="BM21" s="144"/>
      <c r="BN21" s="144"/>
      <c r="BO21" s="144"/>
      <c r="BP21" s="144"/>
      <c r="BQ21" s="144"/>
      <c r="BR21" s="144"/>
      <c r="BS21" s="144"/>
      <c r="BT21" s="144"/>
      <c r="BU21" s="144"/>
      <c r="BV21" s="144"/>
      <c r="BW21" s="144"/>
      <c r="BX21" s="144"/>
      <c r="BY21" s="144"/>
      <c r="BZ21" s="144"/>
      <c r="CA21" s="144"/>
      <c r="CB21" s="144"/>
      <c r="CC21" s="144"/>
      <c r="CD21" s="144"/>
      <c r="CE21" s="144"/>
      <c r="CF21" s="144"/>
      <c r="CG21" s="144"/>
      <c r="CH21" s="144"/>
      <c r="CI21" s="144"/>
      <c r="CJ21" s="144"/>
      <c r="CK21" s="144"/>
      <c r="CL21" s="144"/>
      <c r="CM21" s="144"/>
      <c r="CN21" s="144"/>
      <c r="CO21" s="144"/>
      <c r="CP21" s="144"/>
      <c r="CQ21" s="144"/>
      <c r="CR21" s="144"/>
      <c r="CS21" s="144"/>
      <c r="CT21" s="144"/>
      <c r="CU21" s="144"/>
      <c r="CV21" s="144"/>
      <c r="CW21" s="144"/>
      <c r="CX21" s="144"/>
      <c r="CY21" s="144"/>
      <c r="CZ21" s="144"/>
      <c r="DA21" s="144"/>
      <c r="DB21" s="144"/>
      <c r="DC21" s="144"/>
      <c r="DD21" s="144"/>
      <c r="DE21" s="144"/>
      <c r="DF21" s="144"/>
      <c r="DG21" s="144"/>
      <c r="DH21" s="144"/>
      <c r="DI21" s="144"/>
      <c r="DJ21" s="144"/>
      <c r="DK21" s="144"/>
      <c r="DL21" s="144"/>
      <c r="DM21" s="144"/>
      <c r="DN21" s="144"/>
      <c r="DO21" s="144"/>
      <c r="DP21" s="144"/>
      <c r="DQ21" s="144"/>
      <c r="DR21" s="144"/>
      <c r="DT21" s="145">
        <f t="shared" si="7"/>
        <v>0</v>
      </c>
      <c r="DU21" s="145">
        <f t="shared" si="7"/>
        <v>0</v>
      </c>
      <c r="DV21" s="145">
        <f t="shared" si="7"/>
        <v>0</v>
      </c>
      <c r="DW21" s="145">
        <f t="shared" si="7"/>
        <v>0</v>
      </c>
      <c r="DX21" s="145">
        <f t="shared" si="7"/>
        <v>0</v>
      </c>
      <c r="DY21" s="145">
        <f t="shared" si="7"/>
        <v>0</v>
      </c>
      <c r="DZ21" s="145">
        <f t="shared" si="7"/>
        <v>0</v>
      </c>
      <c r="EA21" s="145">
        <f t="shared" si="7"/>
        <v>0</v>
      </c>
      <c r="EB21" s="145">
        <f t="shared" si="7"/>
        <v>0</v>
      </c>
      <c r="EC21" s="145">
        <f t="shared" si="7"/>
        <v>0</v>
      </c>
    </row>
    <row r="22" ht="14.5">
      <c r="A22" s="320" t="s">
        <v>1282</v>
      </c>
      <c r="C22" s="144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4"/>
      <c r="AM22" s="144"/>
      <c r="AN22" s="144"/>
      <c r="AO22" s="144"/>
      <c r="AP22" s="144"/>
      <c r="AQ22" s="144"/>
      <c r="AR22" s="144"/>
      <c r="AS22" s="144"/>
      <c r="AT22" s="144"/>
      <c r="AU22" s="144"/>
      <c r="AV22" s="144"/>
      <c r="AW22" s="144"/>
      <c r="AX22" s="144"/>
      <c r="AY22" s="144"/>
      <c r="AZ22" s="144"/>
      <c r="BA22" s="144"/>
      <c r="BB22" s="144"/>
      <c r="BC22" s="144"/>
      <c r="BD22" s="144"/>
      <c r="BE22" s="144"/>
      <c r="BF22" s="144"/>
      <c r="BG22" s="144"/>
      <c r="BH22" s="144"/>
      <c r="BI22" s="144"/>
      <c r="BJ22" s="144"/>
      <c r="BK22" s="144"/>
      <c r="BL22" s="144"/>
      <c r="BM22" s="144"/>
      <c r="BN22" s="144"/>
      <c r="BO22" s="144"/>
      <c r="BP22" s="144"/>
      <c r="BQ22" s="144"/>
      <c r="BR22" s="144"/>
      <c r="BS22" s="144"/>
      <c r="BT22" s="144"/>
      <c r="BU22" s="144"/>
      <c r="BV22" s="144"/>
      <c r="BW22" s="144"/>
      <c r="BX22" s="144"/>
      <c r="BY22" s="144"/>
      <c r="BZ22" s="144"/>
      <c r="CA22" s="144"/>
      <c r="CB22" s="144"/>
      <c r="CC22" s="144"/>
      <c r="CD22" s="144"/>
      <c r="CE22" s="144"/>
      <c r="CF22" s="144"/>
      <c r="CG22" s="144"/>
      <c r="CH22" s="144"/>
      <c r="CI22" s="144"/>
      <c r="CJ22" s="144"/>
      <c r="CK22" s="144"/>
      <c r="CL22" s="144"/>
      <c r="CM22" s="144"/>
      <c r="CN22" s="144"/>
      <c r="CO22" s="144"/>
      <c r="CP22" s="144"/>
      <c r="CQ22" s="144"/>
      <c r="CR22" s="144"/>
      <c r="CS22" s="144"/>
      <c r="CT22" s="144"/>
      <c r="CU22" s="144"/>
      <c r="CV22" s="144"/>
      <c r="CW22" s="144"/>
      <c r="CX22" s="144"/>
      <c r="CY22" s="144"/>
      <c r="CZ22" s="144"/>
      <c r="DA22" s="144"/>
      <c r="DB22" s="144"/>
      <c r="DC22" s="144"/>
      <c r="DD22" s="144"/>
      <c r="DE22" s="144"/>
      <c r="DF22" s="144"/>
      <c r="DG22" s="144"/>
      <c r="DH22" s="144"/>
      <c r="DI22" s="144"/>
      <c r="DJ22" s="144"/>
      <c r="DK22" s="144"/>
      <c r="DL22" s="144"/>
      <c r="DM22" s="144"/>
      <c r="DN22" s="144"/>
      <c r="DO22" s="144"/>
      <c r="DP22" s="144"/>
      <c r="DQ22" s="144"/>
      <c r="DR22" s="144"/>
      <c r="DT22" s="145">
        <f t="shared" si="7"/>
        <v>0</v>
      </c>
      <c r="DU22" s="145">
        <f t="shared" si="7"/>
        <v>0</v>
      </c>
      <c r="DV22" s="145">
        <f t="shared" si="7"/>
        <v>0</v>
      </c>
      <c r="DW22" s="145">
        <f t="shared" si="7"/>
        <v>0</v>
      </c>
      <c r="DX22" s="145">
        <f t="shared" si="7"/>
        <v>0</v>
      </c>
      <c r="DY22" s="145">
        <f t="shared" si="7"/>
        <v>0</v>
      </c>
      <c r="DZ22" s="145">
        <f t="shared" si="7"/>
        <v>0</v>
      </c>
      <c r="EA22" s="145">
        <f t="shared" si="7"/>
        <v>0</v>
      </c>
      <c r="EB22" s="145">
        <f t="shared" si="7"/>
        <v>0</v>
      </c>
      <c r="EC22" s="145">
        <f t="shared" si="7"/>
        <v>0</v>
      </c>
    </row>
    <row r="23" ht="14.5">
      <c r="A23" s="320" t="s">
        <v>1283</v>
      </c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4"/>
      <c r="AM23" s="144"/>
      <c r="AN23" s="144"/>
      <c r="AO23" s="144"/>
      <c r="AP23" s="144"/>
      <c r="AQ23" s="144"/>
      <c r="AR23" s="144"/>
      <c r="AS23" s="144"/>
      <c r="AT23" s="144"/>
      <c r="AU23" s="144"/>
      <c r="AV23" s="144"/>
      <c r="AW23" s="144"/>
      <c r="AX23" s="144"/>
      <c r="AY23" s="144"/>
      <c r="AZ23" s="144"/>
      <c r="BA23" s="144"/>
      <c r="BB23" s="144"/>
      <c r="BC23" s="144"/>
      <c r="BD23" s="144"/>
      <c r="BE23" s="144"/>
      <c r="BF23" s="144"/>
      <c r="BG23" s="144"/>
      <c r="BH23" s="144"/>
      <c r="BI23" s="144"/>
      <c r="BJ23" s="144"/>
      <c r="BK23" s="144"/>
      <c r="BL23" s="144"/>
      <c r="BM23" s="144"/>
      <c r="BN23" s="144"/>
      <c r="BO23" s="144"/>
      <c r="BP23" s="144"/>
      <c r="BQ23" s="144"/>
      <c r="BR23" s="144"/>
      <c r="BS23" s="144"/>
      <c r="BT23" s="144"/>
      <c r="BU23" s="144"/>
      <c r="BV23" s="144"/>
      <c r="BW23" s="144"/>
      <c r="BX23" s="144"/>
      <c r="BY23" s="144"/>
      <c r="BZ23" s="144"/>
      <c r="CA23" s="144"/>
      <c r="CB23" s="144"/>
      <c r="CC23" s="144"/>
      <c r="CD23" s="144"/>
      <c r="CE23" s="144"/>
      <c r="CF23" s="144"/>
      <c r="CG23" s="144"/>
      <c r="CH23" s="144"/>
      <c r="CI23" s="144"/>
      <c r="CJ23" s="144"/>
      <c r="CK23" s="144"/>
      <c r="CL23" s="144"/>
      <c r="CM23" s="144"/>
      <c r="CN23" s="144"/>
      <c r="CO23" s="144"/>
      <c r="CP23" s="144"/>
      <c r="CQ23" s="144"/>
      <c r="CR23" s="144"/>
      <c r="CS23" s="144"/>
      <c r="CT23" s="144"/>
      <c r="CU23" s="144"/>
      <c r="CV23" s="144"/>
      <c r="CW23" s="144"/>
      <c r="CX23" s="144"/>
      <c r="CY23" s="144"/>
      <c r="CZ23" s="144"/>
      <c r="DA23" s="144"/>
      <c r="DB23" s="144"/>
      <c r="DC23" s="144"/>
      <c r="DD23" s="144"/>
      <c r="DE23" s="144"/>
      <c r="DF23" s="144"/>
      <c r="DG23" s="144"/>
      <c r="DH23" s="144"/>
      <c r="DI23" s="144"/>
      <c r="DJ23" s="144"/>
      <c r="DK23" s="144"/>
      <c r="DL23" s="144"/>
      <c r="DM23" s="144"/>
      <c r="DN23" s="144"/>
      <c r="DO23" s="144"/>
      <c r="DP23" s="144"/>
      <c r="DQ23" s="144"/>
      <c r="DR23" s="144"/>
      <c r="DT23" s="145">
        <f t="shared" si="7"/>
        <v>0</v>
      </c>
      <c r="DU23" s="145">
        <f t="shared" si="7"/>
        <v>0</v>
      </c>
      <c r="DV23" s="145">
        <f t="shared" si="7"/>
        <v>0</v>
      </c>
      <c r="DW23" s="145">
        <f t="shared" si="7"/>
        <v>0</v>
      </c>
      <c r="DX23" s="145">
        <f t="shared" si="7"/>
        <v>0</v>
      </c>
      <c r="DY23" s="145">
        <f t="shared" si="7"/>
        <v>0</v>
      </c>
      <c r="DZ23" s="145">
        <f t="shared" si="7"/>
        <v>0</v>
      </c>
      <c r="EA23" s="145">
        <f t="shared" si="7"/>
        <v>0</v>
      </c>
      <c r="EB23" s="145">
        <f t="shared" si="7"/>
        <v>0</v>
      </c>
      <c r="EC23" s="145">
        <f t="shared" si="7"/>
        <v>0</v>
      </c>
    </row>
    <row r="24" ht="14.5">
      <c r="A24" s="320" t="s">
        <v>1284</v>
      </c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4"/>
      <c r="AM24" s="144"/>
      <c r="AN24" s="144"/>
      <c r="AO24" s="144"/>
      <c r="AP24" s="144"/>
      <c r="AQ24" s="144"/>
      <c r="AR24" s="144"/>
      <c r="AS24" s="144"/>
      <c r="AT24" s="144"/>
      <c r="AU24" s="144"/>
      <c r="AV24" s="144"/>
      <c r="AW24" s="144"/>
      <c r="AX24" s="144"/>
      <c r="AY24" s="144"/>
      <c r="AZ24" s="144"/>
      <c r="BA24" s="144"/>
      <c r="BB24" s="144"/>
      <c r="BC24" s="144"/>
      <c r="BD24" s="144"/>
      <c r="BE24" s="144"/>
      <c r="BF24" s="144"/>
      <c r="BG24" s="144"/>
      <c r="BH24" s="144"/>
      <c r="BI24" s="144"/>
      <c r="BJ24" s="144"/>
      <c r="BK24" s="144"/>
      <c r="BL24" s="144"/>
      <c r="BM24" s="144"/>
      <c r="BN24" s="144"/>
      <c r="BO24" s="144"/>
      <c r="BP24" s="144"/>
      <c r="BQ24" s="144"/>
      <c r="BR24" s="144"/>
      <c r="BS24" s="144"/>
      <c r="BT24" s="144"/>
      <c r="BU24" s="144"/>
      <c r="BV24" s="144"/>
      <c r="BW24" s="144"/>
      <c r="BX24" s="144"/>
      <c r="BY24" s="144"/>
      <c r="BZ24" s="144"/>
      <c r="CA24" s="144"/>
      <c r="CB24" s="144"/>
      <c r="CC24" s="144"/>
      <c r="CD24" s="144"/>
      <c r="CE24" s="144"/>
      <c r="CF24" s="144"/>
      <c r="CG24" s="144"/>
      <c r="CH24" s="144"/>
      <c r="CI24" s="144"/>
      <c r="CJ24" s="144"/>
      <c r="CK24" s="144"/>
      <c r="CL24" s="144"/>
      <c r="CM24" s="144"/>
      <c r="CN24" s="144"/>
      <c r="CO24" s="144"/>
      <c r="CP24" s="144"/>
      <c r="CQ24" s="144"/>
      <c r="CR24" s="144"/>
      <c r="CS24" s="144"/>
      <c r="CT24" s="144"/>
      <c r="CU24" s="144"/>
      <c r="CV24" s="144"/>
      <c r="CW24" s="144"/>
      <c r="CX24" s="144"/>
      <c r="CY24" s="144"/>
      <c r="CZ24" s="144"/>
      <c r="DA24" s="144"/>
      <c r="DB24" s="144"/>
      <c r="DC24" s="144"/>
      <c r="DD24" s="144"/>
      <c r="DE24" s="144"/>
      <c r="DF24" s="144"/>
      <c r="DG24" s="144"/>
      <c r="DH24" s="144"/>
      <c r="DI24" s="144"/>
      <c r="DJ24" s="144"/>
      <c r="DK24" s="144"/>
      <c r="DL24" s="144"/>
      <c r="DM24" s="144"/>
      <c r="DN24" s="144"/>
      <c r="DO24" s="144"/>
      <c r="DP24" s="144"/>
      <c r="DQ24" s="144"/>
      <c r="DR24" s="144"/>
      <c r="DT24" s="145">
        <f t="shared" si="7"/>
        <v>0</v>
      </c>
      <c r="DU24" s="145">
        <f t="shared" si="7"/>
        <v>0</v>
      </c>
      <c r="DV24" s="145">
        <f t="shared" si="7"/>
        <v>0</v>
      </c>
      <c r="DW24" s="145">
        <f t="shared" si="7"/>
        <v>0</v>
      </c>
      <c r="DX24" s="145">
        <f t="shared" si="7"/>
        <v>0</v>
      </c>
      <c r="DY24" s="145">
        <f t="shared" si="7"/>
        <v>0</v>
      </c>
      <c r="DZ24" s="145">
        <f t="shared" si="7"/>
        <v>0</v>
      </c>
      <c r="EA24" s="145">
        <f t="shared" si="7"/>
        <v>0</v>
      </c>
      <c r="EB24" s="145">
        <f t="shared" si="7"/>
        <v>0</v>
      </c>
      <c r="EC24" s="145">
        <f t="shared" si="7"/>
        <v>0</v>
      </c>
    </row>
    <row r="25" ht="14.5">
      <c r="A25" s="320" t="s">
        <v>1285</v>
      </c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  <c r="AA25" s="145"/>
      <c r="AB25" s="145"/>
      <c r="AC25" s="145"/>
      <c r="AD25" s="145"/>
      <c r="AE25" s="145"/>
      <c r="AF25" s="145"/>
      <c r="AG25" s="145"/>
      <c r="AH25" s="145"/>
      <c r="AI25" s="145"/>
      <c r="AJ25" s="145"/>
      <c r="AK25" s="145"/>
      <c r="AL25" s="145"/>
      <c r="AM25" s="145"/>
      <c r="AN25" s="145"/>
      <c r="AO25" s="145"/>
      <c r="AP25" s="145"/>
      <c r="AQ25" s="145"/>
      <c r="AR25" s="145"/>
      <c r="AS25" s="145"/>
      <c r="AT25" s="145"/>
      <c r="AU25" s="145"/>
      <c r="AV25" s="145"/>
      <c r="AW25" s="145"/>
      <c r="AX25" s="145"/>
      <c r="AY25" s="145"/>
      <c r="AZ25" s="145"/>
      <c r="BA25" s="145"/>
      <c r="BB25" s="145"/>
      <c r="BC25" s="145"/>
      <c r="BD25" s="145"/>
      <c r="BE25" s="145"/>
      <c r="BF25" s="145"/>
      <c r="BG25" s="145"/>
      <c r="BH25" s="145"/>
      <c r="BI25" s="145"/>
      <c r="BJ25" s="145"/>
      <c r="BK25" s="145"/>
      <c r="BL25" s="145"/>
      <c r="BM25" s="145"/>
      <c r="BN25" s="145"/>
      <c r="BO25" s="145"/>
      <c r="BP25" s="145"/>
      <c r="BQ25" s="145"/>
      <c r="BR25" s="145"/>
      <c r="BS25" s="145"/>
      <c r="BT25" s="145"/>
      <c r="BU25" s="145"/>
      <c r="BV25" s="145"/>
      <c r="BW25" s="145"/>
      <c r="BX25" s="145"/>
      <c r="BY25" s="145"/>
      <c r="BZ25" s="145"/>
      <c r="CA25" s="145"/>
      <c r="CB25" s="145"/>
      <c r="CC25" s="145"/>
      <c r="CD25" s="145"/>
      <c r="CE25" s="145"/>
      <c r="CF25" s="145"/>
      <c r="CG25" s="145"/>
      <c r="CH25" s="145"/>
      <c r="CI25" s="145"/>
      <c r="CJ25" s="145"/>
      <c r="CK25" s="145"/>
      <c r="CL25" s="145"/>
      <c r="CM25" s="145"/>
      <c r="CN25" s="145"/>
      <c r="CO25" s="145"/>
      <c r="CP25" s="145"/>
      <c r="CQ25" s="145"/>
      <c r="CR25" s="145"/>
      <c r="CS25" s="145"/>
      <c r="CT25" s="145"/>
      <c r="CU25" s="145"/>
      <c r="CV25" s="145"/>
      <c r="CW25" s="145"/>
      <c r="CX25" s="145"/>
      <c r="CY25" s="145"/>
      <c r="CZ25" s="145"/>
      <c r="DA25" s="145"/>
      <c r="DB25" s="145"/>
      <c r="DC25" s="145"/>
      <c r="DD25" s="145"/>
      <c r="DE25" s="145"/>
      <c r="DF25" s="145"/>
      <c r="DG25" s="145"/>
      <c r="DH25" s="145"/>
      <c r="DI25" s="145"/>
      <c r="DJ25" s="145"/>
      <c r="DK25" s="145"/>
      <c r="DL25" s="145"/>
      <c r="DM25" s="145"/>
      <c r="DN25" s="145"/>
      <c r="DO25" s="145"/>
      <c r="DP25" s="145"/>
      <c r="DQ25" s="145"/>
      <c r="DR25" s="145"/>
      <c r="DT25" s="145">
        <f t="shared" si="7"/>
        <v>0</v>
      </c>
      <c r="DU25" s="145">
        <f t="shared" si="7"/>
        <v>0</v>
      </c>
      <c r="DV25" s="145">
        <f t="shared" si="7"/>
        <v>0</v>
      </c>
      <c r="DW25" s="145">
        <f t="shared" si="7"/>
        <v>0</v>
      </c>
      <c r="DX25" s="145">
        <f t="shared" si="7"/>
        <v>0</v>
      </c>
      <c r="DY25" s="145">
        <f t="shared" si="7"/>
        <v>0</v>
      </c>
      <c r="DZ25" s="145">
        <f t="shared" si="7"/>
        <v>0</v>
      </c>
      <c r="EA25" s="145">
        <f t="shared" si="7"/>
        <v>0</v>
      </c>
      <c r="EB25" s="145">
        <f t="shared" si="7"/>
        <v>0</v>
      </c>
      <c r="EC25" s="145">
        <f t="shared" si="7"/>
        <v>0</v>
      </c>
    </row>
    <row r="26" ht="14.5">
      <c r="A26" s="320" t="s">
        <v>1286</v>
      </c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4"/>
      <c r="AM26" s="144"/>
      <c r="AN26" s="144"/>
      <c r="AO26" s="144"/>
      <c r="AP26" s="144"/>
      <c r="AQ26" s="144"/>
      <c r="AR26" s="144"/>
      <c r="AS26" s="144"/>
      <c r="AT26" s="144"/>
      <c r="AU26" s="144"/>
      <c r="AV26" s="144"/>
      <c r="AW26" s="144"/>
      <c r="AX26" s="144"/>
      <c r="AY26" s="144"/>
      <c r="AZ26" s="144"/>
      <c r="BA26" s="144"/>
      <c r="BB26" s="144"/>
      <c r="BC26" s="144"/>
      <c r="BD26" s="144"/>
      <c r="BE26" s="144"/>
      <c r="BF26" s="144"/>
      <c r="BG26" s="144"/>
      <c r="BH26" s="144"/>
      <c r="BI26" s="144"/>
      <c r="BJ26" s="144"/>
      <c r="BK26" s="144"/>
      <c r="BL26" s="144"/>
      <c r="BM26" s="144"/>
      <c r="BN26" s="144"/>
      <c r="BO26" s="144"/>
      <c r="BP26" s="144"/>
      <c r="BQ26" s="144"/>
      <c r="BR26" s="144"/>
      <c r="BS26" s="144"/>
      <c r="BT26" s="144"/>
      <c r="BU26" s="144"/>
      <c r="BV26" s="144"/>
      <c r="BW26" s="144"/>
      <c r="BX26" s="144"/>
      <c r="BY26" s="144"/>
      <c r="BZ26" s="144"/>
      <c r="CA26" s="144"/>
      <c r="CB26" s="144"/>
      <c r="CC26" s="144"/>
      <c r="CD26" s="144"/>
      <c r="CE26" s="144"/>
      <c r="CF26" s="144"/>
      <c r="CG26" s="144"/>
      <c r="CH26" s="144"/>
      <c r="CI26" s="144"/>
      <c r="CJ26" s="144"/>
      <c r="CK26" s="144"/>
      <c r="CL26" s="144"/>
      <c r="CM26" s="144"/>
      <c r="CN26" s="144"/>
      <c r="CO26" s="144"/>
      <c r="CP26" s="144"/>
      <c r="CQ26" s="144"/>
      <c r="CR26" s="144"/>
      <c r="CS26" s="144"/>
      <c r="CT26" s="144"/>
      <c r="CU26" s="144"/>
      <c r="CV26" s="144"/>
      <c r="CW26" s="144"/>
      <c r="CX26" s="144"/>
      <c r="CY26" s="144"/>
      <c r="CZ26" s="144"/>
      <c r="DA26" s="144"/>
      <c r="DB26" s="144"/>
      <c r="DC26" s="144"/>
      <c r="DD26" s="144"/>
      <c r="DE26" s="144"/>
      <c r="DF26" s="144"/>
      <c r="DG26" s="144"/>
      <c r="DH26" s="144"/>
      <c r="DI26" s="144"/>
      <c r="DJ26" s="144"/>
      <c r="DK26" s="144"/>
      <c r="DL26" s="144"/>
      <c r="DM26" s="144"/>
      <c r="DN26" s="144"/>
      <c r="DO26" s="144"/>
      <c r="DP26" s="144"/>
      <c r="DQ26" s="144"/>
      <c r="DR26" s="144"/>
      <c r="DT26" s="145">
        <f t="shared" si="7"/>
        <v>0</v>
      </c>
      <c r="DU26" s="145">
        <f t="shared" si="7"/>
        <v>0</v>
      </c>
      <c r="DV26" s="145">
        <f t="shared" si="7"/>
        <v>0</v>
      </c>
      <c r="DW26" s="145">
        <f t="shared" si="7"/>
        <v>0</v>
      </c>
      <c r="DX26" s="145">
        <f t="shared" si="7"/>
        <v>0</v>
      </c>
      <c r="DY26" s="145">
        <f t="shared" si="7"/>
        <v>0</v>
      </c>
      <c r="DZ26" s="145">
        <f t="shared" si="7"/>
        <v>0</v>
      </c>
      <c r="EA26" s="145">
        <f t="shared" si="7"/>
        <v>0</v>
      </c>
      <c r="EB26" s="145">
        <f t="shared" si="7"/>
        <v>0</v>
      </c>
      <c r="EC26" s="145">
        <f t="shared" si="7"/>
        <v>0</v>
      </c>
    </row>
    <row r="27" ht="14.5">
      <c r="A27" s="320" t="s">
        <v>1287</v>
      </c>
      <c r="DF27"/>
      <c r="DG27"/>
      <c r="DH27"/>
      <c r="DI27"/>
      <c r="DJ27"/>
      <c r="DK27"/>
      <c r="DL27"/>
      <c r="DM27"/>
      <c r="DN27"/>
      <c r="DO27"/>
      <c r="DP27"/>
      <c r="DQ27"/>
      <c r="DR27"/>
      <c r="DT27" s="145">
        <f t="shared" si="7"/>
        <v>0</v>
      </c>
      <c r="DU27" s="145">
        <f t="shared" si="7"/>
        <v>0</v>
      </c>
      <c r="DV27" s="145">
        <f t="shared" si="7"/>
        <v>0</v>
      </c>
      <c r="DW27" s="145">
        <f t="shared" si="7"/>
        <v>0</v>
      </c>
      <c r="DX27" s="145">
        <f t="shared" si="7"/>
        <v>0</v>
      </c>
      <c r="DY27" s="145">
        <f t="shared" si="7"/>
        <v>0</v>
      </c>
      <c r="DZ27" s="145">
        <f t="shared" si="7"/>
        <v>0</v>
      </c>
      <c r="EA27" s="145">
        <f t="shared" si="7"/>
        <v>0</v>
      </c>
      <c r="EB27" s="145">
        <f t="shared" si="7"/>
        <v>0</v>
      </c>
      <c r="EC27" s="145">
        <f t="shared" si="7"/>
        <v>0</v>
      </c>
    </row>
    <row r="28" ht="14.5">
      <c r="A28" s="320" t="s">
        <v>1288</v>
      </c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4"/>
      <c r="AM28" s="144"/>
      <c r="AN28" s="144"/>
      <c r="AO28" s="144"/>
      <c r="AP28" s="144"/>
      <c r="AQ28" s="144"/>
      <c r="AR28" s="144"/>
      <c r="AS28" s="144"/>
      <c r="AT28" s="144"/>
      <c r="AU28" s="144"/>
      <c r="AV28" s="144"/>
      <c r="AW28" s="144"/>
      <c r="AX28" s="144"/>
      <c r="AY28" s="144"/>
      <c r="AZ28" s="144"/>
      <c r="BA28" s="144"/>
      <c r="BB28" s="144"/>
      <c r="BC28" s="144"/>
      <c r="BD28" s="144"/>
      <c r="BE28" s="144"/>
      <c r="BF28" s="144"/>
      <c r="BG28" s="144"/>
      <c r="BH28" s="144"/>
      <c r="BI28" s="144"/>
      <c r="BJ28" s="144"/>
      <c r="BK28" s="144"/>
      <c r="BL28" s="144"/>
      <c r="BM28" s="144"/>
      <c r="BN28" s="144"/>
      <c r="BO28" s="144"/>
      <c r="BP28" s="144"/>
      <c r="BQ28" s="144"/>
      <c r="BR28" s="144"/>
      <c r="BS28" s="144"/>
      <c r="BT28" s="144"/>
      <c r="BU28" s="144"/>
      <c r="BV28" s="144"/>
      <c r="BW28" s="144"/>
      <c r="BX28" s="144"/>
      <c r="BY28" s="144"/>
      <c r="BZ28" s="144"/>
      <c r="CA28" s="144"/>
      <c r="CB28" s="144"/>
      <c r="CC28" s="144"/>
      <c r="CD28" s="144"/>
      <c r="CE28" s="144"/>
      <c r="CF28" s="144"/>
      <c r="CG28" s="144"/>
      <c r="CH28" s="144"/>
      <c r="CI28" s="144"/>
      <c r="CJ28" s="144"/>
      <c r="CK28" s="144"/>
      <c r="CL28" s="144"/>
      <c r="CM28" s="144"/>
      <c r="CN28" s="144"/>
      <c r="CO28" s="144"/>
      <c r="CP28" s="144"/>
      <c r="CQ28" s="144"/>
      <c r="CR28" s="144"/>
      <c r="CS28" s="144"/>
      <c r="CT28" s="144"/>
      <c r="CU28" s="144"/>
      <c r="CV28" s="144"/>
      <c r="CW28" s="144"/>
      <c r="CX28" s="144"/>
      <c r="CY28" s="144"/>
      <c r="CZ28" s="144"/>
      <c r="DA28" s="144"/>
      <c r="DB28" s="144"/>
      <c r="DC28" s="144"/>
      <c r="DD28" s="144"/>
      <c r="DE28" s="144"/>
      <c r="DF28" s="144"/>
      <c r="DG28" s="144"/>
      <c r="DH28" s="144"/>
      <c r="DI28" s="144"/>
      <c r="DJ28" s="144"/>
      <c r="DK28" s="144"/>
      <c r="DL28" s="144"/>
      <c r="DM28" s="144"/>
      <c r="DN28" s="144"/>
      <c r="DO28" s="144"/>
      <c r="DP28" s="144"/>
      <c r="DQ28" s="144"/>
      <c r="DR28" s="144"/>
      <c r="DT28" s="145">
        <f t="shared" si="7"/>
        <v>0</v>
      </c>
      <c r="DU28" s="145">
        <f t="shared" si="7"/>
        <v>0</v>
      </c>
      <c r="DV28" s="145">
        <f t="shared" si="7"/>
        <v>0</v>
      </c>
      <c r="DW28" s="145">
        <f t="shared" si="7"/>
        <v>0</v>
      </c>
      <c r="DX28" s="145">
        <f t="shared" si="7"/>
        <v>0</v>
      </c>
      <c r="DY28" s="145">
        <f t="shared" si="7"/>
        <v>0</v>
      </c>
      <c r="DZ28" s="145">
        <f t="shared" si="7"/>
        <v>0</v>
      </c>
      <c r="EA28" s="145">
        <f t="shared" si="7"/>
        <v>0</v>
      </c>
      <c r="EB28" s="145">
        <f t="shared" si="7"/>
        <v>0</v>
      </c>
      <c r="EC28" s="145">
        <f t="shared" si="7"/>
        <v>0</v>
      </c>
    </row>
    <row r="29" ht="14.5">
      <c r="A29" s="320" t="s">
        <v>1289</v>
      </c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4"/>
      <c r="AM29" s="144"/>
      <c r="AN29" s="144"/>
      <c r="AO29" s="144"/>
      <c r="AP29" s="144"/>
      <c r="AQ29" s="144"/>
      <c r="AR29" s="144"/>
      <c r="AS29" s="144"/>
      <c r="AT29" s="144"/>
      <c r="AU29" s="144"/>
      <c r="AV29" s="144"/>
      <c r="AW29" s="144"/>
      <c r="AX29" s="144"/>
      <c r="AY29" s="144"/>
      <c r="AZ29" s="144"/>
      <c r="BA29" s="144"/>
      <c r="BB29" s="144"/>
      <c r="BC29" s="144"/>
      <c r="BD29" s="144"/>
      <c r="BE29" s="144"/>
      <c r="BF29" s="144"/>
      <c r="BG29" s="144"/>
      <c r="BH29" s="144"/>
      <c r="BI29" s="144"/>
      <c r="BJ29" s="144"/>
      <c r="BK29" s="144"/>
      <c r="BL29" s="144"/>
      <c r="BM29" s="144"/>
      <c r="BN29" s="144"/>
      <c r="BO29" s="144"/>
      <c r="BP29" s="144"/>
      <c r="BQ29" s="144"/>
      <c r="BR29" s="144"/>
      <c r="BS29" s="144"/>
      <c r="BT29" s="144"/>
      <c r="BU29" s="144"/>
      <c r="BV29" s="144"/>
      <c r="BW29" s="144"/>
      <c r="BX29" s="144"/>
      <c r="BY29" s="144"/>
      <c r="BZ29" s="144"/>
      <c r="CA29" s="144"/>
      <c r="CB29" s="144"/>
      <c r="CC29" s="144"/>
      <c r="CD29" s="144"/>
      <c r="CE29" s="144"/>
      <c r="CF29" s="144"/>
      <c r="CG29" s="144"/>
      <c r="CH29" s="144"/>
      <c r="CI29" s="144"/>
      <c r="CJ29" s="144"/>
      <c r="CK29" s="144"/>
      <c r="CL29" s="144"/>
      <c r="CM29" s="144"/>
      <c r="CN29" s="144"/>
      <c r="CO29" s="144"/>
      <c r="CP29" s="144"/>
      <c r="CQ29" s="144"/>
      <c r="CR29" s="144"/>
      <c r="CS29" s="144"/>
      <c r="CT29" s="144"/>
      <c r="CU29" s="144"/>
      <c r="CV29" s="144"/>
      <c r="CW29" s="144"/>
      <c r="CX29" s="144"/>
      <c r="CY29" s="144"/>
      <c r="CZ29" s="144"/>
      <c r="DA29" s="144"/>
      <c r="DB29" s="144"/>
      <c r="DC29" s="144"/>
      <c r="DD29" s="144"/>
      <c r="DE29" s="144"/>
      <c r="DF29" s="144"/>
      <c r="DG29" s="144"/>
      <c r="DH29" s="144"/>
      <c r="DI29" s="144"/>
      <c r="DJ29" s="144"/>
      <c r="DK29" s="144"/>
      <c r="DL29" s="144"/>
      <c r="DM29" s="144"/>
      <c r="DN29" s="144"/>
      <c r="DO29" s="144"/>
      <c r="DP29" s="144"/>
      <c r="DQ29" s="144"/>
      <c r="DR29" s="144"/>
      <c r="DT29" s="145">
        <f t="shared" si="7"/>
        <v>0</v>
      </c>
      <c r="DU29" s="145">
        <f t="shared" si="7"/>
        <v>0</v>
      </c>
      <c r="DV29" s="145">
        <f t="shared" si="7"/>
        <v>0</v>
      </c>
      <c r="DW29" s="145">
        <f t="shared" si="7"/>
        <v>0</v>
      </c>
      <c r="DX29" s="145">
        <f t="shared" si="7"/>
        <v>0</v>
      </c>
      <c r="DY29" s="145">
        <f t="shared" si="7"/>
        <v>0</v>
      </c>
      <c r="DZ29" s="145">
        <f t="shared" si="7"/>
        <v>0</v>
      </c>
      <c r="EA29" s="145">
        <f t="shared" si="7"/>
        <v>0</v>
      </c>
      <c r="EB29" s="145">
        <f t="shared" si="7"/>
        <v>0</v>
      </c>
      <c r="EC29" s="145">
        <f t="shared" si="7"/>
        <v>0</v>
      </c>
    </row>
    <row r="30" ht="14.5">
      <c r="A30" s="320" t="s">
        <v>1290</v>
      </c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4"/>
      <c r="AM30" s="144"/>
      <c r="AN30" s="144"/>
      <c r="AO30" s="144"/>
      <c r="AP30" s="144"/>
      <c r="AQ30" s="144"/>
      <c r="AR30" s="144"/>
      <c r="AS30" s="144"/>
      <c r="AT30" s="144"/>
      <c r="AU30" s="144"/>
      <c r="AV30" s="144"/>
      <c r="AW30" s="144"/>
      <c r="AX30" s="144"/>
      <c r="AY30" s="144"/>
      <c r="AZ30" s="144"/>
      <c r="BA30" s="144"/>
      <c r="BB30" s="144"/>
      <c r="BC30" s="144"/>
      <c r="BD30" s="144"/>
      <c r="BE30" s="144"/>
      <c r="BF30" s="144"/>
      <c r="BG30" s="144"/>
      <c r="BH30" s="144"/>
      <c r="BI30" s="144"/>
      <c r="BJ30" s="144"/>
      <c r="BK30" s="144"/>
      <c r="BL30" s="144"/>
      <c r="BM30" s="144"/>
      <c r="BN30" s="144"/>
      <c r="BO30" s="144"/>
      <c r="BP30" s="144"/>
      <c r="BQ30" s="144"/>
      <c r="BR30" s="144"/>
      <c r="BS30" s="144"/>
      <c r="BT30" s="144"/>
      <c r="BU30" s="144"/>
      <c r="BV30" s="144"/>
      <c r="BW30" s="144"/>
      <c r="BX30" s="144"/>
      <c r="BY30" s="144"/>
      <c r="BZ30" s="144"/>
      <c r="CA30" s="144"/>
      <c r="CB30" s="144"/>
      <c r="CC30" s="144"/>
      <c r="CD30" s="144"/>
      <c r="CE30" s="144"/>
      <c r="CF30" s="144"/>
      <c r="CG30" s="144"/>
      <c r="CH30" s="144"/>
      <c r="CI30" s="144"/>
      <c r="CJ30" s="144"/>
      <c r="CK30" s="144"/>
      <c r="CL30" s="144"/>
      <c r="CM30" s="144"/>
      <c r="CN30" s="144"/>
      <c r="CO30" s="144"/>
      <c r="CP30" s="144"/>
      <c r="CQ30" s="144"/>
      <c r="CR30" s="144"/>
      <c r="CS30" s="144"/>
      <c r="CT30" s="144"/>
      <c r="CU30" s="144"/>
      <c r="CV30" s="144"/>
      <c r="CW30" s="144"/>
      <c r="CX30" s="144"/>
      <c r="CY30" s="144"/>
      <c r="CZ30" s="144"/>
      <c r="DA30" s="144"/>
      <c r="DB30" s="144"/>
      <c r="DC30" s="144"/>
      <c r="DD30" s="144"/>
      <c r="DE30" s="144"/>
      <c r="DF30" s="144"/>
      <c r="DG30" s="144"/>
      <c r="DH30" s="144"/>
      <c r="DI30" s="144"/>
      <c r="DJ30" s="144"/>
      <c r="DK30" s="144"/>
      <c r="DL30" s="144"/>
      <c r="DM30" s="144"/>
      <c r="DN30" s="144"/>
      <c r="DO30" s="144"/>
      <c r="DP30" s="144"/>
      <c r="DQ30" s="144"/>
      <c r="DR30" s="144"/>
      <c r="DT30" s="145">
        <f t="shared" si="7"/>
        <v>0</v>
      </c>
      <c r="DU30" s="145">
        <f t="shared" si="7"/>
        <v>0</v>
      </c>
      <c r="DV30" s="145">
        <f t="shared" si="7"/>
        <v>0</v>
      </c>
      <c r="DW30" s="145">
        <f t="shared" si="7"/>
        <v>0</v>
      </c>
      <c r="DX30" s="145">
        <f t="shared" si="7"/>
        <v>0</v>
      </c>
      <c r="DY30" s="145">
        <f t="shared" si="7"/>
        <v>0</v>
      </c>
      <c r="DZ30" s="145">
        <f t="shared" si="7"/>
        <v>0</v>
      </c>
      <c r="EA30" s="145">
        <f t="shared" si="7"/>
        <v>0</v>
      </c>
      <c r="EB30" s="145">
        <f t="shared" si="7"/>
        <v>0</v>
      </c>
      <c r="EC30" s="145">
        <f t="shared" si="7"/>
        <v>0</v>
      </c>
    </row>
    <row r="31" ht="14.5">
      <c r="A31" s="320" t="s">
        <v>1291</v>
      </c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4"/>
      <c r="AM31" s="144"/>
      <c r="AN31" s="144"/>
      <c r="AO31" s="144"/>
      <c r="AP31" s="144"/>
      <c r="AQ31" s="144"/>
      <c r="AR31" s="144"/>
      <c r="AS31" s="144"/>
      <c r="AT31" s="144"/>
      <c r="AU31" s="144"/>
      <c r="AV31" s="144"/>
      <c r="AW31" s="144"/>
      <c r="AX31" s="144"/>
      <c r="AY31" s="144"/>
      <c r="AZ31" s="144"/>
      <c r="BA31" s="144"/>
      <c r="BB31" s="144"/>
      <c r="BC31" s="144"/>
      <c r="BD31" s="144"/>
      <c r="BE31" s="144"/>
      <c r="BF31" s="144"/>
      <c r="BG31" s="144"/>
      <c r="BH31" s="144"/>
      <c r="BI31" s="144"/>
      <c r="BJ31" s="144"/>
      <c r="BK31" s="144"/>
      <c r="BL31" s="144"/>
      <c r="BM31" s="144"/>
      <c r="BN31" s="144"/>
      <c r="BO31" s="144"/>
      <c r="BP31" s="144"/>
      <c r="BQ31" s="144"/>
      <c r="BR31" s="144"/>
      <c r="BS31" s="144"/>
      <c r="BT31" s="144"/>
      <c r="BU31" s="144"/>
      <c r="BV31" s="144"/>
      <c r="BW31" s="144"/>
      <c r="BX31" s="144"/>
      <c r="BY31" s="144"/>
      <c r="BZ31" s="144"/>
      <c r="CA31" s="144"/>
      <c r="CB31" s="144"/>
      <c r="CC31" s="144"/>
      <c r="CD31" s="144"/>
      <c r="CE31" s="144"/>
      <c r="CF31" s="144"/>
      <c r="CG31" s="144"/>
      <c r="CH31" s="144"/>
      <c r="CI31" s="144"/>
      <c r="CJ31" s="144"/>
      <c r="CK31" s="144"/>
      <c r="CL31" s="144"/>
      <c r="CM31" s="144"/>
      <c r="CN31" s="144"/>
      <c r="CO31" s="144"/>
      <c r="CP31" s="144"/>
      <c r="CQ31" s="144"/>
      <c r="CR31" s="144"/>
      <c r="CS31" s="144"/>
      <c r="CT31" s="144"/>
      <c r="CU31" s="144"/>
      <c r="CV31" s="144"/>
      <c r="CW31" s="144"/>
      <c r="CX31" s="144"/>
      <c r="CY31" s="144"/>
      <c r="CZ31" s="144"/>
      <c r="DA31" s="144"/>
      <c r="DB31" s="144"/>
      <c r="DC31" s="144"/>
      <c r="DD31" s="144"/>
      <c r="DE31" s="144"/>
      <c r="DF31" s="144"/>
      <c r="DG31" s="144"/>
      <c r="DH31" s="144"/>
      <c r="DI31" s="144"/>
      <c r="DJ31" s="144"/>
      <c r="DK31" s="144"/>
      <c r="DL31" s="144"/>
      <c r="DM31" s="144"/>
      <c r="DN31" s="144"/>
      <c r="DO31" s="144"/>
      <c r="DP31" s="144"/>
      <c r="DQ31" s="144"/>
      <c r="DR31" s="144"/>
      <c r="DT31" s="145">
        <f t="shared" si="7"/>
        <v>0</v>
      </c>
      <c r="DU31" s="145">
        <f t="shared" si="7"/>
        <v>0</v>
      </c>
      <c r="DV31" s="145">
        <f t="shared" si="7"/>
        <v>0</v>
      </c>
      <c r="DW31" s="145">
        <f t="shared" si="7"/>
        <v>0</v>
      </c>
      <c r="DX31" s="145">
        <f t="shared" si="7"/>
        <v>0</v>
      </c>
      <c r="DY31" s="145">
        <f t="shared" si="7"/>
        <v>0</v>
      </c>
      <c r="DZ31" s="145">
        <f t="shared" si="7"/>
        <v>0</v>
      </c>
      <c r="EA31" s="145">
        <f t="shared" si="7"/>
        <v>0</v>
      </c>
      <c r="EB31" s="145">
        <f t="shared" si="7"/>
        <v>0</v>
      </c>
      <c r="EC31" s="145">
        <f t="shared" si="7"/>
        <v>0</v>
      </c>
    </row>
    <row r="32" ht="14.5">
      <c r="A32" s="320" t="s">
        <v>1292</v>
      </c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  <c r="AJ32" s="144"/>
      <c r="AK32" s="144"/>
      <c r="AL32" s="144"/>
      <c r="AM32" s="144"/>
      <c r="AN32" s="144"/>
      <c r="AO32" s="144"/>
      <c r="AP32" s="144"/>
      <c r="AQ32" s="144"/>
      <c r="AR32" s="144"/>
      <c r="AS32" s="144"/>
      <c r="AT32" s="144"/>
      <c r="AU32" s="144"/>
      <c r="AV32" s="144"/>
      <c r="AW32" s="144"/>
      <c r="AX32" s="144"/>
      <c r="AY32" s="144"/>
      <c r="AZ32" s="144"/>
      <c r="BA32" s="144"/>
      <c r="BB32" s="144"/>
      <c r="BC32" s="144"/>
      <c r="BD32" s="144"/>
      <c r="BE32" s="144"/>
      <c r="BF32" s="144"/>
      <c r="BG32" s="144"/>
      <c r="BH32" s="144"/>
      <c r="BI32" s="144"/>
      <c r="BJ32" s="144"/>
      <c r="BK32" s="144"/>
      <c r="BL32" s="144"/>
      <c r="BM32" s="144"/>
      <c r="BN32" s="144"/>
      <c r="BO32" s="144"/>
      <c r="BP32" s="144"/>
      <c r="BQ32" s="144"/>
      <c r="BR32" s="144"/>
      <c r="BS32" s="144"/>
      <c r="BT32" s="144"/>
      <c r="BU32" s="144"/>
      <c r="BV32" s="144"/>
      <c r="BW32" s="144"/>
      <c r="BX32" s="144"/>
      <c r="BY32" s="144"/>
      <c r="BZ32" s="144"/>
      <c r="CA32" s="144"/>
      <c r="CB32" s="144"/>
      <c r="CC32" s="144"/>
      <c r="CD32" s="144"/>
      <c r="CE32" s="144"/>
      <c r="CF32" s="144"/>
      <c r="CG32" s="144"/>
      <c r="CH32" s="144"/>
      <c r="CI32" s="144"/>
      <c r="CJ32" s="144"/>
      <c r="CK32" s="144"/>
      <c r="CL32" s="144"/>
      <c r="CM32" s="144"/>
      <c r="CN32" s="144"/>
      <c r="CO32" s="144"/>
      <c r="CP32" s="144"/>
      <c r="CQ32" s="144"/>
      <c r="CR32" s="144"/>
      <c r="CS32" s="144"/>
      <c r="CT32" s="144"/>
      <c r="CU32" s="144"/>
      <c r="CV32" s="144"/>
      <c r="CW32" s="144"/>
      <c r="CX32" s="144"/>
      <c r="CY32" s="144"/>
      <c r="CZ32" s="144"/>
      <c r="DA32" s="144"/>
      <c r="DB32" s="144"/>
      <c r="DC32" s="144"/>
      <c r="DD32" s="144"/>
      <c r="DE32" s="144"/>
      <c r="DF32" s="144"/>
      <c r="DG32" s="144"/>
      <c r="DH32" s="144"/>
      <c r="DI32" s="144"/>
      <c r="DJ32" s="144"/>
      <c r="DK32" s="144"/>
      <c r="DL32" s="144"/>
      <c r="DM32" s="144"/>
      <c r="DN32" s="144"/>
      <c r="DO32" s="144"/>
      <c r="DP32" s="144"/>
      <c r="DQ32" s="144"/>
      <c r="DR32" s="144"/>
      <c r="DT32" s="145">
        <f t="shared" si="7"/>
        <v>0</v>
      </c>
      <c r="DU32" s="145">
        <f t="shared" si="7"/>
        <v>0</v>
      </c>
      <c r="DV32" s="145">
        <f t="shared" si="7"/>
        <v>0</v>
      </c>
      <c r="DW32" s="145">
        <f t="shared" si="7"/>
        <v>0</v>
      </c>
      <c r="DX32" s="145">
        <f t="shared" si="7"/>
        <v>0</v>
      </c>
      <c r="DY32" s="145">
        <f t="shared" si="7"/>
        <v>0</v>
      </c>
      <c r="DZ32" s="145">
        <f t="shared" si="7"/>
        <v>0</v>
      </c>
      <c r="EA32" s="145">
        <f t="shared" si="7"/>
        <v>0</v>
      </c>
      <c r="EB32" s="145">
        <f t="shared" si="7"/>
        <v>0</v>
      </c>
      <c r="EC32" s="145">
        <f t="shared" si="7"/>
        <v>0</v>
      </c>
    </row>
    <row r="33" ht="14.5">
      <c r="A33" s="320" t="s">
        <v>1293</v>
      </c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144"/>
      <c r="AN33" s="144"/>
      <c r="AO33" s="144"/>
      <c r="AP33" s="144"/>
      <c r="AQ33" s="144"/>
      <c r="AR33" s="144"/>
      <c r="AS33" s="144"/>
      <c r="AT33" s="144"/>
      <c r="AU33" s="144"/>
      <c r="AV33" s="144"/>
      <c r="AW33" s="144"/>
      <c r="AX33" s="144"/>
      <c r="AY33" s="144"/>
      <c r="AZ33" s="144"/>
      <c r="BA33" s="144"/>
      <c r="BB33" s="144"/>
      <c r="BC33" s="144"/>
      <c r="BD33" s="144"/>
      <c r="BE33" s="144"/>
      <c r="BF33" s="144"/>
      <c r="BG33" s="144"/>
      <c r="BH33" s="144"/>
      <c r="BI33" s="144"/>
      <c r="BJ33" s="144"/>
      <c r="BK33" s="144"/>
      <c r="BL33" s="144"/>
      <c r="BM33" s="144"/>
      <c r="BN33" s="144"/>
      <c r="BO33" s="144"/>
      <c r="BP33" s="144"/>
      <c r="BQ33" s="144"/>
      <c r="BR33" s="144"/>
      <c r="BS33" s="144"/>
      <c r="BT33" s="144"/>
      <c r="BU33" s="144"/>
      <c r="BV33" s="144"/>
      <c r="BW33" s="144"/>
      <c r="BX33" s="144"/>
      <c r="BY33" s="144"/>
      <c r="BZ33" s="144"/>
      <c r="CA33" s="144"/>
      <c r="CB33" s="144"/>
      <c r="CC33" s="144"/>
      <c r="CD33" s="144"/>
      <c r="CE33" s="144"/>
      <c r="CF33" s="144"/>
      <c r="CG33" s="144"/>
      <c r="CH33" s="144"/>
      <c r="CI33" s="144"/>
      <c r="CJ33" s="144"/>
      <c r="CK33" s="144"/>
      <c r="CL33" s="144"/>
      <c r="CM33" s="144"/>
      <c r="CN33" s="144"/>
      <c r="CO33" s="144"/>
      <c r="CP33" s="144"/>
      <c r="CQ33" s="144"/>
      <c r="CR33" s="144"/>
      <c r="CS33" s="144"/>
      <c r="CT33" s="144"/>
      <c r="CU33" s="144"/>
      <c r="CV33" s="144"/>
      <c r="CW33" s="144"/>
      <c r="CX33" s="144"/>
      <c r="CY33" s="144"/>
      <c r="CZ33" s="144"/>
      <c r="DA33" s="144"/>
      <c r="DB33" s="144"/>
      <c r="DC33" s="144"/>
      <c r="DD33" s="144"/>
      <c r="DE33" s="144"/>
      <c r="DF33" s="144"/>
      <c r="DG33" s="144"/>
      <c r="DH33" s="144"/>
      <c r="DI33" s="144"/>
      <c r="DJ33" s="144"/>
      <c r="DK33" s="144"/>
      <c r="DL33" s="144"/>
      <c r="DM33" s="144"/>
      <c r="DN33" s="144"/>
      <c r="DO33" s="144"/>
      <c r="DP33" s="144"/>
      <c r="DQ33" s="144"/>
      <c r="DR33" s="144"/>
      <c r="DT33" s="145">
        <f t="shared" si="7"/>
        <v>0</v>
      </c>
      <c r="DU33" s="145">
        <f t="shared" si="7"/>
        <v>0</v>
      </c>
      <c r="DV33" s="145">
        <f t="shared" si="7"/>
        <v>0</v>
      </c>
      <c r="DW33" s="145">
        <f t="shared" si="7"/>
        <v>0</v>
      </c>
      <c r="DX33" s="145">
        <f t="shared" si="7"/>
        <v>0</v>
      </c>
      <c r="DY33" s="145">
        <f t="shared" si="7"/>
        <v>0</v>
      </c>
      <c r="DZ33" s="145">
        <f t="shared" si="7"/>
        <v>0</v>
      </c>
      <c r="EA33" s="145">
        <f t="shared" si="7"/>
        <v>0</v>
      </c>
      <c r="EB33" s="145">
        <f t="shared" si="7"/>
        <v>0</v>
      </c>
      <c r="EC33" s="145">
        <f t="shared" si="7"/>
        <v>0</v>
      </c>
    </row>
    <row r="34" ht="14.5">
      <c r="A34" s="320" t="s">
        <v>1294</v>
      </c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4"/>
      <c r="AM34" s="144"/>
      <c r="AN34" s="144"/>
      <c r="AO34" s="144"/>
      <c r="AP34" s="144"/>
      <c r="AQ34" s="144"/>
      <c r="AR34" s="144"/>
      <c r="AS34" s="144"/>
      <c r="AT34" s="144"/>
      <c r="AU34" s="144"/>
      <c r="AV34" s="144"/>
      <c r="AW34" s="144"/>
      <c r="AX34" s="144"/>
      <c r="AY34" s="144"/>
      <c r="AZ34" s="144"/>
      <c r="BA34" s="144"/>
      <c r="BB34" s="144"/>
      <c r="BC34" s="144"/>
      <c r="BD34" s="144"/>
      <c r="BE34" s="144"/>
      <c r="BF34" s="144"/>
      <c r="BG34" s="144"/>
      <c r="BH34" s="144"/>
      <c r="BI34" s="144"/>
      <c r="BJ34" s="144"/>
      <c r="BK34" s="144"/>
      <c r="BL34" s="144"/>
      <c r="BM34" s="144"/>
      <c r="BN34" s="144"/>
      <c r="BO34" s="144"/>
      <c r="BP34" s="144"/>
      <c r="BQ34" s="144"/>
      <c r="BR34" s="144"/>
      <c r="BS34" s="144"/>
      <c r="BT34" s="144"/>
      <c r="BU34" s="144"/>
      <c r="BV34" s="144"/>
      <c r="BW34" s="144"/>
      <c r="BX34" s="144"/>
      <c r="BY34" s="144"/>
      <c r="BZ34" s="144"/>
      <c r="CA34" s="144"/>
      <c r="CB34" s="144"/>
      <c r="CC34" s="144"/>
      <c r="CD34" s="144"/>
      <c r="CE34" s="144"/>
      <c r="CF34" s="144"/>
      <c r="CG34" s="144"/>
      <c r="CH34" s="144"/>
      <c r="CI34" s="144"/>
      <c r="CJ34" s="144"/>
      <c r="CK34" s="144"/>
      <c r="CL34" s="144"/>
      <c r="CM34" s="144"/>
      <c r="CN34" s="144"/>
      <c r="CO34" s="144"/>
      <c r="CP34" s="144"/>
      <c r="CQ34" s="144"/>
      <c r="CR34" s="144"/>
      <c r="CS34" s="144"/>
      <c r="CT34" s="144"/>
      <c r="CU34" s="144"/>
      <c r="CV34" s="144"/>
      <c r="CW34" s="144"/>
      <c r="CX34" s="144"/>
      <c r="CY34" s="144"/>
      <c r="CZ34" s="144"/>
      <c r="DA34" s="144"/>
      <c r="DB34" s="144"/>
      <c r="DC34" s="144"/>
      <c r="DD34" s="144"/>
      <c r="DE34" s="144"/>
      <c r="DF34" s="144"/>
      <c r="DG34" s="144"/>
      <c r="DH34" s="144"/>
      <c r="DI34" s="144"/>
      <c r="DJ34" s="144"/>
      <c r="DK34" s="144"/>
      <c r="DL34" s="144"/>
      <c r="DM34" s="144"/>
      <c r="DN34" s="144"/>
      <c r="DO34" s="144"/>
      <c r="DP34" s="144"/>
      <c r="DQ34" s="144"/>
      <c r="DR34" s="144"/>
      <c r="DT34" s="145">
        <f t="shared" si="7"/>
        <v>0</v>
      </c>
      <c r="DU34" s="145">
        <f t="shared" si="7"/>
        <v>0</v>
      </c>
      <c r="DV34" s="145">
        <f t="shared" si="7"/>
        <v>0</v>
      </c>
      <c r="DW34" s="145">
        <f t="shared" si="7"/>
        <v>0</v>
      </c>
      <c r="DX34" s="145">
        <f t="shared" si="7"/>
        <v>0</v>
      </c>
      <c r="DY34" s="145">
        <f t="shared" si="7"/>
        <v>0</v>
      </c>
      <c r="DZ34" s="145">
        <f t="shared" si="7"/>
        <v>0</v>
      </c>
      <c r="EA34" s="145">
        <f t="shared" si="7"/>
        <v>0</v>
      </c>
      <c r="EB34" s="145">
        <f t="shared" si="7"/>
        <v>0</v>
      </c>
      <c r="EC34" s="145">
        <f t="shared" si="7"/>
        <v>0</v>
      </c>
    </row>
    <row r="35" ht="14.5">
      <c r="A35" s="320" t="s">
        <v>1295</v>
      </c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  <c r="AA35" s="144"/>
      <c r="AB35" s="144"/>
      <c r="AC35" s="144"/>
      <c r="AD35" s="144"/>
      <c r="AE35" s="144"/>
      <c r="AF35" s="144"/>
      <c r="AG35" s="144"/>
      <c r="AH35" s="144"/>
      <c r="AI35" s="144"/>
      <c r="AJ35" s="144"/>
      <c r="AK35" s="144"/>
      <c r="AL35" s="144"/>
      <c r="AM35" s="144"/>
      <c r="AN35" s="144"/>
      <c r="AO35" s="144"/>
      <c r="AP35" s="144"/>
      <c r="AQ35" s="144"/>
      <c r="AR35" s="144"/>
      <c r="AS35" s="144"/>
      <c r="AT35" s="144"/>
      <c r="AU35" s="144"/>
      <c r="AV35" s="144"/>
      <c r="AW35" s="144"/>
      <c r="AX35" s="144"/>
      <c r="AY35" s="144"/>
      <c r="AZ35" s="144"/>
      <c r="BA35" s="144"/>
      <c r="BB35" s="144"/>
      <c r="BC35" s="144"/>
      <c r="BD35" s="144"/>
      <c r="BE35" s="144"/>
      <c r="BF35" s="144"/>
      <c r="BG35" s="144"/>
      <c r="BH35" s="144"/>
      <c r="BI35" s="144"/>
      <c r="BJ35" s="144"/>
      <c r="BK35" s="144"/>
      <c r="BL35" s="144"/>
      <c r="BM35" s="144"/>
      <c r="BN35" s="144"/>
      <c r="BO35" s="144"/>
      <c r="BP35" s="144"/>
      <c r="BQ35" s="144"/>
      <c r="BR35" s="144"/>
      <c r="BS35" s="144"/>
      <c r="BT35" s="144"/>
      <c r="BU35" s="144"/>
      <c r="BV35" s="144"/>
      <c r="BW35" s="144"/>
      <c r="BX35" s="144"/>
      <c r="BY35" s="144"/>
      <c r="BZ35" s="144"/>
      <c r="CA35" s="144"/>
      <c r="CB35" s="144"/>
      <c r="CC35" s="144"/>
      <c r="CD35" s="144"/>
      <c r="CE35" s="144"/>
      <c r="CF35" s="144"/>
      <c r="CG35" s="144"/>
      <c r="CH35" s="144"/>
      <c r="CI35" s="144"/>
      <c r="CJ35" s="144"/>
      <c r="CK35" s="144"/>
      <c r="CL35" s="144"/>
      <c r="CM35" s="144"/>
      <c r="CN35" s="144"/>
      <c r="CO35" s="144"/>
      <c r="CP35" s="144"/>
      <c r="CQ35" s="144"/>
      <c r="CR35" s="144"/>
      <c r="CS35" s="144"/>
      <c r="CT35" s="144"/>
      <c r="CU35" s="144"/>
      <c r="CV35" s="144"/>
      <c r="CW35" s="144"/>
      <c r="CX35" s="144"/>
      <c r="CY35" s="144"/>
      <c r="CZ35" s="144"/>
      <c r="DA35" s="144"/>
      <c r="DB35" s="144"/>
      <c r="DC35" s="144"/>
      <c r="DD35" s="144"/>
      <c r="DE35" s="144"/>
      <c r="DF35" s="144"/>
      <c r="DG35" s="144"/>
      <c r="DH35" s="144"/>
      <c r="DI35" s="144"/>
      <c r="DJ35" s="144"/>
      <c r="DK35" s="144"/>
      <c r="DL35" s="144"/>
      <c r="DM35" s="144"/>
      <c r="DN35" s="144"/>
      <c r="DO35" s="144"/>
      <c r="DP35" s="144"/>
      <c r="DQ35" s="144"/>
      <c r="DR35" s="144"/>
      <c r="DT35" s="145">
        <f t="shared" si="7"/>
        <v>0</v>
      </c>
      <c r="DU35" s="145">
        <f t="shared" si="7"/>
        <v>0</v>
      </c>
      <c r="DV35" s="145">
        <f t="shared" si="7"/>
        <v>0</v>
      </c>
      <c r="DW35" s="145">
        <f t="shared" si="7"/>
        <v>0</v>
      </c>
      <c r="DX35" s="145">
        <f t="shared" si="7"/>
        <v>0</v>
      </c>
      <c r="DY35" s="145">
        <f t="shared" si="7"/>
        <v>0</v>
      </c>
      <c r="DZ35" s="145">
        <f t="shared" si="7"/>
        <v>0</v>
      </c>
      <c r="EA35" s="145">
        <f t="shared" si="7"/>
        <v>0</v>
      </c>
      <c r="EB35" s="145">
        <f t="shared" si="7"/>
        <v>0</v>
      </c>
      <c r="EC35" s="145">
        <f t="shared" si="7"/>
        <v>0</v>
      </c>
    </row>
    <row r="36" ht="14.5">
      <c r="A36" s="320" t="s">
        <v>1296</v>
      </c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  <c r="AK36" s="144"/>
      <c r="AL36" s="144"/>
      <c r="AM36" s="144"/>
      <c r="AN36" s="144"/>
      <c r="AO36" s="144"/>
      <c r="AP36" s="144"/>
      <c r="AQ36" s="144"/>
      <c r="AR36" s="144"/>
      <c r="AS36" s="144"/>
      <c r="AT36" s="144"/>
      <c r="AU36" s="144"/>
      <c r="AV36" s="144"/>
      <c r="AW36" s="144"/>
      <c r="AX36" s="144"/>
      <c r="AY36" s="144"/>
      <c r="AZ36" s="144"/>
      <c r="BA36" s="144"/>
      <c r="BB36" s="144"/>
      <c r="BC36" s="144"/>
      <c r="BD36" s="144"/>
      <c r="BE36" s="144"/>
      <c r="BF36" s="144"/>
      <c r="BG36" s="144"/>
      <c r="BH36" s="144"/>
      <c r="BI36" s="144"/>
      <c r="BJ36" s="144"/>
      <c r="BK36" s="144"/>
      <c r="BL36" s="144"/>
      <c r="BM36" s="144"/>
      <c r="BN36" s="144"/>
      <c r="BO36" s="144"/>
      <c r="BP36" s="144"/>
      <c r="BQ36" s="144"/>
      <c r="BR36" s="144"/>
      <c r="BS36" s="144"/>
      <c r="BT36" s="144"/>
      <c r="BU36" s="144"/>
      <c r="BV36" s="144"/>
      <c r="BW36" s="144"/>
      <c r="BX36" s="144"/>
      <c r="BY36" s="144"/>
      <c r="BZ36" s="144"/>
      <c r="CA36" s="144"/>
      <c r="CB36" s="144"/>
      <c r="CC36" s="144"/>
      <c r="CD36" s="144"/>
      <c r="CE36" s="144"/>
      <c r="CF36" s="144"/>
      <c r="CG36" s="144"/>
      <c r="CH36" s="144"/>
      <c r="CI36" s="144"/>
      <c r="CJ36" s="144"/>
      <c r="CK36" s="144"/>
      <c r="CL36" s="144"/>
      <c r="CM36" s="144"/>
      <c r="CN36" s="144"/>
      <c r="CO36" s="144"/>
      <c r="CP36" s="144"/>
      <c r="CQ36" s="144"/>
      <c r="CR36" s="144"/>
      <c r="CS36" s="144"/>
      <c r="CT36" s="144"/>
      <c r="CU36" s="144"/>
      <c r="CV36" s="144"/>
      <c r="CW36" s="144"/>
      <c r="CX36" s="144"/>
      <c r="CY36" s="144"/>
      <c r="CZ36" s="144"/>
      <c r="DA36" s="144"/>
      <c r="DB36" s="144"/>
      <c r="DC36" s="144"/>
      <c r="DD36" s="144"/>
      <c r="DE36" s="144"/>
      <c r="DF36" s="144"/>
      <c r="DG36" s="144"/>
      <c r="DH36" s="144"/>
      <c r="DI36" s="144"/>
      <c r="DJ36" s="144"/>
      <c r="DK36" s="144"/>
      <c r="DL36" s="144"/>
      <c r="DM36" s="144"/>
      <c r="DN36" s="144"/>
      <c r="DO36" s="144"/>
      <c r="DP36" s="144"/>
      <c r="DQ36" s="144"/>
      <c r="DR36" s="144"/>
      <c r="DT36" s="145">
        <f t="shared" si="7"/>
        <v>0</v>
      </c>
      <c r="DU36" s="145">
        <f t="shared" si="7"/>
        <v>0</v>
      </c>
      <c r="DV36" s="145">
        <f t="shared" si="7"/>
        <v>0</v>
      </c>
      <c r="DW36" s="145">
        <f t="shared" si="7"/>
        <v>0</v>
      </c>
      <c r="DX36" s="145">
        <f t="shared" si="7"/>
        <v>0</v>
      </c>
      <c r="DY36" s="145">
        <f t="shared" si="7"/>
        <v>0</v>
      </c>
      <c r="DZ36" s="145">
        <f t="shared" si="7"/>
        <v>0</v>
      </c>
      <c r="EA36" s="145">
        <f t="shared" si="7"/>
        <v>0</v>
      </c>
      <c r="EB36" s="145">
        <f t="shared" si="7"/>
        <v>0</v>
      </c>
      <c r="EC36" s="145">
        <f t="shared" si="7"/>
        <v>0</v>
      </c>
    </row>
    <row r="37" ht="14.5">
      <c r="A37" s="320" t="s">
        <v>982</v>
      </c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44"/>
      <c r="V37" s="144"/>
      <c r="W37" s="144"/>
      <c r="X37" s="144"/>
      <c r="Y37" s="144"/>
      <c r="Z37" s="144"/>
      <c r="AA37" s="144"/>
      <c r="AB37" s="144"/>
      <c r="AC37" s="144"/>
      <c r="AD37" s="144"/>
      <c r="AE37" s="144"/>
      <c r="AF37" s="144"/>
      <c r="AG37" s="144"/>
      <c r="AH37" s="144"/>
      <c r="AI37" s="144"/>
      <c r="AJ37" s="144"/>
      <c r="AK37" s="144"/>
      <c r="AL37" s="144"/>
      <c r="AM37" s="144"/>
      <c r="AN37" s="144"/>
      <c r="AO37" s="144"/>
      <c r="AP37" s="144"/>
      <c r="AQ37" s="144"/>
      <c r="AR37" s="144"/>
      <c r="AS37" s="144"/>
      <c r="AT37" s="144"/>
      <c r="AU37" s="144"/>
      <c r="AV37" s="144"/>
      <c r="AW37" s="144"/>
      <c r="AX37" s="144"/>
      <c r="AY37" s="144"/>
      <c r="AZ37" s="144"/>
      <c r="BA37" s="144"/>
      <c r="BB37" s="144"/>
      <c r="BC37" s="144"/>
      <c r="BD37" s="144"/>
      <c r="BE37" s="144"/>
      <c r="BF37" s="144"/>
      <c r="BG37" s="144"/>
      <c r="BH37" s="144"/>
      <c r="BI37" s="144"/>
      <c r="BJ37" s="144"/>
      <c r="BK37" s="144"/>
      <c r="BL37" s="144"/>
      <c r="BM37" s="144"/>
      <c r="BN37" s="144"/>
      <c r="BO37" s="144"/>
      <c r="BP37" s="144"/>
      <c r="BQ37" s="144"/>
      <c r="BR37" s="144"/>
      <c r="BS37" s="144"/>
      <c r="BT37" s="144"/>
      <c r="BU37" s="144"/>
      <c r="BV37" s="144"/>
      <c r="BW37" s="144"/>
      <c r="BX37" s="144"/>
      <c r="BY37" s="144"/>
      <c r="BZ37" s="144"/>
      <c r="CA37" s="144"/>
      <c r="CB37" s="144"/>
      <c r="CC37" s="144"/>
      <c r="CD37" s="144"/>
      <c r="CE37" s="144"/>
      <c r="CF37" s="144"/>
      <c r="CG37" s="144"/>
      <c r="CH37" s="144"/>
      <c r="CI37" s="144"/>
      <c r="CJ37" s="144"/>
      <c r="CK37" s="144"/>
      <c r="CL37" s="144"/>
      <c r="CM37" s="144"/>
      <c r="CN37" s="144"/>
      <c r="CO37" s="144"/>
      <c r="CP37" s="144"/>
      <c r="CQ37" s="144"/>
      <c r="CR37" s="144"/>
      <c r="CS37" s="144"/>
      <c r="CT37" s="144"/>
      <c r="CU37" s="144"/>
      <c r="CV37" s="144"/>
      <c r="CW37" s="144"/>
      <c r="CX37" s="144"/>
      <c r="CY37" s="144"/>
      <c r="CZ37" s="144"/>
      <c r="DA37" s="144"/>
      <c r="DB37" s="144"/>
      <c r="DC37" s="144"/>
      <c r="DD37" s="144"/>
      <c r="DE37" s="144"/>
      <c r="DF37" s="144"/>
      <c r="DG37" s="144"/>
      <c r="DH37" s="144"/>
      <c r="DI37" s="144"/>
      <c r="DJ37" s="144"/>
      <c r="DK37" s="144"/>
      <c r="DL37" s="144"/>
      <c r="DM37" s="144"/>
      <c r="DN37" s="144"/>
      <c r="DO37" s="144"/>
      <c r="DP37" s="144"/>
      <c r="DQ37" s="144"/>
      <c r="DR37" s="144"/>
      <c r="DT37" s="145">
        <f t="shared" si="7"/>
        <v>0</v>
      </c>
      <c r="DU37" s="145">
        <f t="shared" si="7"/>
        <v>0</v>
      </c>
      <c r="DV37" s="145">
        <f t="shared" si="7"/>
        <v>0</v>
      </c>
      <c r="DW37" s="145">
        <f t="shared" si="7"/>
        <v>0</v>
      </c>
      <c r="DX37" s="145">
        <f t="shared" si="7"/>
        <v>0</v>
      </c>
      <c r="DY37" s="145">
        <f t="shared" si="7"/>
        <v>0</v>
      </c>
      <c r="DZ37" s="145">
        <f t="shared" si="7"/>
        <v>0</v>
      </c>
      <c r="EA37" s="145">
        <f t="shared" si="7"/>
        <v>0</v>
      </c>
      <c r="EB37" s="145">
        <f t="shared" si="7"/>
        <v>0</v>
      </c>
      <c r="EC37" s="145">
        <f t="shared" si="7"/>
        <v>0</v>
      </c>
    </row>
    <row r="38" ht="14.5">
      <c r="A38" s="320" t="s">
        <v>1297</v>
      </c>
    </row>
    <row r="39" thickBot="1">
      <c r="A39" s="322"/>
    </row>
    <row r="40" thickTop="1" thickBot="1" ht="18.75" customHeight="1">
      <c r="A40" s="293" t="s">
        <v>969</v>
      </c>
      <c r="B40" s="294"/>
      <c r="C40" s="295">
        <f>+SUM(C17:C38)</f>
        <v>0</v>
      </c>
      <c r="D40" s="295">
        <f t="shared" ref="D40:BJ40" si="8">+SUM(D17:D38)</f>
        <v>0</v>
      </c>
      <c r="E40" s="295">
        <f t="shared" si="8"/>
        <v>0</v>
      </c>
      <c r="F40" s="295">
        <f t="shared" si="8"/>
        <v>0</v>
      </c>
      <c r="G40" s="295">
        <f t="shared" si="8"/>
        <v>0</v>
      </c>
      <c r="H40" s="295">
        <f t="shared" si="8"/>
        <v>0</v>
      </c>
      <c r="I40" s="295">
        <f t="shared" si="8"/>
        <v>0</v>
      </c>
      <c r="J40" s="295">
        <f t="shared" si="8"/>
        <v>0</v>
      </c>
      <c r="K40" s="295">
        <f t="shared" si="8"/>
        <v>0</v>
      </c>
      <c r="L40" s="295">
        <f t="shared" si="8"/>
        <v>0</v>
      </c>
      <c r="M40" s="295">
        <f t="shared" si="8"/>
        <v>0</v>
      </c>
      <c r="N40" s="295">
        <f t="shared" si="8"/>
        <v>0</v>
      </c>
      <c r="O40" s="295">
        <f t="shared" si="8"/>
        <v>0</v>
      </c>
      <c r="P40" s="295">
        <f t="shared" si="8"/>
        <v>0</v>
      </c>
      <c r="Q40" s="295">
        <f t="shared" si="8"/>
        <v>0</v>
      </c>
      <c r="R40" s="295">
        <f t="shared" si="8"/>
        <v>0</v>
      </c>
      <c r="S40" s="295">
        <f t="shared" si="8"/>
        <v>0</v>
      </c>
      <c r="T40" s="295">
        <f t="shared" si="8"/>
        <v>0</v>
      </c>
      <c r="U40" s="295">
        <f t="shared" si="8"/>
        <v>0</v>
      </c>
      <c r="V40" s="295">
        <f t="shared" si="8"/>
        <v>0</v>
      </c>
      <c r="W40" s="295">
        <f t="shared" si="8"/>
        <v>0</v>
      </c>
      <c r="X40" s="295">
        <f t="shared" si="8"/>
        <v>0</v>
      </c>
      <c r="Y40" s="295">
        <f t="shared" si="8"/>
        <v>0</v>
      </c>
      <c r="Z40" s="295">
        <f t="shared" si="8"/>
        <v>0</v>
      </c>
      <c r="AA40" s="295">
        <f t="shared" si="8"/>
        <v>0</v>
      </c>
      <c r="AB40" s="295">
        <f t="shared" si="8"/>
        <v>0</v>
      </c>
      <c r="AC40" s="295">
        <f t="shared" si="8"/>
        <v>0</v>
      </c>
      <c r="AD40" s="295">
        <f t="shared" si="8"/>
        <v>0</v>
      </c>
      <c r="AE40" s="295">
        <f t="shared" si="8"/>
        <v>0</v>
      </c>
      <c r="AF40" s="295">
        <f t="shared" si="8"/>
        <v>0</v>
      </c>
      <c r="AG40" s="295">
        <f t="shared" si="8"/>
        <v>0</v>
      </c>
      <c r="AH40" s="295">
        <f t="shared" si="8"/>
        <v>0</v>
      </c>
      <c r="AI40" s="295">
        <f t="shared" si="8"/>
        <v>0</v>
      </c>
      <c r="AJ40" s="295">
        <f t="shared" si="8"/>
        <v>0</v>
      </c>
      <c r="AK40" s="295">
        <f t="shared" si="8"/>
        <v>0</v>
      </c>
      <c r="AL40" s="295">
        <f t="shared" si="8"/>
        <v>0</v>
      </c>
      <c r="AM40" s="295">
        <f t="shared" si="8"/>
        <v>0</v>
      </c>
      <c r="AN40" s="295">
        <f t="shared" si="8"/>
        <v>0</v>
      </c>
      <c r="AO40" s="295">
        <f t="shared" si="8"/>
        <v>0</v>
      </c>
      <c r="AP40" s="295">
        <f t="shared" si="8"/>
        <v>0</v>
      </c>
      <c r="AQ40" s="295">
        <f t="shared" si="8"/>
        <v>0</v>
      </c>
      <c r="AR40" s="295">
        <f t="shared" si="8"/>
        <v>0</v>
      </c>
      <c r="AS40" s="295">
        <f t="shared" si="8"/>
        <v>0</v>
      </c>
      <c r="AT40" s="295">
        <f t="shared" si="8"/>
        <v>0</v>
      </c>
      <c r="AU40" s="295">
        <f t="shared" si="8"/>
        <v>0</v>
      </c>
      <c r="AV40" s="295">
        <f t="shared" si="8"/>
        <v>0</v>
      </c>
      <c r="AW40" s="295">
        <f t="shared" si="8"/>
        <v>0</v>
      </c>
      <c r="AX40" s="295">
        <f t="shared" si="8"/>
        <v>0</v>
      </c>
      <c r="AY40" s="295">
        <f t="shared" si="8"/>
        <v>0</v>
      </c>
      <c r="AZ40" s="295">
        <f t="shared" si="8"/>
        <v>0</v>
      </c>
      <c r="BA40" s="295">
        <f t="shared" si="8"/>
        <v>0</v>
      </c>
      <c r="BB40" s="295">
        <f t="shared" si="8"/>
        <v>0</v>
      </c>
      <c r="BC40" s="295">
        <f t="shared" si="8"/>
        <v>0</v>
      </c>
      <c r="BD40" s="295">
        <f t="shared" si="8"/>
        <v>0</v>
      </c>
      <c r="BE40" s="295">
        <f t="shared" si="8"/>
        <v>0</v>
      </c>
      <c r="BF40" s="295">
        <f t="shared" si="8"/>
        <v>0</v>
      </c>
      <c r="BG40" s="295">
        <f t="shared" si="8"/>
        <v>0</v>
      </c>
      <c r="BH40" s="295">
        <f t="shared" si="8"/>
        <v>0</v>
      </c>
      <c r="BI40" s="295">
        <f t="shared" si="8"/>
        <v>0</v>
      </c>
      <c r="BJ40" s="295">
        <f t="shared" si="8"/>
        <v>0</v>
      </c>
      <c r="BK40" s="295">
        <f t="shared" ref="BK40:DE40" si="9">+SUM(BK17:BK38)</f>
        <v>0</v>
      </c>
      <c r="BL40" s="295">
        <f t="shared" si="9"/>
        <v>0</v>
      </c>
      <c r="BM40" s="295">
        <f t="shared" si="9"/>
        <v>0</v>
      </c>
      <c r="BN40" s="295">
        <f t="shared" si="9"/>
        <v>0</v>
      </c>
      <c r="BO40" s="295">
        <f t="shared" si="9"/>
        <v>0</v>
      </c>
      <c r="BP40" s="295">
        <f t="shared" si="9"/>
        <v>0</v>
      </c>
      <c r="BQ40" s="295">
        <f t="shared" si="9"/>
        <v>0</v>
      </c>
      <c r="BR40" s="295">
        <f t="shared" si="9"/>
        <v>0</v>
      </c>
      <c r="BS40" s="295">
        <f t="shared" si="9"/>
        <v>0</v>
      </c>
      <c r="BT40" s="295">
        <f t="shared" si="9"/>
        <v>0</v>
      </c>
      <c r="BU40" s="295">
        <f t="shared" si="9"/>
        <v>0</v>
      </c>
      <c r="BV40" s="295">
        <f t="shared" si="9"/>
        <v>0</v>
      </c>
      <c r="BW40" s="295">
        <f t="shared" si="9"/>
        <v>0</v>
      </c>
      <c r="BX40" s="295">
        <f t="shared" si="9"/>
        <v>0</v>
      </c>
      <c r="BY40" s="295">
        <f t="shared" si="9"/>
        <v>0</v>
      </c>
      <c r="BZ40" s="295">
        <f t="shared" si="9"/>
        <v>0</v>
      </c>
      <c r="CA40" s="295">
        <f t="shared" si="9"/>
        <v>0</v>
      </c>
      <c r="CB40" s="295">
        <f t="shared" si="9"/>
        <v>0</v>
      </c>
      <c r="CC40" s="295">
        <f t="shared" si="9"/>
        <v>0</v>
      </c>
      <c r="CD40" s="295">
        <f t="shared" si="9"/>
        <v>0</v>
      </c>
      <c r="CE40" s="295">
        <f t="shared" si="9"/>
        <v>0</v>
      </c>
      <c r="CF40" s="295">
        <f t="shared" si="9"/>
        <v>0</v>
      </c>
      <c r="CG40" s="295">
        <f t="shared" si="9"/>
        <v>0</v>
      </c>
      <c r="CH40" s="295">
        <f t="shared" si="9"/>
        <v>0</v>
      </c>
      <c r="CI40" s="295">
        <f t="shared" si="9"/>
        <v>0</v>
      </c>
      <c r="CJ40" s="295">
        <f t="shared" si="9"/>
        <v>0</v>
      </c>
      <c r="CK40" s="295">
        <f t="shared" si="9"/>
        <v>0</v>
      </c>
      <c r="CL40" s="295">
        <f t="shared" si="9"/>
        <v>0</v>
      </c>
      <c r="CM40" s="295">
        <f t="shared" si="9"/>
        <v>0</v>
      </c>
      <c r="CN40" s="295">
        <f t="shared" si="9"/>
        <v>0</v>
      </c>
      <c r="CO40" s="295">
        <f t="shared" si="9"/>
        <v>0</v>
      </c>
      <c r="CP40" s="295">
        <f t="shared" si="9"/>
        <v>0</v>
      </c>
      <c r="CQ40" s="295">
        <f t="shared" si="9"/>
        <v>0</v>
      </c>
      <c r="CR40" s="295">
        <f t="shared" si="9"/>
        <v>0</v>
      </c>
      <c r="CS40" s="295">
        <f t="shared" si="9"/>
        <v>0</v>
      </c>
      <c r="CT40" s="295">
        <f t="shared" si="9"/>
        <v>0</v>
      </c>
      <c r="CU40" s="295">
        <f t="shared" si="9"/>
        <v>0</v>
      </c>
      <c r="CV40" s="295">
        <f t="shared" si="9"/>
        <v>0</v>
      </c>
      <c r="CW40" s="295">
        <f t="shared" si="9"/>
        <v>0</v>
      </c>
      <c r="CX40" s="295">
        <f t="shared" si="9"/>
        <v>0</v>
      </c>
      <c r="CY40" s="295">
        <f t="shared" si="9"/>
        <v>0</v>
      </c>
      <c r="CZ40" s="295">
        <f t="shared" si="9"/>
        <v>0</v>
      </c>
      <c r="DA40" s="295">
        <f t="shared" si="9"/>
        <v>0</v>
      </c>
      <c r="DB40" s="295">
        <f t="shared" si="9"/>
        <v>0</v>
      </c>
      <c r="DC40" s="295">
        <f t="shared" si="9"/>
        <v>0</v>
      </c>
      <c r="DD40" s="295">
        <f t="shared" si="9"/>
        <v>0</v>
      </c>
      <c r="DE40" s="295">
        <f t="shared" si="9"/>
        <v>0</v>
      </c>
      <c r="DF40" s="295">
        <f t="shared" ref="DF40:DQ40" si="10">+SUM(DF17:DF38)</f>
        <v>0</v>
      </c>
      <c r="DG40" s="295">
        <f t="shared" si="10"/>
        <v>0</v>
      </c>
      <c r="DH40" s="295">
        <f t="shared" si="10"/>
        <v>0</v>
      </c>
      <c r="DI40" s="295">
        <f t="shared" si="10"/>
        <v>0</v>
      </c>
      <c r="DJ40" s="295">
        <f t="shared" si="10"/>
        <v>0</v>
      </c>
      <c r="DK40" s="295">
        <f t="shared" si="10"/>
        <v>0</v>
      </c>
      <c r="DL40" s="295">
        <f t="shared" si="10"/>
        <v>0</v>
      </c>
      <c r="DM40" s="295">
        <f t="shared" si="10"/>
        <v>0</v>
      </c>
      <c r="DN40" s="295">
        <f t="shared" si="10"/>
        <v>0</v>
      </c>
      <c r="DO40" s="295">
        <f t="shared" si="10"/>
        <v>0</v>
      </c>
      <c r="DP40" s="295">
        <f t="shared" si="10"/>
        <v>0</v>
      </c>
      <c r="DQ40" s="295">
        <f t="shared" si="10"/>
        <v>0</v>
      </c>
      <c r="DR40" s="295">
        <f t="shared" ref="DR40:DT40" si="11">+SUM(DR17:DR38)</f>
        <v>0</v>
      </c>
      <c r="DT40" s="295">
        <f t="shared" si="11"/>
        <v>0</v>
      </c>
      <c r="DU40" s="295">
        <f t="shared" ref="DU40:EC40" si="12">+SUM(DU17:DU38)</f>
        <v>0</v>
      </c>
      <c r="DV40" s="295">
        <f t="shared" si="12"/>
        <v>0</v>
      </c>
      <c r="DW40" s="295">
        <f t="shared" si="12"/>
        <v>0</v>
      </c>
      <c r="DX40" s="295">
        <f t="shared" si="12"/>
        <v>0</v>
      </c>
      <c r="DY40" s="295">
        <f t="shared" si="12"/>
        <v>0</v>
      </c>
      <c r="DZ40" s="295">
        <f t="shared" si="12"/>
        <v>0</v>
      </c>
      <c r="EA40" s="295">
        <f t="shared" si="12"/>
        <v>0</v>
      </c>
      <c r="EB40" s="295">
        <f t="shared" si="12"/>
        <v>0</v>
      </c>
      <c r="EC40" s="295">
        <f t="shared" si="12"/>
        <v>0</v>
      </c>
    </row>
    <row r="41" thickTop="1" thickBot="1" ht="15.5">
      <c r="A41" s="3"/>
      <c r="DF41"/>
      <c r="DG41"/>
      <c r="DH41"/>
      <c r="DI41"/>
      <c r="DJ41"/>
      <c r="DK41"/>
      <c r="DL41"/>
      <c r="DM41"/>
      <c r="DN41"/>
      <c r="DO41"/>
      <c r="DP41"/>
      <c r="DQ41"/>
      <c r="DR41"/>
    </row>
    <row r="42" thickTop="1" thickBot="1" ht="19.5">
      <c r="A42" s="299" t="s">
        <v>1298</v>
      </c>
      <c r="B42" s="300"/>
      <c r="C42" s="301">
        <f>+C12-C40</f>
        <v>0</v>
      </c>
      <c r="D42" s="301">
        <f t="shared" ref="D42:BJ42" si="13">+D12-D40</f>
        <v>0</v>
      </c>
      <c r="E42" s="301">
        <f t="shared" si="13"/>
        <v>0</v>
      </c>
      <c r="F42" s="301">
        <f t="shared" si="13"/>
        <v>0</v>
      </c>
      <c r="G42" s="301">
        <f t="shared" si="13"/>
        <v>0</v>
      </c>
      <c r="H42" s="301">
        <f t="shared" si="13"/>
        <v>0</v>
      </c>
      <c r="I42" s="301">
        <f t="shared" si="13"/>
        <v>0</v>
      </c>
      <c r="J42" s="301">
        <f t="shared" si="13"/>
        <v>0</v>
      </c>
      <c r="K42" s="301">
        <f t="shared" si="13"/>
        <v>0</v>
      </c>
      <c r="L42" s="301">
        <f t="shared" si="13"/>
        <v>0</v>
      </c>
      <c r="M42" s="301">
        <f t="shared" si="13"/>
        <v>0</v>
      </c>
      <c r="N42" s="301">
        <f t="shared" si="13"/>
        <v>0</v>
      </c>
      <c r="O42" s="301">
        <f t="shared" si="13"/>
        <v>0</v>
      </c>
      <c r="P42" s="301">
        <f t="shared" si="13"/>
        <v>0</v>
      </c>
      <c r="Q42" s="301">
        <f t="shared" si="13"/>
        <v>0</v>
      </c>
      <c r="R42" s="301">
        <f t="shared" si="13"/>
        <v>0</v>
      </c>
      <c r="S42" s="301">
        <f t="shared" si="13"/>
        <v>0</v>
      </c>
      <c r="T42" s="301">
        <f t="shared" si="13"/>
        <v>0</v>
      </c>
      <c r="U42" s="301">
        <f t="shared" si="13"/>
        <v>0</v>
      </c>
      <c r="V42" s="301">
        <f t="shared" si="13"/>
        <v>0</v>
      </c>
      <c r="W42" s="301">
        <f t="shared" si="13"/>
        <v>0</v>
      </c>
      <c r="X42" s="301">
        <f t="shared" si="13"/>
        <v>0</v>
      </c>
      <c r="Y42" s="301">
        <f t="shared" si="13"/>
        <v>0</v>
      </c>
      <c r="Z42" s="301">
        <f t="shared" si="13"/>
        <v>0</v>
      </c>
      <c r="AA42" s="301">
        <f t="shared" si="13"/>
        <v>0</v>
      </c>
      <c r="AB42" s="301">
        <f t="shared" si="13"/>
        <v>0</v>
      </c>
      <c r="AC42" s="301">
        <f t="shared" si="13"/>
        <v>0</v>
      </c>
      <c r="AD42" s="301">
        <f t="shared" si="13"/>
        <v>0</v>
      </c>
      <c r="AE42" s="301">
        <f t="shared" si="13"/>
        <v>0</v>
      </c>
      <c r="AF42" s="301">
        <f t="shared" si="13"/>
        <v>0</v>
      </c>
      <c r="AG42" s="301">
        <f t="shared" si="13"/>
        <v>0</v>
      </c>
      <c r="AH42" s="301">
        <f t="shared" si="13"/>
        <v>0</v>
      </c>
      <c r="AI42" s="301">
        <f t="shared" si="13"/>
        <v>0</v>
      </c>
      <c r="AJ42" s="301">
        <f t="shared" si="13"/>
        <v>0</v>
      </c>
      <c r="AK42" s="301">
        <f t="shared" si="13"/>
        <v>0</v>
      </c>
      <c r="AL42" s="301">
        <f t="shared" si="13"/>
        <v>0</v>
      </c>
      <c r="AM42" s="301">
        <f t="shared" si="13"/>
        <v>0</v>
      </c>
      <c r="AN42" s="301">
        <f t="shared" si="13"/>
        <v>0</v>
      </c>
      <c r="AO42" s="301">
        <f t="shared" si="13"/>
        <v>0</v>
      </c>
      <c r="AP42" s="301">
        <f t="shared" si="13"/>
        <v>0</v>
      </c>
      <c r="AQ42" s="301">
        <f t="shared" si="13"/>
        <v>0</v>
      </c>
      <c r="AR42" s="301">
        <f t="shared" si="13"/>
        <v>0</v>
      </c>
      <c r="AS42" s="301">
        <f t="shared" si="13"/>
        <v>0</v>
      </c>
      <c r="AT42" s="301">
        <f t="shared" si="13"/>
        <v>0</v>
      </c>
      <c r="AU42" s="301">
        <f t="shared" si="13"/>
        <v>0</v>
      </c>
      <c r="AV42" s="301">
        <f t="shared" si="13"/>
        <v>0</v>
      </c>
      <c r="AW42" s="301">
        <f t="shared" si="13"/>
        <v>0</v>
      </c>
      <c r="AX42" s="301">
        <f t="shared" si="13"/>
        <v>0</v>
      </c>
      <c r="AY42" s="301">
        <f t="shared" si="13"/>
        <v>0</v>
      </c>
      <c r="AZ42" s="301">
        <f t="shared" si="13"/>
        <v>0</v>
      </c>
      <c r="BA42" s="301">
        <f t="shared" si="13"/>
        <v>0</v>
      </c>
      <c r="BB42" s="301">
        <f t="shared" si="13"/>
        <v>0</v>
      </c>
      <c r="BC42" s="301">
        <f t="shared" si="13"/>
        <v>0</v>
      </c>
      <c r="BD42" s="301">
        <f t="shared" si="13"/>
        <v>0</v>
      </c>
      <c r="BE42" s="301">
        <f t="shared" si="13"/>
        <v>0</v>
      </c>
      <c r="BF42" s="301">
        <f t="shared" si="13"/>
        <v>0</v>
      </c>
      <c r="BG42" s="301">
        <f t="shared" si="13"/>
        <v>0</v>
      </c>
      <c r="BH42" s="301">
        <f t="shared" si="13"/>
        <v>0</v>
      </c>
      <c r="BI42" s="301">
        <f t="shared" si="13"/>
        <v>0</v>
      </c>
      <c r="BJ42" s="301">
        <f t="shared" si="13"/>
        <v>0</v>
      </c>
      <c r="BK42" s="301">
        <f t="shared" ref="BK42:DE42" si="14">+BK12-BK40</f>
        <v>0</v>
      </c>
      <c r="BL42" s="301">
        <f t="shared" si="14"/>
        <v>0</v>
      </c>
      <c r="BM42" s="301">
        <f t="shared" si="14"/>
        <v>0</v>
      </c>
      <c r="BN42" s="301">
        <f t="shared" si="14"/>
        <v>0</v>
      </c>
      <c r="BO42" s="301">
        <f t="shared" si="14"/>
        <v>0</v>
      </c>
      <c r="BP42" s="301">
        <f t="shared" si="14"/>
        <v>0</v>
      </c>
      <c r="BQ42" s="301">
        <f t="shared" si="14"/>
        <v>0</v>
      </c>
      <c r="BR42" s="301">
        <f t="shared" si="14"/>
        <v>0</v>
      </c>
      <c r="BS42" s="301">
        <f t="shared" si="14"/>
        <v>0</v>
      </c>
      <c r="BT42" s="301">
        <f t="shared" si="14"/>
        <v>0</v>
      </c>
      <c r="BU42" s="301">
        <f t="shared" si="14"/>
        <v>0</v>
      </c>
      <c r="BV42" s="301">
        <f t="shared" si="14"/>
        <v>0</v>
      </c>
      <c r="BW42" s="301">
        <f t="shared" si="14"/>
        <v>0</v>
      </c>
      <c r="BX42" s="301">
        <f t="shared" si="14"/>
        <v>0</v>
      </c>
      <c r="BY42" s="301">
        <f t="shared" si="14"/>
        <v>0</v>
      </c>
      <c r="BZ42" s="301">
        <f t="shared" si="14"/>
        <v>0</v>
      </c>
      <c r="CA42" s="301">
        <f t="shared" si="14"/>
        <v>0</v>
      </c>
      <c r="CB42" s="301">
        <f t="shared" si="14"/>
        <v>0</v>
      </c>
      <c r="CC42" s="301">
        <f t="shared" si="14"/>
        <v>0</v>
      </c>
      <c r="CD42" s="301">
        <f t="shared" si="14"/>
        <v>0</v>
      </c>
      <c r="CE42" s="301">
        <f t="shared" si="14"/>
        <v>0</v>
      </c>
      <c r="CF42" s="301">
        <f t="shared" si="14"/>
        <v>0</v>
      </c>
      <c r="CG42" s="301">
        <f t="shared" si="14"/>
        <v>0</v>
      </c>
      <c r="CH42" s="301">
        <f t="shared" si="14"/>
        <v>0</v>
      </c>
      <c r="CI42" s="301">
        <f t="shared" si="14"/>
        <v>0</v>
      </c>
      <c r="CJ42" s="301">
        <f t="shared" si="14"/>
        <v>0</v>
      </c>
      <c r="CK42" s="301">
        <f t="shared" si="14"/>
        <v>0</v>
      </c>
      <c r="CL42" s="301">
        <f t="shared" si="14"/>
        <v>0</v>
      </c>
      <c r="CM42" s="301">
        <f t="shared" si="14"/>
        <v>0</v>
      </c>
      <c r="CN42" s="301">
        <f t="shared" si="14"/>
        <v>0</v>
      </c>
      <c r="CO42" s="301">
        <f t="shared" si="14"/>
        <v>0</v>
      </c>
      <c r="CP42" s="301">
        <f t="shared" si="14"/>
        <v>0</v>
      </c>
      <c r="CQ42" s="301">
        <f t="shared" si="14"/>
        <v>0</v>
      </c>
      <c r="CR42" s="301">
        <f t="shared" si="14"/>
        <v>0</v>
      </c>
      <c r="CS42" s="301">
        <f t="shared" si="14"/>
        <v>0</v>
      </c>
      <c r="CT42" s="301">
        <f t="shared" si="14"/>
        <v>0</v>
      </c>
      <c r="CU42" s="301">
        <f t="shared" si="14"/>
        <v>0</v>
      </c>
      <c r="CV42" s="301">
        <f t="shared" si="14"/>
        <v>0</v>
      </c>
      <c r="CW42" s="301">
        <f t="shared" si="14"/>
        <v>0</v>
      </c>
      <c r="CX42" s="301">
        <f t="shared" si="14"/>
        <v>0</v>
      </c>
      <c r="CY42" s="301">
        <f t="shared" si="14"/>
        <v>0</v>
      </c>
      <c r="CZ42" s="301">
        <f t="shared" si="14"/>
        <v>0</v>
      </c>
      <c r="DA42" s="301">
        <f t="shared" si="14"/>
        <v>0</v>
      </c>
      <c r="DB42" s="301">
        <f t="shared" si="14"/>
        <v>0</v>
      </c>
      <c r="DC42" s="301">
        <f t="shared" si="14"/>
        <v>0</v>
      </c>
      <c r="DD42" s="301">
        <f t="shared" si="14"/>
        <v>0</v>
      </c>
      <c r="DE42" s="301">
        <f t="shared" si="14"/>
        <v>0</v>
      </c>
      <c r="DF42" s="301">
        <f t="shared" ref="DF42:DQ42" si="15">+DF12-DF40</f>
        <v>0</v>
      </c>
      <c r="DG42" s="301">
        <f t="shared" si="15"/>
        <v>0</v>
      </c>
      <c r="DH42" s="301">
        <f t="shared" si="15"/>
        <v>0</v>
      </c>
      <c r="DI42" s="301">
        <f t="shared" si="15"/>
        <v>0</v>
      </c>
      <c r="DJ42" s="301">
        <f t="shared" si="15"/>
        <v>0</v>
      </c>
      <c r="DK42" s="301">
        <f t="shared" si="15"/>
        <v>0</v>
      </c>
      <c r="DL42" s="301">
        <f t="shared" si="15"/>
        <v>0</v>
      </c>
      <c r="DM42" s="301">
        <f t="shared" si="15"/>
        <v>0</v>
      </c>
      <c r="DN42" s="301">
        <f t="shared" si="15"/>
        <v>0</v>
      </c>
      <c r="DO42" s="301">
        <f t="shared" si="15"/>
        <v>0</v>
      </c>
      <c r="DP42" s="301">
        <f t="shared" si="15"/>
        <v>0</v>
      </c>
      <c r="DQ42" s="301">
        <f t="shared" si="15"/>
        <v>0</v>
      </c>
      <c r="DR42" s="301">
        <f t="shared" ref="DR42:DT42" si="16">+DR12-DR40</f>
        <v>0</v>
      </c>
      <c r="DT42" s="301">
        <f t="shared" si="16"/>
        <v>0</v>
      </c>
      <c r="DU42" s="301">
        <f t="shared" ref="DU42:EC42" si="17">+DU12-DU40</f>
        <v>0</v>
      </c>
      <c r="DV42" s="301">
        <f t="shared" si="17"/>
        <v>0</v>
      </c>
      <c r="DW42" s="301">
        <f t="shared" si="17"/>
        <v>0</v>
      </c>
      <c r="DX42" s="301">
        <f t="shared" si="17"/>
        <v>0</v>
      </c>
      <c r="DY42" s="301">
        <f t="shared" si="17"/>
        <v>0</v>
      </c>
      <c r="DZ42" s="301">
        <f t="shared" si="17"/>
        <v>0</v>
      </c>
      <c r="EA42" s="301">
        <f t="shared" si="17"/>
        <v>0</v>
      </c>
      <c r="EB42" s="301">
        <f t="shared" si="17"/>
        <v>0</v>
      </c>
      <c r="EC42" s="301">
        <f t="shared" si="17"/>
        <v>0</v>
      </c>
    </row>
    <row r="43" thickTop="1" thickBot="1" ht="15.5">
      <c r="DF43"/>
      <c r="DG43"/>
      <c r="DH43"/>
      <c r="DI43"/>
      <c r="DJ43"/>
      <c r="DK43"/>
      <c r="DL43"/>
      <c r="DM43"/>
      <c r="DN43"/>
      <c r="DO43"/>
      <c r="DP43"/>
      <c r="DQ43"/>
      <c r="DR43"/>
    </row>
    <row r="44" thickTop="1" thickBot="1" ht="19.5">
      <c r="A44" s="299" t="s">
        <v>971</v>
      </c>
      <c r="B44" s="300"/>
      <c r="C44" s="301">
        <f>+B45</f>
        <v>0</v>
      </c>
      <c r="D44" s="301">
        <f>+C45</f>
        <v>0</v>
      </c>
      <c r="E44" s="301">
        <f t="shared" ref="E44:BP44" si="18">+D45</f>
        <v>0</v>
      </c>
      <c r="F44" s="301">
        <f t="shared" si="18"/>
        <v>0</v>
      </c>
      <c r="G44" s="301">
        <f t="shared" si="18"/>
        <v>0</v>
      </c>
      <c r="H44" s="301">
        <f t="shared" si="18"/>
        <v>0</v>
      </c>
      <c r="I44" s="301">
        <f t="shared" si="18"/>
        <v>0</v>
      </c>
      <c r="J44" s="301">
        <f t="shared" si="18"/>
        <v>0</v>
      </c>
      <c r="K44" s="301">
        <f t="shared" si="18"/>
        <v>0</v>
      </c>
      <c r="L44" s="301">
        <f t="shared" si="18"/>
        <v>0</v>
      </c>
      <c r="M44" s="301">
        <f t="shared" si="18"/>
        <v>0</v>
      </c>
      <c r="N44" s="301">
        <f t="shared" si="18"/>
        <v>0</v>
      </c>
      <c r="O44" s="301">
        <f t="shared" si="18"/>
        <v>0</v>
      </c>
      <c r="P44" s="301">
        <f t="shared" si="18"/>
        <v>0</v>
      </c>
      <c r="Q44" s="301">
        <f t="shared" si="18"/>
        <v>0</v>
      </c>
      <c r="R44" s="301">
        <f t="shared" si="18"/>
        <v>0</v>
      </c>
      <c r="S44" s="301">
        <f t="shared" si="18"/>
        <v>0</v>
      </c>
      <c r="T44" s="301">
        <f t="shared" si="18"/>
        <v>0</v>
      </c>
      <c r="U44" s="301">
        <f t="shared" si="18"/>
        <v>0</v>
      </c>
      <c r="V44" s="301">
        <f t="shared" si="18"/>
        <v>0</v>
      </c>
      <c r="W44" s="301">
        <f t="shared" si="18"/>
        <v>0</v>
      </c>
      <c r="X44" s="301">
        <f t="shared" si="18"/>
        <v>0</v>
      </c>
      <c r="Y44" s="301">
        <f t="shared" si="18"/>
        <v>0</v>
      </c>
      <c r="Z44" s="301">
        <f t="shared" si="18"/>
        <v>0</v>
      </c>
      <c r="AA44" s="301">
        <f t="shared" si="18"/>
        <v>0</v>
      </c>
      <c r="AB44" s="301">
        <f t="shared" si="18"/>
        <v>0</v>
      </c>
      <c r="AC44" s="301">
        <f t="shared" si="18"/>
        <v>0</v>
      </c>
      <c r="AD44" s="301">
        <f t="shared" si="18"/>
        <v>0</v>
      </c>
      <c r="AE44" s="301">
        <f t="shared" si="18"/>
        <v>0</v>
      </c>
      <c r="AF44" s="301">
        <f t="shared" si="18"/>
        <v>0</v>
      </c>
      <c r="AG44" s="301">
        <f t="shared" si="18"/>
        <v>0</v>
      </c>
      <c r="AH44" s="301">
        <f t="shared" si="18"/>
        <v>0</v>
      </c>
      <c r="AI44" s="301">
        <f t="shared" si="18"/>
        <v>0</v>
      </c>
      <c r="AJ44" s="301">
        <f t="shared" si="18"/>
        <v>0</v>
      </c>
      <c r="AK44" s="301">
        <f t="shared" si="18"/>
        <v>0</v>
      </c>
      <c r="AL44" s="301">
        <f t="shared" si="18"/>
        <v>0</v>
      </c>
      <c r="AM44" s="301">
        <f t="shared" si="18"/>
        <v>0</v>
      </c>
      <c r="AN44" s="301">
        <f t="shared" si="18"/>
        <v>0</v>
      </c>
      <c r="AO44" s="301">
        <f t="shared" si="18"/>
        <v>0</v>
      </c>
      <c r="AP44" s="301">
        <f t="shared" si="18"/>
        <v>0</v>
      </c>
      <c r="AQ44" s="301">
        <f t="shared" si="18"/>
        <v>0</v>
      </c>
      <c r="AR44" s="301">
        <f t="shared" si="18"/>
        <v>0</v>
      </c>
      <c r="AS44" s="301">
        <f t="shared" si="18"/>
        <v>0</v>
      </c>
      <c r="AT44" s="301">
        <f t="shared" si="18"/>
        <v>0</v>
      </c>
      <c r="AU44" s="301">
        <f t="shared" si="18"/>
        <v>0</v>
      </c>
      <c r="AV44" s="301">
        <f t="shared" si="18"/>
        <v>0</v>
      </c>
      <c r="AW44" s="301">
        <f t="shared" si="18"/>
        <v>0</v>
      </c>
      <c r="AX44" s="301">
        <f t="shared" si="18"/>
        <v>0</v>
      </c>
      <c r="AY44" s="301">
        <f t="shared" si="18"/>
        <v>0</v>
      </c>
      <c r="AZ44" s="301">
        <f t="shared" si="18"/>
        <v>0</v>
      </c>
      <c r="BA44" s="301">
        <f t="shared" si="18"/>
        <v>0</v>
      </c>
      <c r="BB44" s="301">
        <f t="shared" si="18"/>
        <v>0</v>
      </c>
      <c r="BC44" s="301">
        <f t="shared" si="18"/>
        <v>0</v>
      </c>
      <c r="BD44" s="301">
        <f t="shared" si="18"/>
        <v>0</v>
      </c>
      <c r="BE44" s="301">
        <f t="shared" si="18"/>
        <v>0</v>
      </c>
      <c r="BF44" s="301">
        <f t="shared" si="18"/>
        <v>0</v>
      </c>
      <c r="BG44" s="301">
        <f t="shared" si="18"/>
        <v>0</v>
      </c>
      <c r="BH44" s="301">
        <f t="shared" si="18"/>
        <v>0</v>
      </c>
      <c r="BI44" s="301">
        <f t="shared" si="18"/>
        <v>0</v>
      </c>
      <c r="BJ44" s="301">
        <f t="shared" si="18"/>
        <v>0</v>
      </c>
      <c r="BK44" s="301">
        <f t="shared" si="18"/>
        <v>0</v>
      </c>
      <c r="BL44" s="301">
        <f t="shared" si="18"/>
        <v>0</v>
      </c>
      <c r="BM44" s="301">
        <f t="shared" si="18"/>
        <v>0</v>
      </c>
      <c r="BN44" s="301">
        <f t="shared" si="18"/>
        <v>0</v>
      </c>
      <c r="BO44" s="301">
        <f t="shared" si="18"/>
        <v>0</v>
      </c>
      <c r="BP44" s="301">
        <f t="shared" si="18"/>
        <v>0</v>
      </c>
      <c r="BQ44" s="301">
        <f t="shared" ref="BQ44:DE44" si="19">+BP45</f>
        <v>0</v>
      </c>
      <c r="BR44" s="301">
        <f t="shared" si="19"/>
        <v>0</v>
      </c>
      <c r="BS44" s="301">
        <f t="shared" si="19"/>
        <v>0</v>
      </c>
      <c r="BT44" s="301">
        <f t="shared" si="19"/>
        <v>0</v>
      </c>
      <c r="BU44" s="301">
        <f t="shared" si="19"/>
        <v>0</v>
      </c>
      <c r="BV44" s="301">
        <f t="shared" si="19"/>
        <v>0</v>
      </c>
      <c r="BW44" s="301">
        <f t="shared" si="19"/>
        <v>0</v>
      </c>
      <c r="BX44" s="301">
        <f t="shared" si="19"/>
        <v>0</v>
      </c>
      <c r="BY44" s="301">
        <f t="shared" si="19"/>
        <v>0</v>
      </c>
      <c r="BZ44" s="301">
        <f t="shared" si="19"/>
        <v>0</v>
      </c>
      <c r="CA44" s="301">
        <f t="shared" si="19"/>
        <v>0</v>
      </c>
      <c r="CB44" s="301">
        <f t="shared" si="19"/>
        <v>0</v>
      </c>
      <c r="CC44" s="301">
        <f t="shared" si="19"/>
        <v>0</v>
      </c>
      <c r="CD44" s="301">
        <f t="shared" si="19"/>
        <v>0</v>
      </c>
      <c r="CE44" s="301">
        <f t="shared" si="19"/>
        <v>0</v>
      </c>
      <c r="CF44" s="301">
        <f t="shared" si="19"/>
        <v>0</v>
      </c>
      <c r="CG44" s="301">
        <f t="shared" si="19"/>
        <v>0</v>
      </c>
      <c r="CH44" s="301">
        <f t="shared" si="19"/>
        <v>0</v>
      </c>
      <c r="CI44" s="301">
        <f t="shared" si="19"/>
        <v>0</v>
      </c>
      <c r="CJ44" s="301">
        <f t="shared" si="19"/>
        <v>0</v>
      </c>
      <c r="CK44" s="301">
        <f t="shared" si="19"/>
        <v>0</v>
      </c>
      <c r="CL44" s="301">
        <f t="shared" si="19"/>
        <v>0</v>
      </c>
      <c r="CM44" s="301">
        <f t="shared" si="19"/>
        <v>0</v>
      </c>
      <c r="CN44" s="301">
        <f t="shared" si="19"/>
        <v>0</v>
      </c>
      <c r="CO44" s="301">
        <f t="shared" si="19"/>
        <v>0</v>
      </c>
      <c r="CP44" s="301">
        <f t="shared" si="19"/>
        <v>0</v>
      </c>
      <c r="CQ44" s="301">
        <f t="shared" si="19"/>
        <v>0</v>
      </c>
      <c r="CR44" s="301">
        <f t="shared" si="19"/>
        <v>0</v>
      </c>
      <c r="CS44" s="301">
        <f t="shared" si="19"/>
        <v>0</v>
      </c>
      <c r="CT44" s="301">
        <f t="shared" si="19"/>
        <v>0</v>
      </c>
      <c r="CU44" s="301">
        <f t="shared" si="19"/>
        <v>0</v>
      </c>
      <c r="CV44" s="301">
        <f t="shared" si="19"/>
        <v>0</v>
      </c>
      <c r="CW44" s="301">
        <f t="shared" si="19"/>
        <v>0</v>
      </c>
      <c r="CX44" s="301">
        <f t="shared" si="19"/>
        <v>0</v>
      </c>
      <c r="CY44" s="301">
        <f t="shared" si="19"/>
        <v>0</v>
      </c>
      <c r="CZ44" s="301">
        <f t="shared" si="19"/>
        <v>0</v>
      </c>
      <c r="DA44" s="301">
        <f t="shared" si="19"/>
        <v>0</v>
      </c>
      <c r="DB44" s="301">
        <f t="shared" si="19"/>
        <v>0</v>
      </c>
      <c r="DC44" s="301">
        <f t="shared" si="19"/>
        <v>0</v>
      </c>
      <c r="DD44" s="301">
        <f t="shared" si="19"/>
        <v>0</v>
      </c>
      <c r="DE44" s="301">
        <f t="shared" si="19"/>
        <v>0</v>
      </c>
      <c r="DF44" s="301">
        <f t="shared" ref="DF44" si="20">+DE45</f>
        <v>0</v>
      </c>
      <c r="DG44" s="301">
        <f t="shared" ref="DG44" si="21">+DF45</f>
        <v>0</v>
      </c>
      <c r="DH44" s="301">
        <f t="shared" ref="DH44" si="22">+DG45</f>
        <v>0</v>
      </c>
      <c r="DI44" s="301">
        <f t="shared" ref="DI44" si="23">+DH45</f>
        <v>0</v>
      </c>
      <c r="DJ44" s="301">
        <f t="shared" ref="DJ44" si="24">+DI45</f>
        <v>0</v>
      </c>
      <c r="DK44" s="301">
        <f t="shared" ref="DK44" si="25">+DJ45</f>
        <v>0</v>
      </c>
      <c r="DL44" s="301">
        <f t="shared" ref="DL44" si="26">+DK45</f>
        <v>0</v>
      </c>
      <c r="DM44" s="301">
        <f t="shared" ref="DM44" si="27">+DL45</f>
        <v>0</v>
      </c>
      <c r="DN44" s="301">
        <f t="shared" ref="DN44" si="28">+DM45</f>
        <v>0</v>
      </c>
      <c r="DO44" s="301">
        <f t="shared" ref="DO44" si="29">+DN45</f>
        <v>0</v>
      </c>
      <c r="DP44" s="301">
        <f t="shared" ref="DP44" si="30">+DO45</f>
        <v>0</v>
      </c>
      <c r="DQ44" s="301">
        <f t="shared" ref="DQ44:DR44" si="31">+DP45</f>
        <v>0</v>
      </c>
      <c r="DR44" s="301">
        <f t="shared" si="31"/>
        <v>0</v>
      </c>
      <c r="DT44" s="144">
        <f>+C44</f>
        <v>0</v>
      </c>
      <c r="DU44" s="144">
        <f>+DT45</f>
        <v>0</v>
      </c>
      <c r="DV44" s="144">
        <f t="shared" ref="DV44:EC44" si="32">+DU45</f>
        <v>0</v>
      </c>
      <c r="DW44" s="144">
        <f t="shared" si="32"/>
        <v>0</v>
      </c>
      <c r="DX44" s="144">
        <f t="shared" si="32"/>
        <v>0</v>
      </c>
      <c r="DY44" s="144">
        <f t="shared" si="32"/>
        <v>0</v>
      </c>
      <c r="DZ44" s="144">
        <f t="shared" si="32"/>
        <v>0</v>
      </c>
      <c r="EA44" s="144">
        <f t="shared" si="32"/>
        <v>0</v>
      </c>
      <c r="EB44" s="144">
        <f t="shared" si="32"/>
        <v>0</v>
      </c>
      <c r="EC44" s="144">
        <f t="shared" si="32"/>
        <v>0</v>
      </c>
    </row>
    <row r="45" thickTop="1" thickBot="1" ht="19.5">
      <c r="A45" s="299" t="s">
        <v>972</v>
      </c>
      <c r="B45" s="300">
        <f>+'SP-mese'!C5</f>
        <v>0</v>
      </c>
      <c r="C45" s="301">
        <f>+C44+C42</f>
        <v>0</v>
      </c>
      <c r="D45" s="301">
        <f>+D44+D42</f>
        <v>0</v>
      </c>
      <c r="E45" s="301">
        <f t="shared" ref="E45:BP45" si="33">+E44+E42</f>
        <v>0</v>
      </c>
      <c r="F45" s="301">
        <f t="shared" si="33"/>
        <v>0</v>
      </c>
      <c r="G45" s="301">
        <f t="shared" si="33"/>
        <v>0</v>
      </c>
      <c r="H45" s="301">
        <f t="shared" si="33"/>
        <v>0</v>
      </c>
      <c r="I45" s="301">
        <f t="shared" si="33"/>
        <v>0</v>
      </c>
      <c r="J45" s="301">
        <f t="shared" si="33"/>
        <v>0</v>
      </c>
      <c r="K45" s="301">
        <f t="shared" si="33"/>
        <v>0</v>
      </c>
      <c r="L45" s="301">
        <f t="shared" si="33"/>
        <v>0</v>
      </c>
      <c r="M45" s="301">
        <f t="shared" si="33"/>
        <v>0</v>
      </c>
      <c r="N45" s="301">
        <f t="shared" si="33"/>
        <v>0</v>
      </c>
      <c r="O45" s="301">
        <f t="shared" si="33"/>
        <v>0</v>
      </c>
      <c r="P45" s="301">
        <f t="shared" si="33"/>
        <v>0</v>
      </c>
      <c r="Q45" s="301">
        <f t="shared" si="33"/>
        <v>0</v>
      </c>
      <c r="R45" s="301">
        <f t="shared" si="33"/>
        <v>0</v>
      </c>
      <c r="S45" s="301">
        <f t="shared" si="33"/>
        <v>0</v>
      </c>
      <c r="T45" s="301">
        <f t="shared" si="33"/>
        <v>0</v>
      </c>
      <c r="U45" s="301">
        <f t="shared" si="33"/>
        <v>0</v>
      </c>
      <c r="V45" s="301">
        <f t="shared" si="33"/>
        <v>0</v>
      </c>
      <c r="W45" s="301">
        <f t="shared" si="33"/>
        <v>0</v>
      </c>
      <c r="X45" s="301">
        <f t="shared" si="33"/>
        <v>0</v>
      </c>
      <c r="Y45" s="301">
        <f t="shared" si="33"/>
        <v>0</v>
      </c>
      <c r="Z45" s="301">
        <f t="shared" si="33"/>
        <v>0</v>
      </c>
      <c r="AA45" s="301">
        <f t="shared" si="33"/>
        <v>0</v>
      </c>
      <c r="AB45" s="301">
        <f t="shared" si="33"/>
        <v>0</v>
      </c>
      <c r="AC45" s="301">
        <f t="shared" si="33"/>
        <v>0</v>
      </c>
      <c r="AD45" s="301">
        <f t="shared" si="33"/>
        <v>0</v>
      </c>
      <c r="AE45" s="301">
        <f t="shared" si="33"/>
        <v>0</v>
      </c>
      <c r="AF45" s="301">
        <f t="shared" si="33"/>
        <v>0</v>
      </c>
      <c r="AG45" s="301">
        <f t="shared" si="33"/>
        <v>0</v>
      </c>
      <c r="AH45" s="301">
        <f t="shared" si="33"/>
        <v>0</v>
      </c>
      <c r="AI45" s="301">
        <f t="shared" si="33"/>
        <v>0</v>
      </c>
      <c r="AJ45" s="301">
        <f t="shared" si="33"/>
        <v>0</v>
      </c>
      <c r="AK45" s="301">
        <f t="shared" si="33"/>
        <v>0</v>
      </c>
      <c r="AL45" s="301">
        <f t="shared" si="33"/>
        <v>0</v>
      </c>
      <c r="AM45" s="301">
        <f t="shared" si="33"/>
        <v>0</v>
      </c>
      <c r="AN45" s="301">
        <f t="shared" si="33"/>
        <v>0</v>
      </c>
      <c r="AO45" s="301">
        <f t="shared" si="33"/>
        <v>0</v>
      </c>
      <c r="AP45" s="301">
        <f t="shared" si="33"/>
        <v>0</v>
      </c>
      <c r="AQ45" s="301">
        <f t="shared" si="33"/>
        <v>0</v>
      </c>
      <c r="AR45" s="301">
        <f t="shared" si="33"/>
        <v>0</v>
      </c>
      <c r="AS45" s="301">
        <f t="shared" si="33"/>
        <v>0</v>
      </c>
      <c r="AT45" s="301">
        <f t="shared" si="33"/>
        <v>0</v>
      </c>
      <c r="AU45" s="301">
        <f t="shared" si="33"/>
        <v>0</v>
      </c>
      <c r="AV45" s="301">
        <f t="shared" si="33"/>
        <v>0</v>
      </c>
      <c r="AW45" s="301">
        <f t="shared" si="33"/>
        <v>0</v>
      </c>
      <c r="AX45" s="301">
        <f t="shared" si="33"/>
        <v>0</v>
      </c>
      <c r="AY45" s="301">
        <f t="shared" si="33"/>
        <v>0</v>
      </c>
      <c r="AZ45" s="301">
        <f t="shared" si="33"/>
        <v>0</v>
      </c>
      <c r="BA45" s="301">
        <f t="shared" si="33"/>
        <v>0</v>
      </c>
      <c r="BB45" s="301">
        <f t="shared" si="33"/>
        <v>0</v>
      </c>
      <c r="BC45" s="301">
        <f t="shared" si="33"/>
        <v>0</v>
      </c>
      <c r="BD45" s="301">
        <f t="shared" si="33"/>
        <v>0</v>
      </c>
      <c r="BE45" s="301">
        <f t="shared" si="33"/>
        <v>0</v>
      </c>
      <c r="BF45" s="301">
        <f t="shared" si="33"/>
        <v>0</v>
      </c>
      <c r="BG45" s="301">
        <f t="shared" si="33"/>
        <v>0</v>
      </c>
      <c r="BH45" s="301">
        <f t="shared" si="33"/>
        <v>0</v>
      </c>
      <c r="BI45" s="301">
        <f t="shared" si="33"/>
        <v>0</v>
      </c>
      <c r="BJ45" s="301">
        <f t="shared" si="33"/>
        <v>0</v>
      </c>
      <c r="BK45" s="301">
        <f t="shared" si="33"/>
        <v>0</v>
      </c>
      <c r="BL45" s="301">
        <f t="shared" si="33"/>
        <v>0</v>
      </c>
      <c r="BM45" s="301">
        <f t="shared" si="33"/>
        <v>0</v>
      </c>
      <c r="BN45" s="301">
        <f t="shared" si="33"/>
        <v>0</v>
      </c>
      <c r="BO45" s="301">
        <f t="shared" si="33"/>
        <v>0</v>
      </c>
      <c r="BP45" s="301">
        <f t="shared" si="33"/>
        <v>0</v>
      </c>
      <c r="BQ45" s="301">
        <f t="shared" ref="BQ45:DE45" si="34">+BQ44+BQ42</f>
        <v>0</v>
      </c>
      <c r="BR45" s="301">
        <f t="shared" si="34"/>
        <v>0</v>
      </c>
      <c r="BS45" s="301">
        <f t="shared" si="34"/>
        <v>0</v>
      </c>
      <c r="BT45" s="301">
        <f t="shared" si="34"/>
        <v>0</v>
      </c>
      <c r="BU45" s="301">
        <f t="shared" si="34"/>
        <v>0</v>
      </c>
      <c r="BV45" s="301">
        <f t="shared" si="34"/>
        <v>0</v>
      </c>
      <c r="BW45" s="301">
        <f t="shared" si="34"/>
        <v>0</v>
      </c>
      <c r="BX45" s="301">
        <f t="shared" si="34"/>
        <v>0</v>
      </c>
      <c r="BY45" s="301">
        <f t="shared" si="34"/>
        <v>0</v>
      </c>
      <c r="BZ45" s="301">
        <f t="shared" si="34"/>
        <v>0</v>
      </c>
      <c r="CA45" s="301">
        <f t="shared" si="34"/>
        <v>0</v>
      </c>
      <c r="CB45" s="301">
        <f t="shared" si="34"/>
        <v>0</v>
      </c>
      <c r="CC45" s="301">
        <f t="shared" si="34"/>
        <v>0</v>
      </c>
      <c r="CD45" s="301">
        <f t="shared" si="34"/>
        <v>0</v>
      </c>
      <c r="CE45" s="301">
        <f t="shared" si="34"/>
        <v>0</v>
      </c>
      <c r="CF45" s="301">
        <f t="shared" si="34"/>
        <v>0</v>
      </c>
      <c r="CG45" s="301">
        <f t="shared" si="34"/>
        <v>0</v>
      </c>
      <c r="CH45" s="301">
        <f t="shared" si="34"/>
        <v>0</v>
      </c>
      <c r="CI45" s="301">
        <f t="shared" si="34"/>
        <v>0</v>
      </c>
      <c r="CJ45" s="301">
        <f t="shared" si="34"/>
        <v>0</v>
      </c>
      <c r="CK45" s="301">
        <f t="shared" si="34"/>
        <v>0</v>
      </c>
      <c r="CL45" s="301">
        <f t="shared" si="34"/>
        <v>0</v>
      </c>
      <c r="CM45" s="301">
        <f t="shared" si="34"/>
        <v>0</v>
      </c>
      <c r="CN45" s="301">
        <f t="shared" si="34"/>
        <v>0</v>
      </c>
      <c r="CO45" s="301">
        <f t="shared" si="34"/>
        <v>0</v>
      </c>
      <c r="CP45" s="301">
        <f t="shared" si="34"/>
        <v>0</v>
      </c>
      <c r="CQ45" s="301">
        <f t="shared" si="34"/>
        <v>0</v>
      </c>
      <c r="CR45" s="301">
        <f t="shared" si="34"/>
        <v>0</v>
      </c>
      <c r="CS45" s="301">
        <f t="shared" si="34"/>
        <v>0</v>
      </c>
      <c r="CT45" s="301">
        <f t="shared" si="34"/>
        <v>0</v>
      </c>
      <c r="CU45" s="301">
        <f t="shared" si="34"/>
        <v>0</v>
      </c>
      <c r="CV45" s="301">
        <f t="shared" si="34"/>
        <v>0</v>
      </c>
      <c r="CW45" s="301">
        <f t="shared" si="34"/>
        <v>0</v>
      </c>
      <c r="CX45" s="301">
        <f t="shared" si="34"/>
        <v>0</v>
      </c>
      <c r="CY45" s="301">
        <f t="shared" si="34"/>
        <v>0</v>
      </c>
      <c r="CZ45" s="301">
        <f t="shared" si="34"/>
        <v>0</v>
      </c>
      <c r="DA45" s="301">
        <f t="shared" si="34"/>
        <v>0</v>
      </c>
      <c r="DB45" s="301">
        <f t="shared" si="34"/>
        <v>0</v>
      </c>
      <c r="DC45" s="301">
        <f t="shared" si="34"/>
        <v>0</v>
      </c>
      <c r="DD45" s="301">
        <f t="shared" si="34"/>
        <v>0</v>
      </c>
      <c r="DE45" s="301">
        <f t="shared" si="34"/>
        <v>0</v>
      </c>
      <c r="DF45" s="301">
        <f t="shared" ref="DF45:DQ45" si="35">+DF44+DF42</f>
        <v>0</v>
      </c>
      <c r="DG45" s="301">
        <f t="shared" si="35"/>
        <v>0</v>
      </c>
      <c r="DH45" s="301">
        <f t="shared" si="35"/>
        <v>0</v>
      </c>
      <c r="DI45" s="301">
        <f t="shared" si="35"/>
        <v>0</v>
      </c>
      <c r="DJ45" s="301">
        <f t="shared" si="35"/>
        <v>0</v>
      </c>
      <c r="DK45" s="301">
        <f t="shared" si="35"/>
        <v>0</v>
      </c>
      <c r="DL45" s="301">
        <f t="shared" si="35"/>
        <v>0</v>
      </c>
      <c r="DM45" s="301">
        <f t="shared" si="35"/>
        <v>0</v>
      </c>
      <c r="DN45" s="301">
        <f t="shared" si="35"/>
        <v>0</v>
      </c>
      <c r="DO45" s="301">
        <f t="shared" si="35"/>
        <v>0</v>
      </c>
      <c r="DP45" s="301">
        <f t="shared" si="35"/>
        <v>0</v>
      </c>
      <c r="DQ45" s="301">
        <f t="shared" si="35"/>
        <v>0</v>
      </c>
      <c r="DR45" s="301">
        <f t="shared" ref="DR45" si="36">+DR44+DR42</f>
        <v>0</v>
      </c>
      <c r="DT45" s="301">
        <f>+DT44+DT42</f>
        <v>0</v>
      </c>
      <c r="DU45" s="301">
        <f>+DU44+DU42</f>
        <v>0</v>
      </c>
      <c r="DV45" s="301">
        <f t="shared" ref="DV45:EC45" si="37">+DV44+DV42</f>
        <v>0</v>
      </c>
      <c r="DW45" s="301">
        <f t="shared" si="37"/>
        <v>0</v>
      </c>
      <c r="DX45" s="301">
        <f t="shared" si="37"/>
        <v>0</v>
      </c>
      <c r="DY45" s="301">
        <f t="shared" si="37"/>
        <v>0</v>
      </c>
      <c r="DZ45" s="301">
        <f t="shared" si="37"/>
        <v>0</v>
      </c>
      <c r="EA45" s="301">
        <f t="shared" si="37"/>
        <v>0</v>
      </c>
      <c r="EB45" s="301">
        <f t="shared" si="37"/>
        <v>0</v>
      </c>
      <c r="EC45" s="301">
        <f t="shared" si="37"/>
        <v>0</v>
      </c>
    </row>
    <row r="46" thickTop="1">
      <c r="A46" s="323"/>
    </row>
    <row r="47" ht="14.5">
      <c r="A47" s="323"/>
    </row>
    <row r="48" ht="14.5">
      <c r="A48" s="314" t="s">
        <v>1269</v>
      </c>
      <c r="C48" s="315" t="e">
        <f>+C45-'Cflow-mese'!C61</f>
        <v>#REF!</v>
      </c>
      <c r="D48" s="315" t="e">
        <f>+D45-'Cflow-mese'!D61</f>
        <v>#REF!</v>
      </c>
      <c r="E48" s="315" t="e">
        <f>+E45-'Cflow-mese'!E61</f>
        <v>#REF!</v>
      </c>
      <c r="F48" s="315" t="e">
        <f>+F45-'Cflow-mese'!F61</f>
        <v>#REF!</v>
      </c>
      <c r="G48" s="315" t="e">
        <f>+G45-'Cflow-mese'!G61</f>
        <v>#REF!</v>
      </c>
      <c r="H48" s="315" t="e">
        <f>+H45-'Cflow-mese'!H61</f>
        <v>#REF!</v>
      </c>
      <c r="I48" s="315" t="e">
        <f>+I45-'Cflow-mese'!I61</f>
        <v>#REF!</v>
      </c>
      <c r="J48" s="315" t="e">
        <f>+J45-'Cflow-mese'!J61</f>
        <v>#REF!</v>
      </c>
      <c r="K48" s="315" t="e">
        <f>+K45-'Cflow-mese'!K61</f>
        <v>#REF!</v>
      </c>
      <c r="L48" s="315" t="e">
        <f>+L45-'Cflow-mese'!L61</f>
        <v>#REF!</v>
      </c>
      <c r="M48" s="315" t="e">
        <f>+M45-'Cflow-mese'!M61</f>
        <v>#REF!</v>
      </c>
      <c r="N48" s="315" t="e">
        <f>+N45-'Cflow-mese'!N61</f>
        <v>#REF!</v>
      </c>
      <c r="O48" s="315" t="e">
        <f>+O45-'Cflow-mese'!O61</f>
        <v>#REF!</v>
      </c>
      <c r="P48" s="315" t="e">
        <f>+P45-'Cflow-mese'!P61</f>
        <v>#REF!</v>
      </c>
      <c r="Q48" s="315" t="e">
        <f>+Q45-'Cflow-mese'!Q61</f>
        <v>#REF!</v>
      </c>
      <c r="R48" s="315" t="e">
        <f>+R45-'Cflow-mese'!R61</f>
        <v>#REF!</v>
      </c>
      <c r="S48" s="315" t="e">
        <f>+S45-'Cflow-mese'!S61</f>
        <v>#REF!</v>
      </c>
      <c r="T48" s="315" t="e">
        <f>+T45-'Cflow-mese'!T61</f>
        <v>#REF!</v>
      </c>
      <c r="U48" s="315" t="e">
        <f>+U45-'Cflow-mese'!U61</f>
        <v>#REF!</v>
      </c>
      <c r="V48" s="315" t="e">
        <f>+V45-'Cflow-mese'!V61</f>
        <v>#REF!</v>
      </c>
      <c r="W48" s="315" t="e">
        <f>+W45-'Cflow-mese'!W61</f>
        <v>#REF!</v>
      </c>
      <c r="X48" s="315" t="e">
        <f>+X45-'Cflow-mese'!X61</f>
        <v>#REF!</v>
      </c>
      <c r="Y48" s="315" t="e">
        <f>+Y45-'Cflow-mese'!Y61</f>
        <v>#REF!</v>
      </c>
      <c r="Z48" s="315" t="e">
        <f>+Z45-'Cflow-mese'!Z61</f>
        <v>#REF!</v>
      </c>
      <c r="AA48" s="315" t="e">
        <f>+AA45-'Cflow-mese'!AA61</f>
        <v>#REF!</v>
      </c>
      <c r="AB48" s="315" t="e">
        <f>+AB45-'Cflow-mese'!AB61</f>
        <v>#REF!</v>
      </c>
      <c r="AC48" s="315" t="e">
        <f>+AC45-'Cflow-mese'!AC61</f>
        <v>#REF!</v>
      </c>
      <c r="AD48" s="315" t="e">
        <f>+AD45-'Cflow-mese'!AD61</f>
        <v>#REF!</v>
      </c>
      <c r="AE48" s="315" t="e">
        <f>+AE45-'Cflow-mese'!AE61</f>
        <v>#REF!</v>
      </c>
      <c r="AF48" s="315" t="e">
        <f>+AF45-'Cflow-mese'!AF61</f>
        <v>#REF!</v>
      </c>
      <c r="AG48" s="315" t="e">
        <f>+AG45-'Cflow-mese'!AG61</f>
        <v>#REF!</v>
      </c>
      <c r="AH48" s="315" t="e">
        <f>+AH45-'Cflow-mese'!AH61</f>
        <v>#REF!</v>
      </c>
      <c r="AI48" s="315" t="e">
        <f>+AI45-'Cflow-mese'!AI61</f>
        <v>#REF!</v>
      </c>
      <c r="AJ48" s="315" t="e">
        <f>+AJ45-'Cflow-mese'!AJ61</f>
        <v>#REF!</v>
      </c>
      <c r="AK48" s="315" t="e">
        <f>+AK45-'Cflow-mese'!AK61</f>
        <v>#REF!</v>
      </c>
      <c r="AL48" s="315" t="e">
        <f>+AL45-'Cflow-mese'!AL61</f>
        <v>#REF!</v>
      </c>
      <c r="AM48" s="315" t="e">
        <f>+AM45-'Cflow-mese'!AM61</f>
        <v>#REF!</v>
      </c>
      <c r="AN48" s="315" t="e">
        <f>+AN45-'Cflow-mese'!AN61</f>
        <v>#REF!</v>
      </c>
      <c r="AO48" s="315" t="e">
        <f>+AO45-'Cflow-mese'!AO61</f>
        <v>#REF!</v>
      </c>
      <c r="AP48" s="315" t="e">
        <f>+AP45-'Cflow-mese'!AP61</f>
        <v>#REF!</v>
      </c>
      <c r="AQ48" s="315" t="e">
        <f>+AQ45-'Cflow-mese'!AQ61</f>
        <v>#REF!</v>
      </c>
      <c r="AR48" s="315" t="e">
        <f>+AR45-'Cflow-mese'!AR61</f>
        <v>#REF!</v>
      </c>
      <c r="AS48" s="315" t="e">
        <f>+AS45-'Cflow-mese'!AS61</f>
        <v>#REF!</v>
      </c>
      <c r="AT48" s="315" t="e">
        <f>+AT45-'Cflow-mese'!AT61</f>
        <v>#REF!</v>
      </c>
      <c r="AU48" s="315" t="e">
        <f>+AU45-'Cflow-mese'!AU61</f>
        <v>#REF!</v>
      </c>
      <c r="AV48" s="315" t="e">
        <f>+AV45-'Cflow-mese'!AV61</f>
        <v>#REF!</v>
      </c>
      <c r="AW48" s="315" t="e">
        <f>+AW45-'Cflow-mese'!AW61</f>
        <v>#REF!</v>
      </c>
      <c r="AX48" s="315" t="e">
        <f>+AX45-'Cflow-mese'!AX61</f>
        <v>#REF!</v>
      </c>
      <c r="AY48" s="315" t="e">
        <f>+AY45-'Cflow-mese'!AY61</f>
        <v>#REF!</v>
      </c>
      <c r="AZ48" s="315" t="e">
        <f>+AZ45-'Cflow-mese'!AZ61</f>
        <v>#REF!</v>
      </c>
      <c r="BA48" s="315" t="e">
        <f>+BA45-'Cflow-mese'!BA61</f>
        <v>#REF!</v>
      </c>
      <c r="BB48" s="315" t="e">
        <f>+BB45-'Cflow-mese'!BB61</f>
        <v>#REF!</v>
      </c>
      <c r="BC48" s="315" t="e">
        <f>+BC45-'Cflow-mese'!BC61</f>
        <v>#REF!</v>
      </c>
      <c r="BD48" s="315" t="e">
        <f>+BD45-'Cflow-mese'!BD61</f>
        <v>#REF!</v>
      </c>
      <c r="BE48" s="315" t="e">
        <f>+BE45-'Cflow-mese'!BE61</f>
        <v>#REF!</v>
      </c>
      <c r="BF48" s="315" t="e">
        <f>+BF45-'Cflow-mese'!BF61</f>
        <v>#REF!</v>
      </c>
      <c r="BG48" s="315" t="e">
        <f>+BG45-'Cflow-mese'!BG61</f>
        <v>#REF!</v>
      </c>
      <c r="BH48" s="315" t="e">
        <f>+BH45-'Cflow-mese'!BH61</f>
        <v>#REF!</v>
      </c>
      <c r="BI48" s="315" t="e">
        <f>+BI45-'Cflow-mese'!BI61</f>
        <v>#REF!</v>
      </c>
      <c r="BJ48" s="315" t="e">
        <f>+BJ45-'Cflow-mese'!BJ61</f>
        <v>#REF!</v>
      </c>
      <c r="BK48" s="315" t="e">
        <f>+BK45-'Cflow-mese'!BK61</f>
        <v>#REF!</v>
      </c>
      <c r="BL48" s="315" t="e">
        <f>+BL45-'Cflow-mese'!BL61</f>
        <v>#REF!</v>
      </c>
      <c r="BM48" s="315" t="e">
        <f>+BM45-'Cflow-mese'!BM61</f>
        <v>#REF!</v>
      </c>
      <c r="BN48" s="315" t="e">
        <f>+BN45-'Cflow-mese'!BN61</f>
        <v>#REF!</v>
      </c>
      <c r="BO48" s="315" t="e">
        <f>+BO45-'Cflow-mese'!BO61</f>
        <v>#REF!</v>
      </c>
      <c r="BP48" s="315" t="e">
        <f>+BP45-'Cflow-mese'!BP61</f>
        <v>#REF!</v>
      </c>
      <c r="BQ48" s="315" t="e">
        <f>+BQ45-'Cflow-mese'!BQ61</f>
        <v>#REF!</v>
      </c>
      <c r="BR48" s="315" t="e">
        <f>+BR45-'Cflow-mese'!BR61</f>
        <v>#REF!</v>
      </c>
      <c r="BS48" s="315" t="e">
        <f>+BS45-'Cflow-mese'!BS61</f>
        <v>#REF!</v>
      </c>
      <c r="BT48" s="315" t="e">
        <f>+BT45-'Cflow-mese'!BT61</f>
        <v>#REF!</v>
      </c>
      <c r="BU48" s="315" t="e">
        <f>+BU45-'Cflow-mese'!BU61</f>
        <v>#REF!</v>
      </c>
      <c r="BV48" s="315" t="e">
        <f>+BV45-'Cflow-mese'!BV61</f>
        <v>#REF!</v>
      </c>
      <c r="BW48" s="315" t="e">
        <f>+BW45-'Cflow-mese'!BW61</f>
        <v>#REF!</v>
      </c>
      <c r="BX48" s="315" t="e">
        <f>+BX45-'Cflow-mese'!BX61</f>
        <v>#REF!</v>
      </c>
      <c r="BY48" s="315" t="e">
        <f>+BY45-'Cflow-mese'!BY61</f>
        <v>#REF!</v>
      </c>
      <c r="BZ48" s="315" t="e">
        <f>+BZ45-'Cflow-mese'!BZ61</f>
        <v>#REF!</v>
      </c>
      <c r="CA48" s="315" t="e">
        <f>+CA45-'Cflow-mese'!CA61</f>
        <v>#REF!</v>
      </c>
      <c r="CB48" s="315" t="e">
        <f>+CB45-'Cflow-mese'!CB61</f>
        <v>#REF!</v>
      </c>
      <c r="CC48" s="315" t="e">
        <f>+CC45-'Cflow-mese'!CC61</f>
        <v>#REF!</v>
      </c>
      <c r="CD48" s="315" t="e">
        <f>+CD45-'Cflow-mese'!CD61</f>
        <v>#REF!</v>
      </c>
      <c r="CE48" s="315" t="e">
        <f>+CE45-'Cflow-mese'!CE61</f>
        <v>#REF!</v>
      </c>
      <c r="CF48" s="315" t="e">
        <f>+CF45-'Cflow-mese'!CF61</f>
        <v>#REF!</v>
      </c>
      <c r="CG48" s="315" t="e">
        <f>+CG45-'Cflow-mese'!CG61</f>
        <v>#REF!</v>
      </c>
      <c r="CH48" s="315" t="e">
        <f>+CH45-'Cflow-mese'!CH61</f>
        <v>#REF!</v>
      </c>
      <c r="CI48" s="315" t="e">
        <f>+CI45-'Cflow-mese'!CI61</f>
        <v>#REF!</v>
      </c>
      <c r="CJ48" s="315" t="e">
        <f>+CJ45-'Cflow-mese'!CJ61</f>
        <v>#REF!</v>
      </c>
      <c r="CK48" s="315" t="e">
        <f>+CK45-'Cflow-mese'!CK61</f>
        <v>#REF!</v>
      </c>
      <c r="CL48" s="315" t="e">
        <f>+CL45-'Cflow-mese'!CL61</f>
        <v>#REF!</v>
      </c>
      <c r="CM48" s="315" t="e">
        <f>+CM45-'Cflow-mese'!CM61</f>
        <v>#REF!</v>
      </c>
      <c r="CN48" s="315" t="e">
        <f>+CN45-'Cflow-mese'!CN61</f>
        <v>#REF!</v>
      </c>
      <c r="CO48" s="315" t="e">
        <f>+CO45-'Cflow-mese'!CO61</f>
        <v>#REF!</v>
      </c>
      <c r="CP48" s="315" t="e">
        <f>+CP45-'Cflow-mese'!CP61</f>
        <v>#REF!</v>
      </c>
      <c r="CQ48" s="315" t="e">
        <f>+CQ45-'Cflow-mese'!CQ61</f>
        <v>#REF!</v>
      </c>
      <c r="CR48" s="315" t="e">
        <f>+CR45-'Cflow-mese'!CR61</f>
        <v>#REF!</v>
      </c>
      <c r="CS48" s="315" t="e">
        <f>+CS45-'Cflow-mese'!CS61</f>
        <v>#REF!</v>
      </c>
      <c r="CT48" s="315" t="e">
        <f>+CT45-'Cflow-mese'!CT61</f>
        <v>#REF!</v>
      </c>
      <c r="CU48" s="315" t="e">
        <f>+CU45-'Cflow-mese'!CU61</f>
        <v>#REF!</v>
      </c>
      <c r="CV48" s="315" t="e">
        <f>+CV45-'Cflow-mese'!CV61</f>
        <v>#REF!</v>
      </c>
      <c r="CW48" s="315" t="e">
        <f>+CW45-'Cflow-mese'!CW61</f>
        <v>#REF!</v>
      </c>
      <c r="CX48" s="315" t="e">
        <f>+CX45-'Cflow-mese'!CX61</f>
        <v>#REF!</v>
      </c>
      <c r="CY48" s="315" t="e">
        <f>+CY45-'Cflow-mese'!CY61</f>
        <v>#REF!</v>
      </c>
      <c r="CZ48" s="315" t="e">
        <f>+CZ45-'Cflow-mese'!CZ61</f>
        <v>#REF!</v>
      </c>
      <c r="DA48" s="315" t="e">
        <f>+DA45-'Cflow-mese'!DA61</f>
        <v>#REF!</v>
      </c>
      <c r="DB48" s="315" t="e">
        <f>+DB45-'Cflow-mese'!DB61</f>
        <v>#REF!</v>
      </c>
      <c r="DC48" s="315" t="e">
        <f>+DC45-'Cflow-mese'!DC61</f>
        <v>#REF!</v>
      </c>
      <c r="DD48" s="315" t="e">
        <f>+DD45-'Cflow-mese'!DD61</f>
        <v>#REF!</v>
      </c>
      <c r="DE48" s="315" t="e">
        <f>+DE45-'Cflow-mese'!DE61</f>
        <v>#REF!</v>
      </c>
      <c r="DF48" s="315" t="e">
        <f>+DF45-'Cflow-mese'!DF61</f>
        <v>#REF!</v>
      </c>
      <c r="DG48" s="315" t="e">
        <f>+DG45-'Cflow-mese'!DG61</f>
        <v>#REF!</v>
      </c>
      <c r="DH48" s="315" t="e">
        <f>+DH45-'Cflow-mese'!DH61</f>
        <v>#REF!</v>
      </c>
      <c r="DI48" s="315" t="e">
        <f>+DI45-'Cflow-mese'!DI61</f>
        <v>#REF!</v>
      </c>
      <c r="DJ48" s="315" t="e">
        <f>+DJ45-'Cflow-mese'!DJ61</f>
        <v>#REF!</v>
      </c>
      <c r="DK48" s="315" t="e">
        <f>+DK45-'Cflow-mese'!DK61</f>
        <v>#REF!</v>
      </c>
      <c r="DL48" s="315" t="e">
        <f>+DL45-'Cflow-mese'!DL61</f>
        <v>#REF!</v>
      </c>
      <c r="DM48" s="315" t="e">
        <f>+DM45-'Cflow-mese'!DM61</f>
        <v>#REF!</v>
      </c>
      <c r="DN48" s="315" t="e">
        <f>+DN45-'Cflow-mese'!DN61</f>
        <v>#REF!</v>
      </c>
      <c r="DO48" s="315" t="e">
        <f>+DO45-'Cflow-mese'!DO61</f>
        <v>#REF!</v>
      </c>
      <c r="DP48" s="315" t="e">
        <f>+DP45-'Cflow-mese'!DP61</f>
        <v>#REF!</v>
      </c>
      <c r="DQ48" s="315" t="e">
        <f>+DQ45-'Cflow-mese'!DQ61</f>
        <v>#REF!</v>
      </c>
      <c r="DR48" s="315" t="e">
        <f>+DR45-'Cflow-mese'!DR61</f>
        <v>#REF!</v>
      </c>
      <c r="DT48" s="315" t="e">
        <f>+DT45-'Cflow-mese'!DT61</f>
        <v>#REF!</v>
      </c>
      <c r="DU48" s="315" t="e">
        <f>+DU45-'Cflow-mese'!DU61</f>
        <v>#REF!</v>
      </c>
      <c r="DV48" s="315" t="e">
        <f>+DV45-'Cflow-mese'!DV61</f>
        <v>#REF!</v>
      </c>
      <c r="DW48" s="315" t="e">
        <f>+DW45-'Cflow-mese'!DW61</f>
        <v>#REF!</v>
      </c>
      <c r="DX48" s="315" t="e">
        <f>+DX45-'Cflow-mese'!DX61</f>
        <v>#REF!</v>
      </c>
      <c r="DY48" s="315" t="e">
        <f>+DY45-'Cflow-mese'!DY61</f>
        <v>#REF!</v>
      </c>
      <c r="DZ48" s="315" t="e">
        <f>+DZ45-'Cflow-mese'!DZ61</f>
        <v>#REF!</v>
      </c>
      <c r="EA48" s="315" t="e">
        <f>+EA45-'Cflow-mese'!EA61</f>
        <v>#REF!</v>
      </c>
      <c r="EB48" s="315" t="e">
        <f>+EB45-'Cflow-mese'!EB61</f>
        <v>#REF!</v>
      </c>
      <c r="EC48" s="315" t="e">
        <f>+EC45-'Cflow-mese'!EC61</f>
        <v>#REF!</v>
      </c>
    </row>
    <row r="49" ht="14.5">
      <c r="A49" s="323"/>
    </row>
    <row r="50" ht="14.5">
      <c r="A50" s="324"/>
    </row>
    <row r="51" ht="14.5">
      <c r="A51" s="324"/>
    </row>
    <row r="52" ht="14.5">
      <c r="A52" s="324"/>
    </row>
    <row r="53" ht="14.5">
      <c r="A53" s="324"/>
    </row>
    <row r="54" ht="14.5">
      <c r="A54" s="323"/>
    </row>
    <row r="55" ht="14.5">
      <c r="A55" s="323"/>
    </row>
    <row r="56" ht="14.5">
      <c r="A56" s="323"/>
    </row>
    <row r="57" ht="14.5">
      <c r="A57" s="323"/>
    </row>
    <row r="58" ht="14.5">
      <c r="A58" s="323"/>
    </row>
    <row r="59" ht="14.5">
      <c r="A59" s="323"/>
    </row>
    <row r="60" ht="14.5">
      <c r="A60" s="323"/>
    </row>
    <row r="61" ht="14.5">
      <c r="A61" s="323"/>
    </row>
    <row r="62" ht="14.5">
      <c r="A62" s="323"/>
    </row>
    <row r="63" ht="14.5">
      <c r="A63" s="323"/>
    </row>
    <row r="64" ht="14.5">
      <c r="A64" s="323"/>
    </row>
  </sheetData>
  <hyperlinks>
    <hyperlink ref="A1" location="Input!A1" display="MENU"/>
  </hyperlinks>
  <pageSetup r:id="rId1" paperSize="9" orientation="portrait"/>
</worksheet>
</file>

<file path=xl/worksheets/sheet35.xml><?xml version="1.0" encoding="utf-8"?>
<worksheet xmlns:r="http://schemas.openxmlformats.org/officeDocument/2006/relationships" xmlns="http://schemas.openxmlformats.org/spreadsheetml/2006/main">
  <sheetPr>
    <tabColor theme="9" tint="0.399761955626087"/>
  </sheetPr>
  <sheetViews>
    <sheetView showGridLines="0" zoomScaleNormal="100" zoomScalePageLayoutView="89" workbookViewId="0">
      <pane activePane="topRight" state="frozen" topLeftCell="C1" xSplit="2"/>
    </sheetView>
  </sheetViews>
  <sheetFormatPr defaultColWidth="8.855469" defaultRowHeight="15"/>
  <cols>
    <col min="1" max="1" width="44.42578" bestFit="1" customWidth="1"/>
    <col min="2" max="2" width="6.425781" bestFit="1" customWidth="1"/>
    <col min="3" max="3" width="23.42578" bestFit="1" customWidth="1"/>
    <col min="4" max="110" width="12.85547" customWidth="1"/>
    <col min="111" max="123" width="14" bestFit="1" customWidth="1"/>
  </cols>
  <sheetData>
    <row r="1" ht="14.5">
      <c r="A1" s="79" t="s">
        <v>38</v>
      </c>
    </row>
    <row r="2" ht="28.5">
      <c r="A2" s="151" t="s">
        <v>45</v>
      </c>
      <c r="B2" s="325"/>
      <c r="C2" s="151" t="s">
        <v>1299</v>
      </c>
    </row>
    <row r="3" ht="14.5">
      <c r="A3" s="143"/>
      <c r="B3" s="143" t="s">
        <v>887</v>
      </c>
      <c r="C3" s="143">
        <f>+Input!D9</f>
        <v>2025</v>
      </c>
      <c r="D3" s="143">
        <f>+IF(D4=1,C3+1,C3)</f>
        <v>2025</v>
      </c>
      <c r="E3" s="143">
        <f t="shared" ref="E3:M3" si="0">+IF(E4=1,D3+1,D3)</f>
        <v>2025</v>
      </c>
      <c r="F3" s="143">
        <f t="shared" si="0"/>
        <v>2025</v>
      </c>
      <c r="G3" s="143">
        <f t="shared" si="0"/>
        <v>2026</v>
      </c>
      <c r="H3" s="143">
        <f t="shared" si="0"/>
        <v>2026</v>
      </c>
      <c r="I3" s="143">
        <f t="shared" si="0"/>
        <v>2026</v>
      </c>
      <c r="J3" s="143">
        <f t="shared" si="0"/>
        <v>2026</v>
      </c>
      <c r="K3" s="143">
        <f t="shared" si="0"/>
        <v>2026</v>
      </c>
      <c r="L3" s="143">
        <f t="shared" si="0"/>
        <v>2026</v>
      </c>
      <c r="M3" s="143">
        <f t="shared" si="0"/>
        <v>2026</v>
      </c>
      <c r="N3" s="143">
        <f t="shared" ref="N3" si="1">+IF(N4=1,M3+1,M3)</f>
        <v>2026</v>
      </c>
      <c r="O3" s="143">
        <f t="shared" ref="O3" si="2">+IF(O4=1,N3+1,N3)</f>
        <v>2026</v>
      </c>
      <c r="P3" s="143">
        <f t="shared" ref="P3" si="3">+IF(P4=1,O3+1,O3)</f>
        <v>2026</v>
      </c>
      <c r="Q3" s="143">
        <f t="shared" ref="Q3" si="4">+IF(Q4=1,P3+1,P3)</f>
        <v>2026</v>
      </c>
      <c r="R3" s="143">
        <f t="shared" ref="R3" si="5">+IF(R4=1,Q3+1,Q3)</f>
        <v>2026</v>
      </c>
      <c r="S3" s="143">
        <f t="shared" ref="S3" si="6">+IF(S4=1,R3+1,R3)</f>
        <v>2027</v>
      </c>
      <c r="T3" s="143">
        <f t="shared" ref="T3" si="7">+IF(T4=1,S3+1,S3)</f>
        <v>2027</v>
      </c>
      <c r="U3" s="143">
        <f t="shared" ref="U3" si="8">+IF(U4=1,T3+1,T3)</f>
        <v>2027</v>
      </c>
      <c r="V3" s="143">
        <f t="shared" ref="V3" si="9">+IF(V4=1,U3+1,U3)</f>
        <v>2027</v>
      </c>
      <c r="W3" s="143">
        <f t="shared" ref="W3" si="10">+IF(W4=1,V3+1,V3)</f>
        <v>2027</v>
      </c>
      <c r="X3" s="143">
        <f t="shared" ref="X3" si="11">+IF(X4=1,W3+1,W3)</f>
        <v>2027</v>
      </c>
      <c r="Y3" s="143">
        <f t="shared" ref="Y3" si="12">+IF(Y4=1,X3+1,X3)</f>
        <v>2027</v>
      </c>
      <c r="Z3" s="143">
        <f t="shared" ref="Z3" si="13">+IF(Z4=1,Y3+1,Y3)</f>
        <v>2027</v>
      </c>
      <c r="AA3" s="143">
        <f t="shared" ref="AA3" si="14">+IF(AA4=1,Z3+1,Z3)</f>
        <v>2027</v>
      </c>
      <c r="AB3" s="143">
        <f t="shared" ref="AB3" si="15">+IF(AB4=1,AA3+1,AA3)</f>
        <v>2027</v>
      </c>
      <c r="AC3" s="143">
        <f t="shared" ref="AC3" si="16">+IF(AC4=1,AB3+1,AB3)</f>
        <v>2027</v>
      </c>
      <c r="AD3" s="143">
        <f t="shared" ref="AD3" si="17">+IF(AD4=1,AC3+1,AC3)</f>
        <v>2027</v>
      </c>
      <c r="AE3" s="143">
        <f t="shared" ref="AE3" si="18">+IF(AE4=1,AD3+1,AD3)</f>
        <v>2028</v>
      </c>
      <c r="AF3" s="143">
        <f t="shared" ref="AF3" si="19">+IF(AF4=1,AE3+1,AE3)</f>
        <v>2028</v>
      </c>
      <c r="AG3" s="143">
        <f t="shared" ref="AG3" si="20">+IF(AG4=1,AF3+1,AF3)</f>
        <v>2028</v>
      </c>
      <c r="AH3" s="143">
        <f t="shared" ref="AH3" si="21">+IF(AH4=1,AG3+1,AG3)</f>
        <v>2028</v>
      </c>
      <c r="AI3" s="143">
        <f t="shared" ref="AI3" si="22">+IF(AI4=1,AH3+1,AH3)</f>
        <v>2028</v>
      </c>
      <c r="AJ3" s="143">
        <f t="shared" ref="AJ3" si="23">+IF(AJ4=1,AI3+1,AI3)</f>
        <v>2028</v>
      </c>
      <c r="AK3" s="143">
        <f t="shared" ref="AK3" si="24">+IF(AK4=1,AJ3+1,AJ3)</f>
        <v>2028</v>
      </c>
      <c r="AL3" s="143">
        <f t="shared" ref="AL3" si="25">+IF(AL4=1,AK3+1,AK3)</f>
        <v>2028</v>
      </c>
      <c r="AM3" s="143">
        <f t="shared" ref="AM3" si="26">+IF(AM4=1,AL3+1,AL3)</f>
        <v>2028</v>
      </c>
      <c r="AN3" s="143">
        <f t="shared" ref="AN3" si="27">+IF(AN4=1,AM3+1,AM3)</f>
        <v>2028</v>
      </c>
      <c r="AO3" s="143">
        <f t="shared" ref="AO3" si="28">+IF(AO4=1,AN3+1,AN3)</f>
        <v>2028</v>
      </c>
      <c r="AP3" s="143">
        <f t="shared" ref="AP3" si="29">+IF(AP4=1,AO3+1,AO3)</f>
        <v>2028</v>
      </c>
      <c r="AQ3" s="143">
        <f t="shared" ref="AQ3" si="30">+IF(AQ4=1,AP3+1,AP3)</f>
        <v>2029</v>
      </c>
      <c r="AR3" s="143">
        <f t="shared" ref="AR3" si="31">+IF(AR4=1,AQ3+1,AQ3)</f>
        <v>2029</v>
      </c>
      <c r="AS3" s="143">
        <f t="shared" ref="AS3" si="32">+IF(AS4=1,AR3+1,AR3)</f>
        <v>2029</v>
      </c>
      <c r="AT3" s="143">
        <f t="shared" ref="AT3" si="33">+IF(AT4=1,AS3+1,AS3)</f>
        <v>2029</v>
      </c>
      <c r="AU3" s="143">
        <f t="shared" ref="AU3" si="34">+IF(AU4=1,AT3+1,AT3)</f>
        <v>2029</v>
      </c>
      <c r="AV3" s="143">
        <f t="shared" ref="AV3" si="35">+IF(AV4=1,AU3+1,AU3)</f>
        <v>2029</v>
      </c>
      <c r="AW3" s="143">
        <f t="shared" ref="AW3" si="36">+IF(AW4=1,AV3+1,AV3)</f>
        <v>2029</v>
      </c>
      <c r="AX3" s="143">
        <f t="shared" ref="AX3" si="37">+IF(AX4=1,AW3+1,AW3)</f>
        <v>2029</v>
      </c>
      <c r="AY3" s="143">
        <f t="shared" ref="AY3" si="38">+IF(AY4=1,AX3+1,AX3)</f>
        <v>2029</v>
      </c>
      <c r="AZ3" s="143">
        <f t="shared" ref="AZ3" si="39">+IF(AZ4=1,AY3+1,AY3)</f>
        <v>2029</v>
      </c>
      <c r="BA3" s="143">
        <f t="shared" ref="BA3" si="40">+IF(BA4=1,AZ3+1,AZ3)</f>
        <v>2029</v>
      </c>
      <c r="BB3" s="143">
        <f t="shared" ref="BB3" si="41">+IF(BB4=1,BA3+1,BA3)</f>
        <v>2029</v>
      </c>
      <c r="BC3" s="143">
        <f t="shared" ref="BC3" si="42">+IF(BC4=1,BB3+1,BB3)</f>
        <v>2030</v>
      </c>
      <c r="BD3" s="143">
        <f t="shared" ref="BD3" si="43">+IF(BD4=1,BC3+1,BC3)</f>
        <v>2030</v>
      </c>
      <c r="BE3" s="143">
        <f t="shared" ref="BE3" si="44">+IF(BE4=1,BD3+1,BD3)</f>
        <v>2030</v>
      </c>
      <c r="BF3" s="143">
        <f t="shared" ref="BF3" si="45">+IF(BF4=1,BE3+1,BE3)</f>
        <v>2030</v>
      </c>
      <c r="BG3" s="143">
        <f t="shared" ref="BG3" si="46">+IF(BG4=1,BF3+1,BF3)</f>
        <v>2030</v>
      </c>
      <c r="BH3" s="143">
        <f t="shared" ref="BH3" si="47">+IF(BH4=1,BG3+1,BG3)</f>
        <v>2030</v>
      </c>
      <c r="BI3" s="143">
        <f t="shared" ref="BI3" si="48">+IF(BI4=1,BH3+1,BH3)</f>
        <v>2030</v>
      </c>
      <c r="BJ3" s="143">
        <f t="shared" ref="BJ3" si="49">+IF(BJ4=1,BI3+1,BI3)</f>
        <v>2030</v>
      </c>
      <c r="BK3" s="143">
        <f t="shared" ref="BK3" si="50">+IF(BK4=1,BJ3+1,BJ3)</f>
        <v>2030</v>
      </c>
      <c r="BL3" s="143">
        <f t="shared" ref="BL3" si="51">+IF(BL4=1,BK3+1,BK3)</f>
        <v>2030</v>
      </c>
      <c r="BM3" s="143">
        <f t="shared" ref="BM3" si="52">+IF(BM4=1,BL3+1,BL3)</f>
        <v>2030</v>
      </c>
      <c r="BN3" s="143">
        <f t="shared" ref="BN3" si="53">+IF(BN4=1,BM3+1,BM3)</f>
        <v>2030</v>
      </c>
      <c r="BO3" s="143">
        <f t="shared" ref="BO3" si="54">+IF(BO4=1,BN3+1,BN3)</f>
        <v>2031</v>
      </c>
      <c r="BP3" s="143">
        <f t="shared" ref="BP3" si="55">+IF(BP4=1,BO3+1,BO3)</f>
        <v>2031</v>
      </c>
      <c r="BQ3" s="143">
        <f t="shared" ref="BQ3" si="56">+IF(BQ4=1,BP3+1,BP3)</f>
        <v>2031</v>
      </c>
      <c r="BR3" s="143">
        <f t="shared" ref="BR3" si="57">+IF(BR4=1,BQ3+1,BQ3)</f>
        <v>2031</v>
      </c>
      <c r="BS3" s="143">
        <f t="shared" ref="BS3" si="58">+IF(BS4=1,BR3+1,BR3)</f>
        <v>2031</v>
      </c>
      <c r="BT3" s="143">
        <f t="shared" ref="BT3" si="59">+IF(BT4=1,BS3+1,BS3)</f>
        <v>2031</v>
      </c>
      <c r="BU3" s="143">
        <f t="shared" ref="BU3" si="60">+IF(BU4=1,BT3+1,BT3)</f>
        <v>2031</v>
      </c>
      <c r="BV3" s="143">
        <f t="shared" ref="BV3" si="61">+IF(BV4=1,BU3+1,BU3)</f>
        <v>2031</v>
      </c>
      <c r="BW3" s="143">
        <f t="shared" ref="BW3" si="62">+IF(BW4=1,BV3+1,BV3)</f>
        <v>2031</v>
      </c>
      <c r="BX3" s="143">
        <f t="shared" ref="BX3" si="63">+IF(BX4=1,BW3+1,BW3)</f>
        <v>2031</v>
      </c>
      <c r="BY3" s="143">
        <f t="shared" ref="BY3" si="64">+IF(BY4=1,BX3+1,BX3)</f>
        <v>2031</v>
      </c>
      <c r="BZ3" s="143">
        <f t="shared" ref="BZ3" si="65">+IF(BZ4=1,BY3+1,BY3)</f>
        <v>2031</v>
      </c>
      <c r="CA3" s="143">
        <f t="shared" ref="CA3" si="66">+IF(CA4=1,BZ3+1,BZ3)</f>
        <v>2032</v>
      </c>
      <c r="CB3" s="143">
        <f t="shared" ref="CB3" si="67">+IF(CB4=1,CA3+1,CA3)</f>
        <v>2032</v>
      </c>
      <c r="CC3" s="143">
        <f t="shared" ref="CC3" si="68">+IF(CC4=1,CB3+1,CB3)</f>
        <v>2032</v>
      </c>
      <c r="CD3" s="143">
        <f t="shared" ref="CD3" si="69">+IF(CD4=1,CC3+1,CC3)</f>
        <v>2032</v>
      </c>
      <c r="CE3" s="143">
        <f t="shared" ref="CE3" si="70">+IF(CE4=1,CD3+1,CD3)</f>
        <v>2032</v>
      </c>
      <c r="CF3" s="143">
        <f t="shared" ref="CF3" si="71">+IF(CF4=1,CE3+1,CE3)</f>
        <v>2032</v>
      </c>
      <c r="CG3" s="143">
        <f t="shared" ref="CG3" si="72">+IF(CG4=1,CF3+1,CF3)</f>
        <v>2032</v>
      </c>
      <c r="CH3" s="143">
        <f t="shared" ref="CH3" si="73">+IF(CH4=1,CG3+1,CG3)</f>
        <v>2032</v>
      </c>
      <c r="CI3" s="143">
        <f t="shared" ref="CI3" si="74">+IF(CI4=1,CH3+1,CH3)</f>
        <v>2032</v>
      </c>
      <c r="CJ3" s="143">
        <f t="shared" ref="CJ3" si="75">+IF(CJ4=1,CI3+1,CI3)</f>
        <v>2032</v>
      </c>
      <c r="CK3" s="143">
        <f t="shared" ref="CK3" si="76">+IF(CK4=1,CJ3+1,CJ3)</f>
        <v>2032</v>
      </c>
      <c r="CL3" s="143">
        <f t="shared" ref="CL3" si="77">+IF(CL4=1,CK3+1,CK3)</f>
        <v>2032</v>
      </c>
      <c r="CM3" s="143">
        <f t="shared" ref="CM3" si="78">+IF(CM4=1,CL3+1,CL3)</f>
        <v>2033</v>
      </c>
      <c r="CN3" s="143">
        <f t="shared" ref="CN3" si="79">+IF(CN4=1,CM3+1,CM3)</f>
        <v>2033</v>
      </c>
      <c r="CO3" s="143">
        <f t="shared" ref="CO3" si="80">+IF(CO4=1,CN3+1,CN3)</f>
        <v>2033</v>
      </c>
      <c r="CP3" s="143">
        <f t="shared" ref="CP3" si="81">+IF(CP4=1,CO3+1,CO3)</f>
        <v>2033</v>
      </c>
      <c r="CQ3" s="143">
        <f t="shared" ref="CQ3" si="82">+IF(CQ4=1,CP3+1,CP3)</f>
        <v>2033</v>
      </c>
      <c r="CR3" s="143">
        <f t="shared" ref="CR3" si="83">+IF(CR4=1,CQ3+1,CQ3)</f>
        <v>2033</v>
      </c>
      <c r="CS3" s="143">
        <f t="shared" ref="CS3" si="84">+IF(CS4=1,CR3+1,CR3)</f>
        <v>2033</v>
      </c>
      <c r="CT3" s="143">
        <f t="shared" ref="CT3" si="85">+IF(CT4=1,CS3+1,CS3)</f>
        <v>2033</v>
      </c>
      <c r="CU3" s="143">
        <f t="shared" ref="CU3" si="86">+IF(CU4=1,CT3+1,CT3)</f>
        <v>2033</v>
      </c>
      <c r="CV3" s="143">
        <f t="shared" ref="CV3" si="87">+IF(CV4=1,CU3+1,CU3)</f>
        <v>2033</v>
      </c>
      <c r="CW3" s="143">
        <f t="shared" ref="CW3" si="88">+IF(CW4=1,CV3+1,CV3)</f>
        <v>2033</v>
      </c>
      <c r="CX3" s="143">
        <f t="shared" ref="CX3" si="89">+IF(CX4=1,CW3+1,CW3)</f>
        <v>2033</v>
      </c>
      <c r="CY3" s="143">
        <f t="shared" ref="CY3" si="90">+IF(CY4=1,CX3+1,CX3)</f>
        <v>2034</v>
      </c>
      <c r="CZ3" s="143">
        <f t="shared" ref="CZ3" si="91">+IF(CZ4=1,CY3+1,CY3)</f>
        <v>2034</v>
      </c>
      <c r="DA3" s="143">
        <f t="shared" ref="DA3" si="92">+IF(DA4=1,CZ3+1,CZ3)</f>
        <v>2034</v>
      </c>
      <c r="DB3" s="143">
        <f t="shared" ref="DB3" si="93">+IF(DB4=1,DA3+1,DA3)</f>
        <v>2034</v>
      </c>
      <c r="DC3" s="143">
        <f t="shared" ref="DC3" si="94">+IF(DC4=1,DB3+1,DB3)</f>
        <v>2034</v>
      </c>
      <c r="DD3" s="143">
        <f t="shared" ref="DD3" si="95">+IF(DD4=1,DC3+1,DC3)</f>
        <v>2034</v>
      </c>
      <c r="DE3" s="143">
        <f t="shared" ref="DE3" si="96">+IF(DE4=1,DD3+1,DD3)</f>
        <v>2034</v>
      </c>
      <c r="DF3" s="143">
        <f t="shared" ref="DF3" si="97">+IF(DF4=1,DE3+1,DE3)</f>
        <v>2034</v>
      </c>
      <c r="DG3" s="143">
        <f t="shared" ref="DG3" si="98">+IF(DG4=1,DF3+1,DF3)</f>
        <v>2034</v>
      </c>
      <c r="DH3" s="143">
        <f t="shared" ref="DH3" si="99">+IF(DH4=1,DG3+1,DG3)</f>
        <v>2034</v>
      </c>
      <c r="DI3" s="143">
        <f t="shared" ref="DI3" si="100">+IF(DI4=1,DH3+1,DH3)</f>
        <v>2034</v>
      </c>
      <c r="DJ3" s="143">
        <f t="shared" ref="DJ3" si="101">+IF(DJ4=1,DI3+1,DI3)</f>
        <v>2034</v>
      </c>
      <c r="DK3" s="143">
        <f t="shared" ref="DK3" si="102">+IF(DK4=1,DJ3+1,DJ3)</f>
        <v>2035</v>
      </c>
      <c r="DL3" s="143">
        <f t="shared" ref="DL3" si="103">+IF(DL4=1,DK3+1,DK3)</f>
        <v>2035</v>
      </c>
      <c r="DM3" s="143">
        <f t="shared" ref="DM3" si="104">+IF(DM4=1,DL3+1,DL3)</f>
        <v>2035</v>
      </c>
      <c r="DN3" s="143">
        <f t="shared" ref="DN3" si="105">+IF(DN4=1,DM3+1,DM3)</f>
        <v>2035</v>
      </c>
      <c r="DO3" s="143">
        <f t="shared" ref="DO3" si="106">+IF(DO4=1,DN3+1,DN3)</f>
        <v>2035</v>
      </c>
      <c r="DP3" s="143">
        <f t="shared" ref="DP3" si="107">+IF(DP4=1,DO3+1,DO3)</f>
        <v>2035</v>
      </c>
      <c r="DQ3" s="143">
        <f t="shared" ref="DQ3" si="108">+IF(DQ4=1,DP3+1,DP3)</f>
        <v>2035</v>
      </c>
      <c r="DR3" s="143">
        <f t="shared" ref="DR3" si="109">+IF(DR4=1,DQ3+1,DQ3)</f>
        <v>2035</v>
      </c>
      <c r="DS3" s="143">
        <f t="shared" ref="DS3" si="110">+IF(DS4=1,DR3+1,DR3)</f>
        <v>2035</v>
      </c>
    </row>
    <row r="4" thickBot="1">
      <c r="A4" s="282" t="s">
        <v>11</v>
      </c>
      <c r="B4" s="282" t="s">
        <v>888</v>
      </c>
      <c r="C4" s="282">
        <f>Input!D10</f>
        <v>9</v>
      </c>
      <c r="D4" s="282">
        <f>+IF(C4=12,1,C4+1)</f>
        <v>10</v>
      </c>
      <c r="E4" s="282">
        <f t="shared" ref="E4:K4" si="111">+IF(D4=12,1,D4+1)</f>
        <v>11</v>
      </c>
      <c r="F4" s="282">
        <f t="shared" si="111"/>
        <v>12</v>
      </c>
      <c r="G4" s="282">
        <f t="shared" si="111"/>
        <v>1</v>
      </c>
      <c r="H4" s="282">
        <f t="shared" si="111"/>
        <v>2</v>
      </c>
      <c r="I4" s="282">
        <f t="shared" si="111"/>
        <v>3</v>
      </c>
      <c r="J4" s="282">
        <f t="shared" si="111"/>
        <v>4</v>
      </c>
      <c r="K4" s="282">
        <f t="shared" si="111"/>
        <v>5</v>
      </c>
      <c r="L4" s="282">
        <f>+IF(K4=12,1,K4+1)</f>
        <v>6</v>
      </c>
      <c r="M4" s="282">
        <f>+IF(L4=12,1,L4+1)</f>
        <v>7</v>
      </c>
      <c r="N4" s="282">
        <f t="shared" ref="N4:BY4" si="112">+IF(M4=12,1,M4+1)</f>
        <v>8</v>
      </c>
      <c r="O4" s="282">
        <f t="shared" si="112"/>
        <v>9</v>
      </c>
      <c r="P4" s="282">
        <f t="shared" si="112"/>
        <v>10</v>
      </c>
      <c r="Q4" s="282">
        <f t="shared" si="112"/>
        <v>11</v>
      </c>
      <c r="R4" s="282">
        <f t="shared" si="112"/>
        <v>12</v>
      </c>
      <c r="S4" s="282">
        <f t="shared" si="112"/>
        <v>1</v>
      </c>
      <c r="T4" s="282">
        <f t="shared" si="112"/>
        <v>2</v>
      </c>
      <c r="U4" s="282">
        <f t="shared" si="112"/>
        <v>3</v>
      </c>
      <c r="V4" s="282">
        <f t="shared" si="112"/>
        <v>4</v>
      </c>
      <c r="W4" s="282">
        <f t="shared" si="112"/>
        <v>5</v>
      </c>
      <c r="X4" s="282">
        <f t="shared" si="112"/>
        <v>6</v>
      </c>
      <c r="Y4" s="282">
        <f t="shared" si="112"/>
        <v>7</v>
      </c>
      <c r="Z4" s="282">
        <f t="shared" si="112"/>
        <v>8</v>
      </c>
      <c r="AA4" s="282">
        <f t="shared" si="112"/>
        <v>9</v>
      </c>
      <c r="AB4" s="282">
        <f t="shared" si="112"/>
        <v>10</v>
      </c>
      <c r="AC4" s="282">
        <f t="shared" si="112"/>
        <v>11</v>
      </c>
      <c r="AD4" s="282">
        <f t="shared" si="112"/>
        <v>12</v>
      </c>
      <c r="AE4" s="282">
        <f t="shared" si="112"/>
        <v>1</v>
      </c>
      <c r="AF4" s="282">
        <f t="shared" si="112"/>
        <v>2</v>
      </c>
      <c r="AG4" s="282">
        <f t="shared" si="112"/>
        <v>3</v>
      </c>
      <c r="AH4" s="282">
        <f t="shared" si="112"/>
        <v>4</v>
      </c>
      <c r="AI4" s="282">
        <f t="shared" si="112"/>
        <v>5</v>
      </c>
      <c r="AJ4" s="282">
        <f t="shared" si="112"/>
        <v>6</v>
      </c>
      <c r="AK4" s="282">
        <f t="shared" si="112"/>
        <v>7</v>
      </c>
      <c r="AL4" s="282">
        <f t="shared" si="112"/>
        <v>8</v>
      </c>
      <c r="AM4" s="282">
        <f t="shared" si="112"/>
        <v>9</v>
      </c>
      <c r="AN4" s="282">
        <f t="shared" si="112"/>
        <v>10</v>
      </c>
      <c r="AO4" s="282">
        <f t="shared" si="112"/>
        <v>11</v>
      </c>
      <c r="AP4" s="282">
        <f t="shared" si="112"/>
        <v>12</v>
      </c>
      <c r="AQ4" s="282">
        <f t="shared" si="112"/>
        <v>1</v>
      </c>
      <c r="AR4" s="282">
        <f t="shared" si="112"/>
        <v>2</v>
      </c>
      <c r="AS4" s="282">
        <f t="shared" si="112"/>
        <v>3</v>
      </c>
      <c r="AT4" s="282">
        <f t="shared" si="112"/>
        <v>4</v>
      </c>
      <c r="AU4" s="282">
        <f t="shared" si="112"/>
        <v>5</v>
      </c>
      <c r="AV4" s="282">
        <f t="shared" si="112"/>
        <v>6</v>
      </c>
      <c r="AW4" s="282">
        <f t="shared" si="112"/>
        <v>7</v>
      </c>
      <c r="AX4" s="282">
        <f t="shared" si="112"/>
        <v>8</v>
      </c>
      <c r="AY4" s="282">
        <f t="shared" si="112"/>
        <v>9</v>
      </c>
      <c r="AZ4" s="282">
        <f t="shared" si="112"/>
        <v>10</v>
      </c>
      <c r="BA4" s="282">
        <f t="shared" si="112"/>
        <v>11</v>
      </c>
      <c r="BB4" s="282">
        <f t="shared" si="112"/>
        <v>12</v>
      </c>
      <c r="BC4" s="282">
        <f t="shared" si="112"/>
        <v>1</v>
      </c>
      <c r="BD4" s="282">
        <f t="shared" si="112"/>
        <v>2</v>
      </c>
      <c r="BE4" s="282">
        <f t="shared" si="112"/>
        <v>3</v>
      </c>
      <c r="BF4" s="282">
        <f t="shared" si="112"/>
        <v>4</v>
      </c>
      <c r="BG4" s="282">
        <f t="shared" si="112"/>
        <v>5</v>
      </c>
      <c r="BH4" s="282">
        <f t="shared" si="112"/>
        <v>6</v>
      </c>
      <c r="BI4" s="282">
        <f t="shared" si="112"/>
        <v>7</v>
      </c>
      <c r="BJ4" s="282">
        <f t="shared" si="112"/>
        <v>8</v>
      </c>
      <c r="BK4" s="282">
        <f t="shared" si="112"/>
        <v>9</v>
      </c>
      <c r="BL4" s="282">
        <f t="shared" si="112"/>
        <v>10</v>
      </c>
      <c r="BM4" s="282">
        <f t="shared" si="112"/>
        <v>11</v>
      </c>
      <c r="BN4" s="282">
        <f t="shared" si="112"/>
        <v>12</v>
      </c>
      <c r="BO4" s="282">
        <f t="shared" si="112"/>
        <v>1</v>
      </c>
      <c r="BP4" s="282">
        <f t="shared" si="112"/>
        <v>2</v>
      </c>
      <c r="BQ4" s="282">
        <f t="shared" si="112"/>
        <v>3</v>
      </c>
      <c r="BR4" s="282">
        <f t="shared" si="112"/>
        <v>4</v>
      </c>
      <c r="BS4" s="282">
        <f t="shared" si="112"/>
        <v>5</v>
      </c>
      <c r="BT4" s="282">
        <f t="shared" si="112"/>
        <v>6</v>
      </c>
      <c r="BU4" s="282">
        <f t="shared" si="112"/>
        <v>7</v>
      </c>
      <c r="BV4" s="282">
        <f t="shared" si="112"/>
        <v>8</v>
      </c>
      <c r="BW4" s="282">
        <f t="shared" si="112"/>
        <v>9</v>
      </c>
      <c r="BX4" s="282">
        <f t="shared" si="112"/>
        <v>10</v>
      </c>
      <c r="BY4" s="282">
        <f t="shared" si="112"/>
        <v>11</v>
      </c>
      <c r="BZ4" s="282">
        <f t="shared" ref="BZ4:DS4" si="113">+IF(BY4=12,1,BY4+1)</f>
        <v>12</v>
      </c>
      <c r="CA4" s="282">
        <f t="shared" si="113"/>
        <v>1</v>
      </c>
      <c r="CB4" s="282">
        <f t="shared" si="113"/>
        <v>2</v>
      </c>
      <c r="CC4" s="282">
        <f t="shared" si="113"/>
        <v>3</v>
      </c>
      <c r="CD4" s="282">
        <f t="shared" si="113"/>
        <v>4</v>
      </c>
      <c r="CE4" s="282">
        <f t="shared" si="113"/>
        <v>5</v>
      </c>
      <c r="CF4" s="282">
        <f t="shared" si="113"/>
        <v>6</v>
      </c>
      <c r="CG4" s="282">
        <f t="shared" si="113"/>
        <v>7</v>
      </c>
      <c r="CH4" s="282">
        <f t="shared" si="113"/>
        <v>8</v>
      </c>
      <c r="CI4" s="282">
        <f t="shared" si="113"/>
        <v>9</v>
      </c>
      <c r="CJ4" s="282">
        <f t="shared" si="113"/>
        <v>10</v>
      </c>
      <c r="CK4" s="282">
        <f t="shared" si="113"/>
        <v>11</v>
      </c>
      <c r="CL4" s="282">
        <f t="shared" si="113"/>
        <v>12</v>
      </c>
      <c r="CM4" s="282">
        <f t="shared" si="113"/>
        <v>1</v>
      </c>
      <c r="CN4" s="282">
        <f t="shared" si="113"/>
        <v>2</v>
      </c>
      <c r="CO4" s="282">
        <f t="shared" si="113"/>
        <v>3</v>
      </c>
      <c r="CP4" s="282">
        <f t="shared" si="113"/>
        <v>4</v>
      </c>
      <c r="CQ4" s="282">
        <f t="shared" si="113"/>
        <v>5</v>
      </c>
      <c r="CR4" s="282">
        <f t="shared" si="113"/>
        <v>6</v>
      </c>
      <c r="CS4" s="282">
        <f t="shared" si="113"/>
        <v>7</v>
      </c>
      <c r="CT4" s="282">
        <f t="shared" si="113"/>
        <v>8</v>
      </c>
      <c r="CU4" s="282">
        <f t="shared" si="113"/>
        <v>9</v>
      </c>
      <c r="CV4" s="282">
        <f t="shared" si="113"/>
        <v>10</v>
      </c>
      <c r="CW4" s="282">
        <f t="shared" si="113"/>
        <v>11</v>
      </c>
      <c r="CX4" s="282">
        <f t="shared" si="113"/>
        <v>12</v>
      </c>
      <c r="CY4" s="282">
        <f t="shared" si="113"/>
        <v>1</v>
      </c>
      <c r="CZ4" s="282">
        <f t="shared" si="113"/>
        <v>2</v>
      </c>
      <c r="DA4" s="282">
        <f t="shared" si="113"/>
        <v>3</v>
      </c>
      <c r="DB4" s="282">
        <f t="shared" si="113"/>
        <v>4</v>
      </c>
      <c r="DC4" s="282">
        <f t="shared" si="113"/>
        <v>5</v>
      </c>
      <c r="DD4" s="282">
        <f t="shared" si="113"/>
        <v>6</v>
      </c>
      <c r="DE4" s="282">
        <f t="shared" si="113"/>
        <v>7</v>
      </c>
      <c r="DF4" s="282">
        <f t="shared" si="113"/>
        <v>8</v>
      </c>
      <c r="DG4" s="282">
        <f t="shared" si="113"/>
        <v>9</v>
      </c>
      <c r="DH4" s="282">
        <f t="shared" si="113"/>
        <v>10</v>
      </c>
      <c r="DI4" s="282">
        <f t="shared" si="113"/>
        <v>11</v>
      </c>
      <c r="DJ4" s="282">
        <f t="shared" si="113"/>
        <v>12</v>
      </c>
      <c r="DK4" s="282">
        <f t="shared" si="113"/>
        <v>1</v>
      </c>
      <c r="DL4" s="282">
        <f t="shared" si="113"/>
        <v>2</v>
      </c>
      <c r="DM4" s="282">
        <f t="shared" si="113"/>
        <v>3</v>
      </c>
      <c r="DN4" s="282">
        <f t="shared" si="113"/>
        <v>4</v>
      </c>
      <c r="DO4" s="282">
        <f t="shared" si="113"/>
        <v>5</v>
      </c>
      <c r="DP4" s="282">
        <f t="shared" si="113"/>
        <v>6</v>
      </c>
      <c r="DQ4" s="282">
        <f t="shared" si="113"/>
        <v>7</v>
      </c>
      <c r="DR4" s="282">
        <f t="shared" si="113"/>
        <v>8</v>
      </c>
      <c r="DS4" s="282">
        <f t="shared" si="113"/>
        <v>9</v>
      </c>
    </row>
    <row r="5" thickTop="1" thickBot="1" ht="18.75" customHeight="1">
      <c r="A5" s="293" t="s">
        <v>977</v>
      </c>
      <c r="B5" s="294"/>
      <c r="C5" s="295"/>
      <c r="D5" s="295">
        <f>+IF('Banca-mese'!C45&gt;0,'Banca-mese'!C45,0)</f>
        <v>0</v>
      </c>
      <c r="E5" s="295">
        <f>+IF('Banca-mese'!D45&gt;0,'Banca-mese'!D45,0)</f>
        <v>0</v>
      </c>
      <c r="F5" s="295">
        <f>+IF('Banca-mese'!E45&gt;0,'Banca-mese'!E45,0)</f>
        <v>0</v>
      </c>
      <c r="G5" s="295">
        <f>+IF('Banca-mese'!F45&gt;0,'Banca-mese'!F45,0)</f>
        <v>0</v>
      </c>
      <c r="H5" s="295">
        <f>+IF('Banca-mese'!G45&gt;0,'Banca-mese'!G45,0)</f>
        <v>0</v>
      </c>
      <c r="I5" s="295">
        <f>+IF('Banca-mese'!H45&gt;0,'Banca-mese'!H45,0)</f>
        <v>0</v>
      </c>
      <c r="J5" s="295">
        <f>+IF('Banca-mese'!I45&gt;0,'Banca-mese'!I45,0)</f>
        <v>0</v>
      </c>
      <c r="K5" s="295">
        <f>+IF('Banca-mese'!J45&gt;0,'Banca-mese'!J45,0)</f>
        <v>0</v>
      </c>
      <c r="L5" s="295">
        <f>+IF('Banca-mese'!K45&gt;0,'Banca-mese'!K45,0)</f>
        <v>0</v>
      </c>
      <c r="M5" s="295">
        <f>+IF('Banca-mese'!L45&gt;0,'Banca-mese'!L45,0)</f>
        <v>0</v>
      </c>
      <c r="N5" s="295">
        <f>+IF('Banca-mese'!M45&gt;0,'Banca-mese'!M45,0)</f>
        <v>0</v>
      </c>
      <c r="O5" s="295">
        <f>+IF('Banca-mese'!N45&gt;0,'Banca-mese'!N45,0)</f>
        <v>0</v>
      </c>
      <c r="P5" s="295">
        <f>+IF('Banca-mese'!O45&gt;0,'Banca-mese'!O45,0)</f>
        <v>0</v>
      </c>
      <c r="Q5" s="295">
        <f>+IF('Banca-mese'!P45&gt;0,'Banca-mese'!P45,0)</f>
        <v>0</v>
      </c>
      <c r="R5" s="295">
        <f>+IF('Banca-mese'!Q45&gt;0,'Banca-mese'!Q45,0)</f>
        <v>0</v>
      </c>
      <c r="S5" s="295">
        <f>+IF('Banca-mese'!R45&gt;0,'Banca-mese'!R45,0)</f>
        <v>0</v>
      </c>
      <c r="T5" s="295">
        <f>+IF('Banca-mese'!S45&gt;0,'Banca-mese'!S45,0)</f>
        <v>0</v>
      </c>
      <c r="U5" s="295">
        <f>+IF('Banca-mese'!T45&gt;0,'Banca-mese'!T45,0)</f>
        <v>0</v>
      </c>
      <c r="V5" s="295">
        <f>+IF('Banca-mese'!U45&gt;0,'Banca-mese'!U45,0)</f>
        <v>0</v>
      </c>
      <c r="W5" s="295">
        <f>+IF('Banca-mese'!V45&gt;0,'Banca-mese'!V45,0)</f>
        <v>0</v>
      </c>
      <c r="X5" s="295">
        <f>+IF('Banca-mese'!W45&gt;0,'Banca-mese'!W45,0)</f>
        <v>0</v>
      </c>
      <c r="Y5" s="295">
        <f>+IF('Banca-mese'!X45&gt;0,'Banca-mese'!X45,0)</f>
        <v>0</v>
      </c>
      <c r="Z5" s="295">
        <f>+IF('Banca-mese'!Y45&gt;0,'Banca-mese'!Y45,0)</f>
        <v>0</v>
      </c>
      <c r="AA5" s="295">
        <f>+IF('Banca-mese'!Z45&gt;0,'Banca-mese'!Z45,0)</f>
        <v>0</v>
      </c>
      <c r="AB5" s="295">
        <f>+IF('Banca-mese'!AA45&gt;0,'Banca-mese'!AA45,0)</f>
        <v>0</v>
      </c>
      <c r="AC5" s="295">
        <f>+IF('Banca-mese'!AB45&gt;0,'Banca-mese'!AB45,0)</f>
        <v>0</v>
      </c>
      <c r="AD5" s="295">
        <f>+IF('Banca-mese'!AC45&gt;0,'Banca-mese'!AC45,0)</f>
        <v>0</v>
      </c>
      <c r="AE5" s="295">
        <f>+IF('Banca-mese'!AD45&gt;0,'Banca-mese'!AD45,0)</f>
        <v>0</v>
      </c>
      <c r="AF5" s="295">
        <f>+IF('Banca-mese'!AE45&gt;0,'Banca-mese'!AE45,0)</f>
        <v>0</v>
      </c>
      <c r="AG5" s="295">
        <f>+IF('Banca-mese'!AF45&gt;0,'Banca-mese'!AF45,0)</f>
        <v>0</v>
      </c>
      <c r="AH5" s="295">
        <f>+IF('Banca-mese'!AG45&gt;0,'Banca-mese'!AG45,0)</f>
        <v>0</v>
      </c>
      <c r="AI5" s="295">
        <f>+IF('Banca-mese'!AH45&gt;0,'Banca-mese'!AH45,0)</f>
        <v>0</v>
      </c>
      <c r="AJ5" s="295">
        <f>+IF('Banca-mese'!AI45&gt;0,'Banca-mese'!AI45,0)</f>
        <v>0</v>
      </c>
      <c r="AK5" s="295">
        <f>+IF('Banca-mese'!AJ45&gt;0,'Banca-mese'!AJ45,0)</f>
        <v>0</v>
      </c>
      <c r="AL5" s="295">
        <f>+IF('Banca-mese'!AK45&gt;0,'Banca-mese'!AK45,0)</f>
        <v>0</v>
      </c>
      <c r="AM5" s="295">
        <f>+IF('Banca-mese'!AL45&gt;0,'Banca-mese'!AL45,0)</f>
        <v>0</v>
      </c>
      <c r="AN5" s="295">
        <f>+IF('Banca-mese'!AM45&gt;0,'Banca-mese'!AM45,0)</f>
        <v>0</v>
      </c>
      <c r="AO5" s="295">
        <f>+IF('Banca-mese'!AN45&gt;0,'Banca-mese'!AN45,0)</f>
        <v>0</v>
      </c>
      <c r="AP5" s="295">
        <f>+IF('Banca-mese'!AO45&gt;0,'Banca-mese'!AO45,0)</f>
        <v>0</v>
      </c>
      <c r="AQ5" s="295">
        <f>+IF('Banca-mese'!AP45&gt;0,'Banca-mese'!AP45,0)</f>
        <v>0</v>
      </c>
      <c r="AR5" s="295">
        <f>+IF('Banca-mese'!AQ45&gt;0,'Banca-mese'!AQ45,0)</f>
        <v>0</v>
      </c>
      <c r="AS5" s="295">
        <f>+IF('Banca-mese'!AR45&gt;0,'Banca-mese'!AR45,0)</f>
        <v>0</v>
      </c>
      <c r="AT5" s="295">
        <f>+IF('Banca-mese'!AS45&gt;0,'Banca-mese'!AS45,0)</f>
        <v>0</v>
      </c>
      <c r="AU5" s="295">
        <f>+IF('Banca-mese'!AT45&gt;0,'Banca-mese'!AT45,0)</f>
        <v>0</v>
      </c>
      <c r="AV5" s="295">
        <f>+IF('Banca-mese'!AU45&gt;0,'Banca-mese'!AU45,0)</f>
        <v>0</v>
      </c>
      <c r="AW5" s="295">
        <f>+IF('Banca-mese'!AV45&gt;0,'Banca-mese'!AV45,0)</f>
        <v>0</v>
      </c>
      <c r="AX5" s="295">
        <f>+IF('Banca-mese'!AW45&gt;0,'Banca-mese'!AW45,0)</f>
        <v>0</v>
      </c>
      <c r="AY5" s="295">
        <f>+IF('Banca-mese'!AX45&gt;0,'Banca-mese'!AX45,0)</f>
        <v>0</v>
      </c>
      <c r="AZ5" s="295">
        <f>+IF('Banca-mese'!AY45&gt;0,'Banca-mese'!AY45,0)</f>
        <v>0</v>
      </c>
      <c r="BA5" s="295">
        <f>+IF('Banca-mese'!AZ45&gt;0,'Banca-mese'!AZ45,0)</f>
        <v>0</v>
      </c>
      <c r="BB5" s="295">
        <f>+IF('Banca-mese'!BA45&gt;0,'Banca-mese'!BA45,0)</f>
        <v>0</v>
      </c>
      <c r="BC5" s="295">
        <f>+IF('Banca-mese'!BB45&gt;0,'Banca-mese'!BB45,0)</f>
        <v>0</v>
      </c>
      <c r="BD5" s="295">
        <f>+IF('Banca-mese'!BC45&gt;0,'Banca-mese'!BC45,0)</f>
        <v>0</v>
      </c>
      <c r="BE5" s="295">
        <f>+IF('Banca-mese'!BD45&gt;0,'Banca-mese'!BD45,0)</f>
        <v>0</v>
      </c>
      <c r="BF5" s="295">
        <f>+IF('Banca-mese'!BE45&gt;0,'Banca-mese'!BE45,0)</f>
        <v>0</v>
      </c>
      <c r="BG5" s="295">
        <f>+IF('Banca-mese'!BF45&gt;0,'Banca-mese'!BF45,0)</f>
        <v>0</v>
      </c>
      <c r="BH5" s="295">
        <f>+IF('Banca-mese'!BG45&gt;0,'Banca-mese'!BG45,0)</f>
        <v>0</v>
      </c>
      <c r="BI5" s="295">
        <f>+IF('Banca-mese'!BH45&gt;0,'Banca-mese'!BH45,0)</f>
        <v>0</v>
      </c>
      <c r="BJ5" s="295">
        <f>+IF('Banca-mese'!BI45&gt;0,'Banca-mese'!BI45,0)</f>
        <v>0</v>
      </c>
      <c r="BK5" s="295">
        <f>+IF('Banca-mese'!BJ45&gt;0,'Banca-mese'!BJ45,0)</f>
        <v>0</v>
      </c>
      <c r="BL5" s="295">
        <f>+IF('Banca-mese'!BK45&gt;0,'Banca-mese'!BK45,0)</f>
        <v>0</v>
      </c>
      <c r="BM5" s="295">
        <f>+IF('Banca-mese'!BL45&gt;0,'Banca-mese'!BL45,0)</f>
        <v>0</v>
      </c>
      <c r="BN5" s="295">
        <f>+IF('Banca-mese'!BM45&gt;0,'Banca-mese'!BM45,0)</f>
        <v>0</v>
      </c>
      <c r="BO5" s="295">
        <f>+IF('Banca-mese'!BN45&gt;0,'Banca-mese'!BN45,0)</f>
        <v>0</v>
      </c>
      <c r="BP5" s="295">
        <f>+IF('Banca-mese'!BO45&gt;0,'Banca-mese'!BO45,0)</f>
        <v>0</v>
      </c>
      <c r="BQ5" s="295">
        <f>+IF('Banca-mese'!BP45&gt;0,'Banca-mese'!BP45,0)</f>
        <v>0</v>
      </c>
      <c r="BR5" s="295">
        <f>+IF('Banca-mese'!BQ45&gt;0,'Banca-mese'!BQ45,0)</f>
        <v>0</v>
      </c>
      <c r="BS5" s="295">
        <f>+IF('Banca-mese'!BR45&gt;0,'Banca-mese'!BR45,0)</f>
        <v>0</v>
      </c>
      <c r="BT5" s="295">
        <f>+IF('Banca-mese'!BS45&gt;0,'Banca-mese'!BS45,0)</f>
        <v>0</v>
      </c>
      <c r="BU5" s="295">
        <f>+IF('Banca-mese'!BT45&gt;0,'Banca-mese'!BT45,0)</f>
        <v>0</v>
      </c>
      <c r="BV5" s="295">
        <f>+IF('Banca-mese'!BU45&gt;0,'Banca-mese'!BU45,0)</f>
        <v>0</v>
      </c>
      <c r="BW5" s="295">
        <f>+IF('Banca-mese'!BV45&gt;0,'Banca-mese'!BV45,0)</f>
        <v>0</v>
      </c>
      <c r="BX5" s="295">
        <f>+IF('Banca-mese'!BW45&gt;0,'Banca-mese'!BW45,0)</f>
        <v>0</v>
      </c>
      <c r="BY5" s="295">
        <f>+IF('Banca-mese'!BX45&gt;0,'Banca-mese'!BX45,0)</f>
        <v>0</v>
      </c>
      <c r="BZ5" s="295">
        <f>+IF('Banca-mese'!BY45&gt;0,'Banca-mese'!BY45,0)</f>
        <v>0</v>
      </c>
      <c r="CA5" s="295">
        <f>+IF('Banca-mese'!BZ45&gt;0,'Banca-mese'!BZ45,0)</f>
        <v>0</v>
      </c>
      <c r="CB5" s="295">
        <f>+IF('Banca-mese'!CA45&gt;0,'Banca-mese'!CA45,0)</f>
        <v>0</v>
      </c>
      <c r="CC5" s="295">
        <f>+IF('Banca-mese'!CB45&gt;0,'Banca-mese'!CB45,0)</f>
        <v>0</v>
      </c>
      <c r="CD5" s="295">
        <f>+IF('Banca-mese'!CC45&gt;0,'Banca-mese'!CC45,0)</f>
        <v>0</v>
      </c>
      <c r="CE5" s="295">
        <f>+IF('Banca-mese'!CD45&gt;0,'Banca-mese'!CD45,0)</f>
        <v>0</v>
      </c>
      <c r="CF5" s="295">
        <f>+IF('Banca-mese'!CE45&gt;0,'Banca-mese'!CE45,0)</f>
        <v>0</v>
      </c>
      <c r="CG5" s="295">
        <f>+IF('Banca-mese'!CF45&gt;0,'Banca-mese'!CF45,0)</f>
        <v>0</v>
      </c>
      <c r="CH5" s="295">
        <f>+IF('Banca-mese'!CG45&gt;0,'Banca-mese'!CG45,0)</f>
        <v>0</v>
      </c>
      <c r="CI5" s="295">
        <f>+IF('Banca-mese'!CH45&gt;0,'Banca-mese'!CH45,0)</f>
        <v>0</v>
      </c>
      <c r="CJ5" s="295">
        <f>+IF('Banca-mese'!CI45&gt;0,'Banca-mese'!CI45,0)</f>
        <v>0</v>
      </c>
      <c r="CK5" s="295">
        <f>+IF('Banca-mese'!CJ45&gt;0,'Banca-mese'!CJ45,0)</f>
        <v>0</v>
      </c>
      <c r="CL5" s="295">
        <f>+IF('Banca-mese'!CK45&gt;0,'Banca-mese'!CK45,0)</f>
        <v>0</v>
      </c>
      <c r="CM5" s="295">
        <f>+IF('Banca-mese'!CL45&gt;0,'Banca-mese'!CL45,0)</f>
        <v>0</v>
      </c>
      <c r="CN5" s="295">
        <f>+IF('Banca-mese'!CM45&gt;0,'Banca-mese'!CM45,0)</f>
        <v>0</v>
      </c>
      <c r="CO5" s="295">
        <f>+IF('Banca-mese'!CN45&gt;0,'Banca-mese'!CN45,0)</f>
        <v>0</v>
      </c>
      <c r="CP5" s="295">
        <f>+IF('Banca-mese'!CO45&gt;0,'Banca-mese'!CO45,0)</f>
        <v>0</v>
      </c>
      <c r="CQ5" s="295">
        <f>+IF('Banca-mese'!CP45&gt;0,'Banca-mese'!CP45,0)</f>
        <v>0</v>
      </c>
      <c r="CR5" s="295">
        <f>+IF('Banca-mese'!CQ45&gt;0,'Banca-mese'!CQ45,0)</f>
        <v>0</v>
      </c>
      <c r="CS5" s="295">
        <f>+IF('Banca-mese'!CR45&gt;0,'Banca-mese'!CR45,0)</f>
        <v>0</v>
      </c>
      <c r="CT5" s="295">
        <f>+IF('Banca-mese'!CS45&gt;0,'Banca-mese'!CS45,0)</f>
        <v>0</v>
      </c>
      <c r="CU5" s="295">
        <f>+IF('Banca-mese'!CT45&gt;0,'Banca-mese'!CT45,0)</f>
        <v>0</v>
      </c>
      <c r="CV5" s="295">
        <f>+IF('Banca-mese'!CU45&gt;0,'Banca-mese'!CU45,0)</f>
        <v>0</v>
      </c>
      <c r="CW5" s="295">
        <f>+IF('Banca-mese'!CV45&gt;0,'Banca-mese'!CV45,0)</f>
        <v>0</v>
      </c>
      <c r="CX5" s="295">
        <f>+IF('Banca-mese'!CW45&gt;0,'Banca-mese'!CW45,0)</f>
        <v>0</v>
      </c>
      <c r="CY5" s="295">
        <f>+IF('Banca-mese'!CX45&gt;0,'Banca-mese'!CX45,0)</f>
        <v>0</v>
      </c>
      <c r="CZ5" s="295">
        <f>+IF('Banca-mese'!CY45&gt;0,'Banca-mese'!CY45,0)</f>
        <v>0</v>
      </c>
      <c r="DA5" s="295">
        <f>+IF('Banca-mese'!CZ45&gt;0,'Banca-mese'!CZ45,0)</f>
        <v>0</v>
      </c>
      <c r="DB5" s="295">
        <f>+IF('Banca-mese'!DA45&gt;0,'Banca-mese'!DA45,0)</f>
        <v>0</v>
      </c>
      <c r="DC5" s="295">
        <f>+IF('Banca-mese'!DB45&gt;0,'Banca-mese'!DB45,0)</f>
        <v>0</v>
      </c>
      <c r="DD5" s="295">
        <f>+IF('Banca-mese'!DC45&gt;0,'Banca-mese'!DC45,0)</f>
        <v>0</v>
      </c>
      <c r="DE5" s="295">
        <f>+IF('Banca-mese'!DD45&gt;0,'Banca-mese'!DD45,0)</f>
        <v>0</v>
      </c>
      <c r="DF5" s="295">
        <f>+IF('Banca-mese'!DE45&gt;0,'Banca-mese'!DE45,0)</f>
        <v>0</v>
      </c>
      <c r="DG5" s="295">
        <f>+IF('Banca-mese'!DF45&gt;0,'Banca-mese'!DF45,0)</f>
        <v>0</v>
      </c>
      <c r="DH5" s="295">
        <f>+IF('Banca-mese'!DG45&gt;0,'Banca-mese'!DG45,0)</f>
        <v>0</v>
      </c>
      <c r="DI5" s="295">
        <f>+IF('Banca-mese'!DH45&gt;0,'Banca-mese'!DH45,0)</f>
        <v>0</v>
      </c>
      <c r="DJ5" s="295">
        <f>+IF('Banca-mese'!DI45&gt;0,'Banca-mese'!DI45,0)</f>
        <v>0</v>
      </c>
      <c r="DK5" s="295">
        <f>+IF('Banca-mese'!DJ45&gt;0,'Banca-mese'!DJ45,0)</f>
        <v>0</v>
      </c>
      <c r="DL5" s="295">
        <f>+IF('Banca-mese'!DK45&gt;0,'Banca-mese'!DK45,0)</f>
        <v>0</v>
      </c>
      <c r="DM5" s="295">
        <f>+IF('Banca-mese'!DL45&gt;0,'Banca-mese'!DL45,0)</f>
        <v>0</v>
      </c>
      <c r="DN5" s="295">
        <f>+IF('Banca-mese'!DM45&gt;0,'Banca-mese'!DM45,0)</f>
        <v>0</v>
      </c>
      <c r="DO5" s="295">
        <f>+IF('Banca-mese'!DN45&gt;0,'Banca-mese'!DN45,0)</f>
        <v>0</v>
      </c>
      <c r="DP5" s="295">
        <f>+IF('Banca-mese'!DO45&gt;0,'Banca-mese'!DO45,0)</f>
        <v>0</v>
      </c>
      <c r="DQ5" s="295">
        <f>+IF('Banca-mese'!DP45&gt;0,'Banca-mese'!DP45,0)</f>
        <v>0</v>
      </c>
      <c r="DR5" s="295">
        <f>+IF('Banca-mese'!DQ45&gt;0,'Banca-mese'!DQ45,0)</f>
        <v>0</v>
      </c>
      <c r="DS5" s="295">
        <f>+IF('Banca-mese'!DR45&gt;0,'Banca-mese'!DR45,0)</f>
        <v>0</v>
      </c>
    </row>
    <row r="6" thickTop="1" ht="21.5">
      <c r="A6" s="150" t="s">
        <v>978</v>
      </c>
      <c r="B6" s="298"/>
      <c r="C6" s="144"/>
      <c r="D6" s="144"/>
      <c r="E6" s="144"/>
      <c r="F6" s="144"/>
      <c r="G6" s="144"/>
      <c r="H6" s="144"/>
      <c r="I6" s="144"/>
      <c r="J6" s="144"/>
      <c r="K6" s="144"/>
      <c r="L6" s="144"/>
      <c r="M6" s="144"/>
      <c r="N6" s="144"/>
      <c r="O6" s="144"/>
      <c r="P6" s="144"/>
      <c r="Q6" s="144"/>
      <c r="R6" s="144"/>
      <c r="S6" s="144"/>
      <c r="T6" s="144"/>
      <c r="U6" s="144"/>
      <c r="V6" s="144"/>
      <c r="W6" s="144"/>
      <c r="X6" s="144"/>
      <c r="Y6" s="144"/>
      <c r="Z6" s="144"/>
      <c r="AA6" s="144"/>
      <c r="AB6" s="144"/>
      <c r="AC6" s="144"/>
      <c r="AD6" s="144"/>
      <c r="AE6" s="144"/>
      <c r="AF6" s="144"/>
      <c r="AG6" s="144"/>
      <c r="AH6" s="144"/>
      <c r="AI6" s="144"/>
      <c r="AJ6" s="144"/>
      <c r="AK6" s="144"/>
      <c r="AL6" s="144"/>
      <c r="AM6" s="144"/>
      <c r="AN6" s="144"/>
      <c r="AO6" s="144"/>
      <c r="AP6" s="144"/>
      <c r="AQ6" s="144"/>
      <c r="AR6" s="144"/>
      <c r="AS6" s="144"/>
      <c r="AT6" s="144"/>
      <c r="AU6" s="144"/>
      <c r="AV6" s="144"/>
      <c r="AW6" s="144"/>
      <c r="AX6" s="144"/>
      <c r="AY6" s="144"/>
      <c r="AZ6" s="144"/>
      <c r="BA6" s="144"/>
      <c r="BB6" s="144"/>
      <c r="BC6" s="144"/>
      <c r="BD6" s="144"/>
      <c r="BE6" s="144"/>
      <c r="BF6" s="144"/>
      <c r="BG6" s="144"/>
      <c r="BH6" s="144"/>
      <c r="BI6" s="144"/>
      <c r="BJ6" s="144"/>
      <c r="BK6" s="144"/>
      <c r="BL6" s="144"/>
      <c r="BM6" s="144"/>
      <c r="BN6" s="144"/>
      <c r="BO6" s="144"/>
      <c r="BP6" s="144"/>
      <c r="BQ6" s="144"/>
      <c r="BR6" s="144"/>
      <c r="BS6" s="144"/>
      <c r="BT6" s="144"/>
      <c r="BU6" s="144"/>
      <c r="BV6" s="144"/>
      <c r="BW6" s="144"/>
      <c r="BX6" s="144"/>
      <c r="BY6" s="144"/>
      <c r="BZ6" s="144"/>
      <c r="CA6" s="144"/>
      <c r="CB6" s="144"/>
      <c r="CC6" s="144"/>
      <c r="CD6" s="144"/>
      <c r="CE6" s="144"/>
      <c r="CF6" s="144"/>
      <c r="CG6" s="144"/>
      <c r="CH6" s="144"/>
      <c r="CI6" s="144"/>
      <c r="CJ6" s="144"/>
      <c r="CK6" s="144"/>
      <c r="CL6" s="144"/>
      <c r="CM6" s="144"/>
      <c r="CN6" s="144"/>
      <c r="CO6" s="144"/>
      <c r="CP6" s="144"/>
      <c r="CQ6" s="144"/>
      <c r="CR6" s="144"/>
      <c r="CS6" s="144"/>
      <c r="CT6" s="144"/>
      <c r="CU6" s="144"/>
      <c r="CV6" s="144"/>
      <c r="CW6" s="144"/>
      <c r="CX6" s="144"/>
      <c r="CY6" s="144"/>
      <c r="CZ6" s="144"/>
      <c r="DA6" s="144"/>
      <c r="DB6" s="144"/>
      <c r="DC6" s="144"/>
      <c r="DD6" s="144"/>
      <c r="DE6" s="144"/>
      <c r="DF6" s="144"/>
      <c r="DG6" s="144"/>
      <c r="DH6" s="144"/>
      <c r="DI6" s="144"/>
      <c r="DJ6" s="144"/>
      <c r="DK6" s="144"/>
      <c r="DL6" s="144"/>
      <c r="DM6" s="144"/>
      <c r="DN6" s="144"/>
      <c r="DO6" s="144"/>
      <c r="DP6" s="144"/>
      <c r="DQ6" s="144"/>
      <c r="DR6" s="144"/>
      <c r="DS6" s="144"/>
    </row>
    <row r="7" ht="14.5">
      <c r="A7" s="319" t="s">
        <v>1300</v>
      </c>
      <c r="B7" s="326"/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  <c r="AA7" s="144"/>
      <c r="AB7" s="144"/>
      <c r="AC7" s="144"/>
      <c r="AD7" s="144"/>
      <c r="AE7" s="144"/>
      <c r="AF7" s="144"/>
      <c r="AG7" s="144"/>
      <c r="AH7" s="144"/>
      <c r="AI7" s="144"/>
      <c r="AJ7" s="144"/>
      <c r="AK7" s="144"/>
      <c r="AL7" s="144"/>
      <c r="AM7" s="144"/>
      <c r="AN7" s="144"/>
      <c r="AO7" s="144"/>
      <c r="AP7" s="144"/>
      <c r="AQ7" s="144"/>
      <c r="AR7" s="144"/>
      <c r="AS7" s="144"/>
      <c r="AT7" s="144"/>
      <c r="AU7" s="144"/>
      <c r="AV7" s="144"/>
      <c r="AW7" s="144"/>
      <c r="AX7" s="144"/>
      <c r="AY7" s="144"/>
      <c r="AZ7" s="144"/>
      <c r="BA7" s="144"/>
      <c r="BB7" s="144"/>
      <c r="BC7" s="144"/>
      <c r="BD7" s="144"/>
      <c r="BE7" s="144"/>
      <c r="BF7" s="144"/>
      <c r="BG7" s="144"/>
      <c r="BH7" s="144"/>
      <c r="BI7" s="144"/>
      <c r="BJ7" s="144"/>
      <c r="BK7" s="144"/>
      <c r="BL7" s="144"/>
      <c r="BM7" s="144"/>
      <c r="BN7" s="144"/>
      <c r="BO7" s="144"/>
      <c r="BP7" s="144"/>
      <c r="BQ7" s="144"/>
      <c r="BR7" s="144"/>
      <c r="BS7" s="144"/>
      <c r="BT7" s="144"/>
      <c r="BU7" s="144"/>
      <c r="BV7" s="144"/>
      <c r="BW7" s="144"/>
      <c r="BX7" s="144"/>
      <c r="BY7" s="144"/>
      <c r="BZ7" s="144"/>
      <c r="CA7" s="144"/>
      <c r="CB7" s="144"/>
      <c r="CC7" s="144"/>
      <c r="CD7" s="144"/>
      <c r="CE7" s="144"/>
      <c r="CF7" s="144"/>
      <c r="CG7" s="144"/>
      <c r="CH7" s="144"/>
      <c r="CI7" s="144"/>
      <c r="CJ7" s="144"/>
      <c r="CK7" s="144"/>
      <c r="CL7" s="144"/>
      <c r="CM7" s="144"/>
      <c r="CN7" s="144"/>
      <c r="CO7" s="144"/>
      <c r="CP7" s="144"/>
      <c r="CQ7" s="144"/>
      <c r="CR7" s="144"/>
      <c r="CS7" s="144"/>
      <c r="CT7" s="144"/>
      <c r="CU7" s="144"/>
      <c r="CV7" s="144"/>
      <c r="CW7" s="144"/>
      <c r="CX7" s="144"/>
      <c r="CY7" s="144"/>
      <c r="CZ7" s="144"/>
      <c r="DA7" s="144"/>
      <c r="DB7" s="144"/>
      <c r="DC7" s="144"/>
      <c r="DD7" s="144"/>
      <c r="DE7" s="144"/>
      <c r="DF7" s="144"/>
      <c r="DG7" s="144"/>
      <c r="DH7" s="144"/>
      <c r="DI7" s="144"/>
      <c r="DJ7" s="144"/>
      <c r="DK7" s="144"/>
      <c r="DL7" s="144"/>
      <c r="DM7" s="144"/>
      <c r="DN7" s="144"/>
      <c r="DO7" s="144"/>
      <c r="DP7" s="144"/>
      <c r="DQ7" s="144"/>
      <c r="DR7" s="144"/>
      <c r="DS7" s="144"/>
    </row>
    <row r="8" ht="14.5">
      <c r="A8" s="320" t="s">
        <v>1301</v>
      </c>
      <c r="B8" s="327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4"/>
      <c r="AF8" s="144"/>
      <c r="AG8" s="144"/>
      <c r="AH8" s="144"/>
      <c r="AI8" s="144"/>
      <c r="AJ8" s="144"/>
      <c r="AK8" s="144"/>
      <c r="AL8" s="144"/>
      <c r="AM8" s="144"/>
      <c r="AN8" s="144"/>
      <c r="AO8" s="144"/>
      <c r="AP8" s="144"/>
      <c r="AQ8" s="144"/>
      <c r="AR8" s="144"/>
      <c r="AS8" s="144"/>
      <c r="AT8" s="144"/>
      <c r="AU8" s="144"/>
      <c r="AV8" s="144"/>
      <c r="AW8" s="144"/>
      <c r="AX8" s="144"/>
      <c r="AY8" s="144"/>
      <c r="AZ8" s="144"/>
      <c r="BA8" s="144"/>
      <c r="BB8" s="144"/>
      <c r="BC8" s="144"/>
      <c r="BD8" s="144"/>
      <c r="BE8" s="144"/>
      <c r="BF8" s="144"/>
      <c r="BG8" s="144"/>
      <c r="BH8" s="144"/>
      <c r="BI8" s="144"/>
      <c r="BJ8" s="144"/>
      <c r="BK8" s="144"/>
      <c r="BL8" s="144"/>
      <c r="BM8" s="144"/>
      <c r="BN8" s="144"/>
      <c r="BO8" s="144"/>
      <c r="BP8" s="144"/>
      <c r="BQ8" s="144"/>
      <c r="BR8" s="144"/>
      <c r="BS8" s="144"/>
      <c r="BT8" s="144"/>
      <c r="BU8" s="144"/>
      <c r="BV8" s="144"/>
      <c r="BW8" s="144"/>
      <c r="BX8" s="144"/>
      <c r="BY8" s="144"/>
      <c r="BZ8" s="144"/>
      <c r="CA8" s="144"/>
      <c r="CB8" s="144"/>
      <c r="CC8" s="144"/>
      <c r="CD8" s="144"/>
      <c r="CE8" s="144"/>
      <c r="CF8" s="144"/>
      <c r="CG8" s="144"/>
      <c r="CH8" s="144"/>
      <c r="CI8" s="144"/>
      <c r="CJ8" s="144"/>
      <c r="CK8" s="144"/>
      <c r="CL8" s="144"/>
      <c r="CM8" s="144"/>
      <c r="CN8" s="144"/>
      <c r="CO8" s="144"/>
      <c r="CP8" s="144"/>
      <c r="CQ8" s="144"/>
      <c r="CR8" s="144"/>
      <c r="CS8" s="144"/>
      <c r="CT8" s="144"/>
      <c r="CU8" s="144"/>
      <c r="CV8" s="144"/>
      <c r="CW8" s="144"/>
      <c r="CX8" s="144"/>
      <c r="CY8" s="144"/>
      <c r="CZ8" s="144"/>
      <c r="DA8" s="144"/>
      <c r="DB8" s="144"/>
      <c r="DC8" s="144"/>
      <c r="DD8" s="144"/>
      <c r="DE8" s="144"/>
      <c r="DF8" s="144"/>
      <c r="DG8" s="144"/>
      <c r="DH8" s="144"/>
      <c r="DI8" s="144"/>
      <c r="DJ8" s="144"/>
      <c r="DK8" s="144"/>
      <c r="DL8" s="144"/>
      <c r="DM8" s="144"/>
      <c r="DN8" s="144"/>
      <c r="DO8" s="144"/>
      <c r="DP8" s="144"/>
      <c r="DQ8" s="144"/>
      <c r="DR8" s="144"/>
      <c r="DS8" s="144"/>
    </row>
    <row r="9" ht="14.5">
      <c r="A9" s="319" t="s">
        <v>1302</v>
      </c>
      <c r="B9" s="327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144"/>
      <c r="P9" s="144"/>
      <c r="Q9" s="144"/>
      <c r="R9" s="144"/>
      <c r="S9" s="144"/>
      <c r="T9" s="144"/>
      <c r="U9" s="144"/>
      <c r="V9" s="144"/>
      <c r="W9" s="144"/>
      <c r="X9" s="144"/>
      <c r="Y9" s="144"/>
      <c r="Z9" s="144"/>
      <c r="AA9" s="144"/>
      <c r="AB9" s="144"/>
      <c r="AC9" s="144"/>
      <c r="AD9" s="144"/>
      <c r="AE9" s="144"/>
      <c r="AF9" s="144"/>
      <c r="AG9" s="144"/>
      <c r="AH9" s="144"/>
      <c r="AI9" s="144"/>
      <c r="AJ9" s="144"/>
      <c r="AK9" s="144"/>
      <c r="AL9" s="144"/>
      <c r="AM9" s="144"/>
      <c r="AN9" s="144"/>
      <c r="AO9" s="144"/>
      <c r="AP9" s="144"/>
      <c r="AQ9" s="144"/>
      <c r="AR9" s="144"/>
      <c r="AS9" s="144"/>
      <c r="AT9" s="144"/>
      <c r="AU9" s="144"/>
      <c r="AV9" s="144"/>
      <c r="AW9" s="144"/>
      <c r="AX9" s="144"/>
      <c r="AY9" s="144"/>
      <c r="AZ9" s="144"/>
      <c r="BA9" s="144"/>
      <c r="BB9" s="144"/>
      <c r="BC9" s="144"/>
      <c r="BD9" s="144"/>
      <c r="BE9" s="144"/>
      <c r="BF9" s="144"/>
      <c r="BG9" s="144"/>
      <c r="BH9" s="144"/>
      <c r="BI9" s="144"/>
      <c r="BJ9" s="144"/>
      <c r="BK9" s="144"/>
      <c r="BL9" s="144"/>
      <c r="BM9" s="144"/>
      <c r="BN9" s="144"/>
      <c r="BO9" s="144"/>
      <c r="BP9" s="144"/>
      <c r="BQ9" s="144"/>
      <c r="BR9" s="144"/>
      <c r="BS9" s="144"/>
      <c r="BT9" s="144"/>
      <c r="BU9" s="144"/>
      <c r="BV9" s="144"/>
      <c r="BW9" s="144"/>
      <c r="BX9" s="144"/>
      <c r="BY9" s="144"/>
      <c r="BZ9" s="144"/>
      <c r="CA9" s="144"/>
      <c r="CB9" s="144"/>
      <c r="CC9" s="144"/>
      <c r="CD9" s="144"/>
      <c r="CE9" s="144"/>
      <c r="CF9" s="144"/>
      <c r="CG9" s="144"/>
      <c r="CH9" s="144"/>
      <c r="CI9" s="144"/>
      <c r="CJ9" s="144"/>
      <c r="CK9" s="144"/>
      <c r="CL9" s="144"/>
      <c r="CM9" s="144"/>
      <c r="CN9" s="144"/>
      <c r="CO9" s="144"/>
      <c r="CP9" s="144"/>
      <c r="CQ9" s="144"/>
      <c r="CR9" s="144"/>
      <c r="CS9" s="144"/>
      <c r="CT9" s="144"/>
      <c r="CU9" s="144"/>
      <c r="CV9" s="144"/>
      <c r="CW9" s="144"/>
      <c r="CX9" s="144"/>
      <c r="CY9" s="144"/>
      <c r="CZ9" s="144"/>
      <c r="DA9" s="144"/>
      <c r="DB9" s="144"/>
      <c r="DC9" s="144"/>
      <c r="DD9" s="144"/>
      <c r="DE9" s="144"/>
      <c r="DF9" s="144"/>
      <c r="DG9" s="144"/>
      <c r="DH9" s="144"/>
      <c r="DI9" s="144"/>
      <c r="DJ9" s="144"/>
      <c r="DK9" s="144"/>
      <c r="DL9" s="144"/>
      <c r="DM9" s="144"/>
      <c r="DN9" s="144"/>
      <c r="DO9" s="144"/>
      <c r="DP9" s="144"/>
      <c r="DQ9" s="144"/>
      <c r="DR9" s="144"/>
      <c r="DS9" s="144"/>
    </row>
    <row r="10" ht="14.5">
      <c r="A10" s="320" t="s">
        <v>1303</v>
      </c>
      <c r="B10" s="327"/>
      <c r="C10" s="144"/>
      <c r="D10" s="47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4"/>
      <c r="AE10" s="144"/>
      <c r="AF10" s="144"/>
      <c r="AG10" s="144"/>
      <c r="AH10" s="144"/>
      <c r="AI10" s="144"/>
      <c r="AJ10" s="144"/>
      <c r="AK10" s="144"/>
      <c r="AL10" s="144"/>
      <c r="AM10" s="144"/>
      <c r="AN10" s="144"/>
      <c r="AO10" s="144"/>
      <c r="AP10" s="144"/>
      <c r="AQ10" s="144"/>
      <c r="AR10" s="144"/>
      <c r="AS10" s="144"/>
      <c r="AT10" s="144"/>
      <c r="AU10" s="144"/>
      <c r="AV10" s="144"/>
      <c r="AW10" s="144"/>
      <c r="AX10" s="144"/>
      <c r="AY10" s="144"/>
      <c r="AZ10" s="144"/>
      <c r="BA10" s="144"/>
      <c r="BB10" s="144"/>
      <c r="BC10" s="144"/>
      <c r="BD10" s="144"/>
      <c r="BE10" s="144"/>
      <c r="BF10" s="144"/>
      <c r="BG10" s="144"/>
      <c r="BH10" s="144"/>
      <c r="BI10" s="144"/>
      <c r="BJ10" s="144"/>
      <c r="BK10" s="144"/>
      <c r="BL10" s="144"/>
      <c r="BM10" s="144"/>
      <c r="BN10" s="144"/>
      <c r="BO10" s="144"/>
      <c r="BP10" s="144"/>
      <c r="BQ10" s="144"/>
      <c r="BR10" s="144"/>
      <c r="BS10" s="144"/>
      <c r="BT10" s="144"/>
      <c r="BU10" s="144"/>
      <c r="BV10" s="144"/>
      <c r="BW10" s="144"/>
      <c r="BX10" s="144"/>
      <c r="BY10" s="144"/>
      <c r="BZ10" s="144"/>
      <c r="CA10" s="144"/>
      <c r="CB10" s="144"/>
      <c r="CC10" s="144"/>
      <c r="CD10" s="144"/>
      <c r="CE10" s="144"/>
      <c r="CF10" s="144"/>
      <c r="CG10" s="144"/>
      <c r="CH10" s="144"/>
      <c r="CI10" s="144"/>
      <c r="CJ10" s="144"/>
      <c r="CK10" s="144"/>
      <c r="CL10" s="144"/>
      <c r="CM10" s="144"/>
      <c r="CN10" s="144"/>
      <c r="CO10" s="144"/>
      <c r="CP10" s="144"/>
      <c r="CQ10" s="144"/>
      <c r="CR10" s="144"/>
      <c r="CS10" s="144"/>
      <c r="CT10" s="144"/>
      <c r="CU10" s="144"/>
      <c r="CV10" s="144"/>
      <c r="CW10" s="144"/>
      <c r="CX10" s="144"/>
      <c r="CY10" s="144"/>
      <c r="CZ10" s="144"/>
      <c r="DA10" s="144"/>
      <c r="DB10" s="144"/>
      <c r="DC10" s="144"/>
      <c r="DD10" s="144"/>
      <c r="DE10" s="144"/>
      <c r="DF10" s="144"/>
      <c r="DG10" s="144"/>
      <c r="DH10" s="144"/>
      <c r="DI10" s="144"/>
      <c r="DJ10" s="144"/>
      <c r="DK10" s="144"/>
      <c r="DL10" s="144"/>
      <c r="DM10" s="144"/>
      <c r="DN10" s="144"/>
      <c r="DO10" s="144"/>
      <c r="DP10" s="144"/>
      <c r="DQ10" s="144"/>
      <c r="DR10" s="144"/>
      <c r="DS10" s="144"/>
    </row>
    <row r="11" thickBot="1">
      <c r="A11" s="319" t="s">
        <v>1304</v>
      </c>
      <c r="B11" s="327"/>
      <c r="C11" s="144"/>
      <c r="D11" s="144"/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  <c r="AE11" s="144"/>
      <c r="AF11" s="144"/>
      <c r="AG11" s="144"/>
      <c r="AH11" s="144"/>
      <c r="AI11" s="144"/>
      <c r="AJ11" s="144"/>
      <c r="AK11" s="144"/>
      <c r="AL11" s="144"/>
      <c r="AM11" s="144"/>
      <c r="AN11" s="144"/>
      <c r="AO11" s="144"/>
      <c r="AP11" s="144"/>
      <c r="AQ11" s="144"/>
      <c r="AR11" s="144"/>
      <c r="AS11" s="144"/>
      <c r="AT11" s="144"/>
      <c r="AU11" s="144"/>
      <c r="AV11" s="144"/>
      <c r="AW11" s="144"/>
      <c r="AX11" s="144"/>
      <c r="AY11" s="144"/>
      <c r="AZ11" s="144"/>
      <c r="BA11" s="144"/>
      <c r="BB11" s="144"/>
      <c r="BC11" s="144"/>
      <c r="BD11" s="144"/>
      <c r="BE11" s="144"/>
      <c r="BF11" s="144"/>
      <c r="BG11" s="144"/>
      <c r="BH11" s="144"/>
      <c r="BI11" s="144"/>
      <c r="BJ11" s="144"/>
      <c r="BK11" s="144"/>
      <c r="BL11" s="144"/>
      <c r="BM11" s="144"/>
      <c r="BN11" s="144"/>
      <c r="BO11" s="144"/>
      <c r="BP11" s="144"/>
      <c r="BQ11" s="144"/>
      <c r="BR11" s="144"/>
      <c r="BS11" s="144"/>
      <c r="BT11" s="144"/>
      <c r="BU11" s="144"/>
      <c r="BV11" s="144"/>
      <c r="BW11" s="144"/>
      <c r="BX11" s="144"/>
      <c r="BY11" s="144"/>
      <c r="BZ11" s="144"/>
      <c r="CA11" s="144"/>
      <c r="CB11" s="144"/>
      <c r="CC11" s="144"/>
      <c r="CD11" s="144"/>
      <c r="CE11" s="144"/>
      <c r="CF11" s="144"/>
      <c r="CG11" s="144"/>
      <c r="CH11" s="144"/>
      <c r="CI11" s="144"/>
      <c r="CJ11" s="144"/>
      <c r="CK11" s="144"/>
      <c r="CL11" s="144"/>
      <c r="CM11" s="144"/>
      <c r="CN11" s="144"/>
      <c r="CO11" s="144"/>
      <c r="CP11" s="144"/>
      <c r="CQ11" s="144"/>
      <c r="CR11" s="144"/>
      <c r="CS11" s="144"/>
      <c r="CT11" s="144"/>
      <c r="CU11" s="144"/>
      <c r="CV11" s="144"/>
      <c r="CW11" s="144"/>
      <c r="CX11" s="144"/>
      <c r="CY11" s="144"/>
      <c r="CZ11" s="144"/>
      <c r="DA11" s="144"/>
      <c r="DB11" s="144"/>
      <c r="DC11" s="144"/>
      <c r="DD11" s="144"/>
      <c r="DE11" s="144"/>
      <c r="DF11" s="144"/>
      <c r="DG11" s="144"/>
      <c r="DH11" s="144"/>
      <c r="DI11" s="144"/>
      <c r="DJ11" s="144"/>
      <c r="DK11" s="144"/>
      <c r="DL11" s="144"/>
      <c r="DM11" s="144"/>
      <c r="DN11" s="144"/>
      <c r="DO11" s="144"/>
      <c r="DP11" s="144"/>
      <c r="DQ11" s="144"/>
      <c r="DR11" s="144"/>
      <c r="DS11" s="144"/>
    </row>
    <row r="12" thickTop="1" thickBot="1" ht="18.75" customHeight="1">
      <c r="A12" s="293" t="s">
        <v>1305</v>
      </c>
      <c r="B12" s="294"/>
      <c r="C12" s="295">
        <f t="shared" ref="C12:AH12" si="114">+SUM(C7:C11)</f>
        <v>0</v>
      </c>
      <c r="D12" s="295">
        <f t="shared" si="114"/>
        <v>0</v>
      </c>
      <c r="E12" s="295">
        <f>+SUM(E7:E11)</f>
        <v>0</v>
      </c>
      <c r="F12" s="295">
        <f t="shared" si="114"/>
        <v>0</v>
      </c>
      <c r="G12" s="295">
        <f t="shared" si="114"/>
        <v>0</v>
      </c>
      <c r="H12" s="295">
        <f t="shared" si="114"/>
        <v>0</v>
      </c>
      <c r="I12" s="295">
        <f t="shared" si="114"/>
        <v>0</v>
      </c>
      <c r="J12" s="295">
        <f t="shared" si="114"/>
        <v>0</v>
      </c>
      <c r="K12" s="295">
        <f t="shared" si="114"/>
        <v>0</v>
      </c>
      <c r="L12" s="295">
        <f t="shared" si="114"/>
        <v>0</v>
      </c>
      <c r="M12" s="295">
        <f t="shared" si="114"/>
        <v>0</v>
      </c>
      <c r="N12" s="295">
        <f t="shared" si="114"/>
        <v>0</v>
      </c>
      <c r="O12" s="295">
        <f t="shared" si="114"/>
        <v>0</v>
      </c>
      <c r="P12" s="295">
        <f t="shared" si="114"/>
        <v>0</v>
      </c>
      <c r="Q12" s="295">
        <f t="shared" si="114"/>
        <v>0</v>
      </c>
      <c r="R12" s="295">
        <f t="shared" si="114"/>
        <v>0</v>
      </c>
      <c r="S12" s="295">
        <f t="shared" si="114"/>
        <v>0</v>
      </c>
      <c r="T12" s="295">
        <f t="shared" si="114"/>
        <v>0</v>
      </c>
      <c r="U12" s="295">
        <f t="shared" si="114"/>
        <v>0</v>
      </c>
      <c r="V12" s="295">
        <f t="shared" si="114"/>
        <v>0</v>
      </c>
      <c r="W12" s="295">
        <f t="shared" si="114"/>
        <v>0</v>
      </c>
      <c r="X12" s="295">
        <f t="shared" si="114"/>
        <v>0</v>
      </c>
      <c r="Y12" s="295">
        <f t="shared" si="114"/>
        <v>0</v>
      </c>
      <c r="Z12" s="295">
        <f t="shared" si="114"/>
        <v>0</v>
      </c>
      <c r="AA12" s="295">
        <f t="shared" si="114"/>
        <v>0</v>
      </c>
      <c r="AB12" s="295">
        <f t="shared" si="114"/>
        <v>0</v>
      </c>
      <c r="AC12" s="295">
        <f t="shared" si="114"/>
        <v>0</v>
      </c>
      <c r="AD12" s="295">
        <f t="shared" si="114"/>
        <v>0</v>
      </c>
      <c r="AE12" s="295">
        <f t="shared" si="114"/>
        <v>0</v>
      </c>
      <c r="AF12" s="295">
        <f t="shared" si="114"/>
        <v>0</v>
      </c>
      <c r="AG12" s="295">
        <f t="shared" si="114"/>
        <v>0</v>
      </c>
      <c r="AH12" s="295">
        <f t="shared" si="114"/>
        <v>0</v>
      </c>
      <c r="AI12" s="295">
        <f t="shared" ref="AI12:BN12" si="115">+SUM(AI7:AI11)</f>
        <v>0</v>
      </c>
      <c r="AJ12" s="295">
        <f t="shared" si="115"/>
        <v>0</v>
      </c>
      <c r="AK12" s="295">
        <f t="shared" si="115"/>
        <v>0</v>
      </c>
      <c r="AL12" s="295">
        <f t="shared" si="115"/>
        <v>0</v>
      </c>
      <c r="AM12" s="295">
        <f t="shared" si="115"/>
        <v>0</v>
      </c>
      <c r="AN12" s="295">
        <f t="shared" si="115"/>
        <v>0</v>
      </c>
      <c r="AO12" s="295">
        <f t="shared" si="115"/>
        <v>0</v>
      </c>
      <c r="AP12" s="295">
        <f t="shared" si="115"/>
        <v>0</v>
      </c>
      <c r="AQ12" s="295">
        <f t="shared" si="115"/>
        <v>0</v>
      </c>
      <c r="AR12" s="295">
        <f t="shared" si="115"/>
        <v>0</v>
      </c>
      <c r="AS12" s="295">
        <f t="shared" si="115"/>
        <v>0</v>
      </c>
      <c r="AT12" s="295">
        <f t="shared" si="115"/>
        <v>0</v>
      </c>
      <c r="AU12" s="295">
        <f t="shared" si="115"/>
        <v>0</v>
      </c>
      <c r="AV12" s="295">
        <f t="shared" si="115"/>
        <v>0</v>
      </c>
      <c r="AW12" s="295">
        <f t="shared" si="115"/>
        <v>0</v>
      </c>
      <c r="AX12" s="295">
        <f t="shared" si="115"/>
        <v>0</v>
      </c>
      <c r="AY12" s="295">
        <f t="shared" si="115"/>
        <v>0</v>
      </c>
      <c r="AZ12" s="295">
        <f t="shared" si="115"/>
        <v>0</v>
      </c>
      <c r="BA12" s="295">
        <f t="shared" si="115"/>
        <v>0</v>
      </c>
      <c r="BB12" s="295">
        <f t="shared" si="115"/>
        <v>0</v>
      </c>
      <c r="BC12" s="295">
        <f t="shared" si="115"/>
        <v>0</v>
      </c>
      <c r="BD12" s="295">
        <f t="shared" si="115"/>
        <v>0</v>
      </c>
      <c r="BE12" s="295">
        <f t="shared" si="115"/>
        <v>0</v>
      </c>
      <c r="BF12" s="295">
        <f t="shared" si="115"/>
        <v>0</v>
      </c>
      <c r="BG12" s="295">
        <f t="shared" si="115"/>
        <v>0</v>
      </c>
      <c r="BH12" s="295">
        <f t="shared" si="115"/>
        <v>0</v>
      </c>
      <c r="BI12" s="295">
        <f t="shared" si="115"/>
        <v>0</v>
      </c>
      <c r="BJ12" s="295">
        <f t="shared" si="115"/>
        <v>0</v>
      </c>
      <c r="BK12" s="295">
        <f t="shared" si="115"/>
        <v>0</v>
      </c>
      <c r="BL12" s="295">
        <f t="shared" si="115"/>
        <v>0</v>
      </c>
      <c r="BM12" s="295">
        <f t="shared" si="115"/>
        <v>0</v>
      </c>
      <c r="BN12" s="295">
        <f t="shared" si="115"/>
        <v>0</v>
      </c>
      <c r="BO12" s="295">
        <f t="shared" ref="BO12:CT12" si="116">+SUM(BO7:BO11)</f>
        <v>0</v>
      </c>
      <c r="BP12" s="295">
        <f t="shared" si="116"/>
        <v>0</v>
      </c>
      <c r="BQ12" s="295">
        <f t="shared" si="116"/>
        <v>0</v>
      </c>
      <c r="BR12" s="295">
        <f t="shared" si="116"/>
        <v>0</v>
      </c>
      <c r="BS12" s="295">
        <f t="shared" si="116"/>
        <v>0</v>
      </c>
      <c r="BT12" s="295">
        <f t="shared" si="116"/>
        <v>0</v>
      </c>
      <c r="BU12" s="295">
        <f t="shared" si="116"/>
        <v>0</v>
      </c>
      <c r="BV12" s="295">
        <f t="shared" si="116"/>
        <v>0</v>
      </c>
      <c r="BW12" s="295">
        <f t="shared" si="116"/>
        <v>0</v>
      </c>
      <c r="BX12" s="295">
        <f t="shared" si="116"/>
        <v>0</v>
      </c>
      <c r="BY12" s="295">
        <f t="shared" si="116"/>
        <v>0</v>
      </c>
      <c r="BZ12" s="295">
        <f t="shared" si="116"/>
        <v>0</v>
      </c>
      <c r="CA12" s="295">
        <f t="shared" si="116"/>
        <v>0</v>
      </c>
      <c r="CB12" s="295">
        <f t="shared" si="116"/>
        <v>0</v>
      </c>
      <c r="CC12" s="295">
        <f t="shared" si="116"/>
        <v>0</v>
      </c>
      <c r="CD12" s="295">
        <f t="shared" si="116"/>
        <v>0</v>
      </c>
      <c r="CE12" s="295">
        <f t="shared" si="116"/>
        <v>0</v>
      </c>
      <c r="CF12" s="295">
        <f t="shared" si="116"/>
        <v>0</v>
      </c>
      <c r="CG12" s="295">
        <f t="shared" si="116"/>
        <v>0</v>
      </c>
      <c r="CH12" s="295">
        <f t="shared" si="116"/>
        <v>0</v>
      </c>
      <c r="CI12" s="295">
        <f t="shared" si="116"/>
        <v>0</v>
      </c>
      <c r="CJ12" s="295">
        <f t="shared" si="116"/>
        <v>0</v>
      </c>
      <c r="CK12" s="295">
        <f t="shared" si="116"/>
        <v>0</v>
      </c>
      <c r="CL12" s="295">
        <f t="shared" si="116"/>
        <v>0</v>
      </c>
      <c r="CM12" s="295">
        <f t="shared" si="116"/>
        <v>0</v>
      </c>
      <c r="CN12" s="295">
        <f t="shared" si="116"/>
        <v>0</v>
      </c>
      <c r="CO12" s="295">
        <f t="shared" si="116"/>
        <v>0</v>
      </c>
      <c r="CP12" s="295">
        <f t="shared" si="116"/>
        <v>0</v>
      </c>
      <c r="CQ12" s="295">
        <f t="shared" si="116"/>
        <v>0</v>
      </c>
      <c r="CR12" s="295">
        <f t="shared" si="116"/>
        <v>0</v>
      </c>
      <c r="CS12" s="295">
        <f t="shared" si="116"/>
        <v>0</v>
      </c>
      <c r="CT12" s="295">
        <f t="shared" si="116"/>
        <v>0</v>
      </c>
      <c r="CU12" s="295">
        <f t="shared" ref="CU12:DS12" si="117">+SUM(CU7:CU11)</f>
        <v>0</v>
      </c>
      <c r="CV12" s="295">
        <f t="shared" si="117"/>
        <v>0</v>
      </c>
      <c r="CW12" s="295">
        <f t="shared" si="117"/>
        <v>0</v>
      </c>
      <c r="CX12" s="295">
        <f t="shared" si="117"/>
        <v>0</v>
      </c>
      <c r="CY12" s="295">
        <f t="shared" si="117"/>
        <v>0</v>
      </c>
      <c r="CZ12" s="295">
        <f t="shared" si="117"/>
        <v>0</v>
      </c>
      <c r="DA12" s="295">
        <f t="shared" si="117"/>
        <v>0</v>
      </c>
      <c r="DB12" s="295">
        <f t="shared" si="117"/>
        <v>0</v>
      </c>
      <c r="DC12" s="295">
        <f t="shared" si="117"/>
        <v>0</v>
      </c>
      <c r="DD12" s="295">
        <f t="shared" si="117"/>
        <v>0</v>
      </c>
      <c r="DE12" s="295">
        <f t="shared" si="117"/>
        <v>0</v>
      </c>
      <c r="DF12" s="295">
        <f t="shared" si="117"/>
        <v>0</v>
      </c>
      <c r="DG12" s="295">
        <f t="shared" si="117"/>
        <v>0</v>
      </c>
      <c r="DH12" s="295">
        <f t="shared" si="117"/>
        <v>0</v>
      </c>
      <c r="DI12" s="295">
        <f t="shared" si="117"/>
        <v>0</v>
      </c>
      <c r="DJ12" s="295">
        <f t="shared" si="117"/>
        <v>0</v>
      </c>
      <c r="DK12" s="295">
        <f t="shared" si="117"/>
        <v>0</v>
      </c>
      <c r="DL12" s="295">
        <f t="shared" si="117"/>
        <v>0</v>
      </c>
      <c r="DM12" s="295">
        <f t="shared" si="117"/>
        <v>0</v>
      </c>
      <c r="DN12" s="295">
        <f t="shared" si="117"/>
        <v>0</v>
      </c>
      <c r="DO12" s="295">
        <f t="shared" si="117"/>
        <v>0</v>
      </c>
      <c r="DP12" s="295">
        <f t="shared" si="117"/>
        <v>0</v>
      </c>
      <c r="DQ12" s="295">
        <f t="shared" si="117"/>
        <v>0</v>
      </c>
      <c r="DR12" s="295">
        <f t="shared" si="117"/>
        <v>0</v>
      </c>
      <c r="DS12" s="295">
        <f t="shared" si="117"/>
        <v>0</v>
      </c>
    </row>
    <row r="13" thickTop="1" thickBot="1" ht="15.5">
      <c r="A13" s="325"/>
      <c r="B13" s="3"/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44"/>
      <c r="AQ13" s="144"/>
      <c r="AR13" s="144"/>
      <c r="AS13" s="144"/>
      <c r="AT13" s="144"/>
      <c r="AU13" s="144"/>
      <c r="AV13" s="144"/>
      <c r="AW13" s="144"/>
      <c r="AX13" s="144"/>
      <c r="AY13" s="144"/>
      <c r="AZ13" s="144"/>
      <c r="BA13" s="144"/>
      <c r="BB13" s="144"/>
      <c r="BC13" s="144"/>
      <c r="BD13" s="144"/>
      <c r="BE13" s="144"/>
      <c r="BF13" s="144"/>
      <c r="BG13" s="144"/>
      <c r="BH13" s="144"/>
      <c r="BI13" s="144"/>
      <c r="BJ13" s="144"/>
      <c r="BK13" s="144"/>
      <c r="BL13" s="144"/>
      <c r="BM13" s="144"/>
      <c r="BN13" s="144"/>
      <c r="BO13" s="144"/>
      <c r="BP13" s="144"/>
      <c r="BQ13" s="144"/>
      <c r="BR13" s="144"/>
      <c r="BS13" s="144"/>
      <c r="BT13" s="144"/>
      <c r="BU13" s="144"/>
      <c r="BV13" s="144"/>
      <c r="BW13" s="144"/>
      <c r="BX13" s="144"/>
      <c r="BY13" s="144"/>
      <c r="BZ13" s="144"/>
      <c r="CA13" s="144"/>
      <c r="CB13" s="144"/>
      <c r="CC13" s="144"/>
      <c r="CD13" s="144"/>
      <c r="CE13" s="144"/>
      <c r="CF13" s="144"/>
      <c r="CG13" s="144"/>
      <c r="CH13" s="144"/>
      <c r="CI13" s="144"/>
      <c r="CJ13" s="144"/>
      <c r="CK13" s="144"/>
      <c r="CL13" s="144"/>
      <c r="CM13" s="144"/>
      <c r="CN13" s="144"/>
      <c r="CO13" s="144"/>
      <c r="CP13" s="144"/>
      <c r="CQ13" s="144"/>
      <c r="CR13" s="144"/>
      <c r="CS13" s="144"/>
      <c r="CT13" s="144"/>
      <c r="CU13" s="144"/>
      <c r="CV13" s="144"/>
      <c r="CW13" s="144"/>
      <c r="CX13" s="144"/>
      <c r="CY13" s="144"/>
      <c r="CZ13" s="144"/>
      <c r="DA13" s="144"/>
      <c r="DB13" s="144"/>
      <c r="DC13" s="144"/>
      <c r="DD13" s="144"/>
      <c r="DE13" s="144"/>
      <c r="DF13" s="144"/>
      <c r="DG13" s="144"/>
      <c r="DH13" s="144"/>
      <c r="DI13" s="144"/>
      <c r="DJ13" s="144"/>
      <c r="DK13" s="144"/>
      <c r="DL13" s="144"/>
      <c r="DM13" s="144"/>
      <c r="DN13" s="144"/>
      <c r="DO13" s="144"/>
      <c r="DP13" s="144"/>
      <c r="DQ13" s="144"/>
      <c r="DR13" s="144"/>
      <c r="DS13" s="144"/>
    </row>
    <row r="14" thickTop="1" thickBot="1" s="7" customFormat="1" ht="15.5">
      <c r="A14" s="328" t="s">
        <v>1306</v>
      </c>
      <c r="B14" s="328"/>
      <c r="C14" s="329">
        <f>+SUMIF(Attivo!L93:L97,"Continuità",Attivo!K93:K97)</f>
        <v>0</v>
      </c>
      <c r="D14" s="329">
        <f>+C14</f>
        <v>0</v>
      </c>
      <c r="E14" s="329">
        <f t="shared" ref="E14:BP14" si="118">+D14</f>
        <v>0</v>
      </c>
      <c r="F14" s="329">
        <f t="shared" si="118"/>
        <v>0</v>
      </c>
      <c r="G14" s="329">
        <f t="shared" si="118"/>
        <v>0</v>
      </c>
      <c r="H14" s="329">
        <f t="shared" si="118"/>
        <v>0</v>
      </c>
      <c r="I14" s="329">
        <f t="shared" si="118"/>
        <v>0</v>
      </c>
      <c r="J14" s="329">
        <f t="shared" si="118"/>
        <v>0</v>
      </c>
      <c r="K14" s="329">
        <f t="shared" si="118"/>
        <v>0</v>
      </c>
      <c r="L14" s="329">
        <f t="shared" si="118"/>
        <v>0</v>
      </c>
      <c r="M14" s="329">
        <f t="shared" si="118"/>
        <v>0</v>
      </c>
      <c r="N14" s="329">
        <f t="shared" si="118"/>
        <v>0</v>
      </c>
      <c r="O14" s="329">
        <f t="shared" si="118"/>
        <v>0</v>
      </c>
      <c r="P14" s="329">
        <f t="shared" si="118"/>
        <v>0</v>
      </c>
      <c r="Q14" s="329">
        <f t="shared" si="118"/>
        <v>0</v>
      </c>
      <c r="R14" s="329">
        <f t="shared" si="118"/>
        <v>0</v>
      </c>
      <c r="S14" s="329">
        <f t="shared" si="118"/>
        <v>0</v>
      </c>
      <c r="T14" s="329">
        <f t="shared" si="118"/>
        <v>0</v>
      </c>
      <c r="U14" s="329">
        <f t="shared" si="118"/>
        <v>0</v>
      </c>
      <c r="V14" s="329">
        <f t="shared" si="118"/>
        <v>0</v>
      </c>
      <c r="W14" s="329">
        <f t="shared" si="118"/>
        <v>0</v>
      </c>
      <c r="X14" s="329">
        <f t="shared" si="118"/>
        <v>0</v>
      </c>
      <c r="Y14" s="329">
        <f t="shared" si="118"/>
        <v>0</v>
      </c>
      <c r="Z14" s="329">
        <f t="shared" si="118"/>
        <v>0</v>
      </c>
      <c r="AA14" s="329">
        <f t="shared" si="118"/>
        <v>0</v>
      </c>
      <c r="AB14" s="329">
        <f t="shared" si="118"/>
        <v>0</v>
      </c>
      <c r="AC14" s="329">
        <f t="shared" si="118"/>
        <v>0</v>
      </c>
      <c r="AD14" s="329">
        <f t="shared" si="118"/>
        <v>0</v>
      </c>
      <c r="AE14" s="329">
        <f t="shared" si="118"/>
        <v>0</v>
      </c>
      <c r="AF14" s="329">
        <f t="shared" si="118"/>
        <v>0</v>
      </c>
      <c r="AG14" s="329">
        <f t="shared" si="118"/>
        <v>0</v>
      </c>
      <c r="AH14" s="329">
        <f t="shared" si="118"/>
        <v>0</v>
      </c>
      <c r="AI14" s="329">
        <f t="shared" si="118"/>
        <v>0</v>
      </c>
      <c r="AJ14" s="329">
        <f t="shared" si="118"/>
        <v>0</v>
      </c>
      <c r="AK14" s="329">
        <f t="shared" si="118"/>
        <v>0</v>
      </c>
      <c r="AL14" s="329">
        <f t="shared" si="118"/>
        <v>0</v>
      </c>
      <c r="AM14" s="329">
        <f t="shared" si="118"/>
        <v>0</v>
      </c>
      <c r="AN14" s="329">
        <f t="shared" si="118"/>
        <v>0</v>
      </c>
      <c r="AO14" s="329">
        <f t="shared" si="118"/>
        <v>0</v>
      </c>
      <c r="AP14" s="329">
        <f t="shared" si="118"/>
        <v>0</v>
      </c>
      <c r="AQ14" s="329">
        <f t="shared" si="118"/>
        <v>0</v>
      </c>
      <c r="AR14" s="329">
        <f t="shared" si="118"/>
        <v>0</v>
      </c>
      <c r="AS14" s="329">
        <f t="shared" si="118"/>
        <v>0</v>
      </c>
      <c r="AT14" s="329">
        <f t="shared" si="118"/>
        <v>0</v>
      </c>
      <c r="AU14" s="329">
        <f t="shared" si="118"/>
        <v>0</v>
      </c>
      <c r="AV14" s="329">
        <f t="shared" si="118"/>
        <v>0</v>
      </c>
      <c r="AW14" s="329">
        <f t="shared" si="118"/>
        <v>0</v>
      </c>
      <c r="AX14" s="329">
        <f t="shared" si="118"/>
        <v>0</v>
      </c>
      <c r="AY14" s="329">
        <f t="shared" si="118"/>
        <v>0</v>
      </c>
      <c r="AZ14" s="329">
        <f t="shared" si="118"/>
        <v>0</v>
      </c>
      <c r="BA14" s="329">
        <f t="shared" si="118"/>
        <v>0</v>
      </c>
      <c r="BB14" s="329">
        <f t="shared" si="118"/>
        <v>0</v>
      </c>
      <c r="BC14" s="329">
        <f t="shared" si="118"/>
        <v>0</v>
      </c>
      <c r="BD14" s="329">
        <f t="shared" si="118"/>
        <v>0</v>
      </c>
      <c r="BE14" s="329">
        <f t="shared" si="118"/>
        <v>0</v>
      </c>
      <c r="BF14" s="329">
        <f t="shared" si="118"/>
        <v>0</v>
      </c>
      <c r="BG14" s="329">
        <f t="shared" si="118"/>
        <v>0</v>
      </c>
      <c r="BH14" s="329">
        <f t="shared" si="118"/>
        <v>0</v>
      </c>
      <c r="BI14" s="329">
        <f t="shared" si="118"/>
        <v>0</v>
      </c>
      <c r="BJ14" s="329">
        <f t="shared" si="118"/>
        <v>0</v>
      </c>
      <c r="BK14" s="329">
        <f t="shared" si="118"/>
        <v>0</v>
      </c>
      <c r="BL14" s="329">
        <f t="shared" si="118"/>
        <v>0</v>
      </c>
      <c r="BM14" s="329">
        <f t="shared" si="118"/>
        <v>0</v>
      </c>
      <c r="BN14" s="329">
        <f t="shared" si="118"/>
        <v>0</v>
      </c>
      <c r="BO14" s="329">
        <f t="shared" si="118"/>
        <v>0</v>
      </c>
      <c r="BP14" s="329">
        <f t="shared" si="118"/>
        <v>0</v>
      </c>
      <c r="BQ14" s="329">
        <f t="shared" ref="BQ14:DS14" si="119">+BP14</f>
        <v>0</v>
      </c>
      <c r="BR14" s="329">
        <f t="shared" si="119"/>
        <v>0</v>
      </c>
      <c r="BS14" s="329">
        <f t="shared" si="119"/>
        <v>0</v>
      </c>
      <c r="BT14" s="329">
        <f t="shared" si="119"/>
        <v>0</v>
      </c>
      <c r="BU14" s="329">
        <f t="shared" si="119"/>
        <v>0</v>
      </c>
      <c r="BV14" s="329">
        <f t="shared" si="119"/>
        <v>0</v>
      </c>
      <c r="BW14" s="329">
        <f t="shared" si="119"/>
        <v>0</v>
      </c>
      <c r="BX14" s="329">
        <f t="shared" si="119"/>
        <v>0</v>
      </c>
      <c r="BY14" s="329">
        <f t="shared" si="119"/>
        <v>0</v>
      </c>
      <c r="BZ14" s="329">
        <f t="shared" si="119"/>
        <v>0</v>
      </c>
      <c r="CA14" s="329">
        <f t="shared" si="119"/>
        <v>0</v>
      </c>
      <c r="CB14" s="329">
        <f t="shared" si="119"/>
        <v>0</v>
      </c>
      <c r="CC14" s="329">
        <f t="shared" si="119"/>
        <v>0</v>
      </c>
      <c r="CD14" s="329">
        <f t="shared" si="119"/>
        <v>0</v>
      </c>
      <c r="CE14" s="329">
        <f t="shared" si="119"/>
        <v>0</v>
      </c>
      <c r="CF14" s="329">
        <f t="shared" si="119"/>
        <v>0</v>
      </c>
      <c r="CG14" s="329">
        <f t="shared" si="119"/>
        <v>0</v>
      </c>
      <c r="CH14" s="329">
        <f t="shared" si="119"/>
        <v>0</v>
      </c>
      <c r="CI14" s="329">
        <f t="shared" si="119"/>
        <v>0</v>
      </c>
      <c r="CJ14" s="329">
        <f t="shared" si="119"/>
        <v>0</v>
      </c>
      <c r="CK14" s="329">
        <f t="shared" si="119"/>
        <v>0</v>
      </c>
      <c r="CL14" s="329">
        <f t="shared" si="119"/>
        <v>0</v>
      </c>
      <c r="CM14" s="329">
        <f t="shared" si="119"/>
        <v>0</v>
      </c>
      <c r="CN14" s="329">
        <f t="shared" si="119"/>
        <v>0</v>
      </c>
      <c r="CO14" s="329">
        <f t="shared" si="119"/>
        <v>0</v>
      </c>
      <c r="CP14" s="329">
        <f t="shared" si="119"/>
        <v>0</v>
      </c>
      <c r="CQ14" s="329">
        <f t="shared" si="119"/>
        <v>0</v>
      </c>
      <c r="CR14" s="329">
        <f t="shared" si="119"/>
        <v>0</v>
      </c>
      <c r="CS14" s="329">
        <f t="shared" si="119"/>
        <v>0</v>
      </c>
      <c r="CT14" s="329">
        <f t="shared" si="119"/>
        <v>0</v>
      </c>
      <c r="CU14" s="329">
        <f t="shared" si="119"/>
        <v>0</v>
      </c>
      <c r="CV14" s="329">
        <f t="shared" si="119"/>
        <v>0</v>
      </c>
      <c r="CW14" s="329">
        <f t="shared" si="119"/>
        <v>0</v>
      </c>
      <c r="CX14" s="329">
        <f t="shared" si="119"/>
        <v>0</v>
      </c>
      <c r="CY14" s="329">
        <f t="shared" si="119"/>
        <v>0</v>
      </c>
      <c r="CZ14" s="329">
        <f t="shared" si="119"/>
        <v>0</v>
      </c>
      <c r="DA14" s="329">
        <f t="shared" si="119"/>
        <v>0</v>
      </c>
      <c r="DB14" s="329">
        <f t="shared" si="119"/>
        <v>0</v>
      </c>
      <c r="DC14" s="329">
        <f t="shared" si="119"/>
        <v>0</v>
      </c>
      <c r="DD14" s="329">
        <f t="shared" si="119"/>
        <v>0</v>
      </c>
      <c r="DE14" s="329">
        <f t="shared" si="119"/>
        <v>0</v>
      </c>
      <c r="DF14" s="329">
        <f t="shared" si="119"/>
        <v>0</v>
      </c>
      <c r="DG14" s="329">
        <f t="shared" si="119"/>
        <v>0</v>
      </c>
      <c r="DH14" s="329">
        <f t="shared" si="119"/>
        <v>0</v>
      </c>
      <c r="DI14" s="329">
        <f t="shared" si="119"/>
        <v>0</v>
      </c>
      <c r="DJ14" s="329">
        <f t="shared" si="119"/>
        <v>0</v>
      </c>
      <c r="DK14" s="329">
        <f t="shared" si="119"/>
        <v>0</v>
      </c>
      <c r="DL14" s="329">
        <f t="shared" si="119"/>
        <v>0</v>
      </c>
      <c r="DM14" s="329">
        <f t="shared" si="119"/>
        <v>0</v>
      </c>
      <c r="DN14" s="329">
        <f t="shared" si="119"/>
        <v>0</v>
      </c>
      <c r="DO14" s="329">
        <f t="shared" si="119"/>
        <v>0</v>
      </c>
      <c r="DP14" s="329">
        <f t="shared" si="119"/>
        <v>0</v>
      </c>
      <c r="DQ14" s="329">
        <f t="shared" si="119"/>
        <v>0</v>
      </c>
      <c r="DR14" s="329">
        <f t="shared" si="119"/>
        <v>0</v>
      </c>
      <c r="DS14" s="329">
        <f t="shared" si="119"/>
        <v>0</v>
      </c>
    </row>
    <row r="15" thickTop="1" thickBot="1" ht="15.5">
      <c r="A15" s="319" t="s">
        <v>1307</v>
      </c>
      <c r="B15" s="326"/>
      <c r="C15" s="144"/>
      <c r="D15" s="144"/>
      <c r="E15" s="144"/>
      <c r="F15" s="144"/>
      <c r="G15" s="144"/>
      <c r="H15" s="144"/>
      <c r="I15" s="144"/>
      <c r="J15" s="144"/>
      <c r="K15" s="144"/>
      <c r="L15" s="144"/>
      <c r="M15" s="144"/>
      <c r="N15" s="144"/>
      <c r="O15" s="144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4"/>
      <c r="AM15" s="144"/>
      <c r="AN15" s="144"/>
      <c r="AO15" s="144"/>
      <c r="AP15" s="144"/>
      <c r="AQ15" s="144"/>
      <c r="AR15" s="144"/>
      <c r="AS15" s="144"/>
      <c r="AT15" s="144"/>
      <c r="AU15" s="144"/>
      <c r="AV15" s="144"/>
      <c r="AW15" s="144"/>
      <c r="AX15" s="144"/>
      <c r="AY15" s="144"/>
      <c r="AZ15" s="144"/>
      <c r="BA15" s="144"/>
      <c r="BB15" s="144"/>
      <c r="BC15" s="144"/>
      <c r="BD15" s="144"/>
      <c r="BE15" s="144"/>
      <c r="BF15" s="144"/>
      <c r="BG15" s="144"/>
      <c r="BH15" s="144"/>
      <c r="BI15" s="144"/>
      <c r="BJ15" s="144"/>
      <c r="BK15" s="144"/>
      <c r="BL15" s="144"/>
      <c r="BM15" s="144"/>
      <c r="BN15" s="144"/>
      <c r="BO15" s="144"/>
      <c r="BP15" s="144"/>
      <c r="BQ15" s="144"/>
      <c r="BR15" s="144"/>
      <c r="BS15" s="144"/>
      <c r="BT15" s="144"/>
      <c r="BU15" s="144"/>
      <c r="BV15" s="144"/>
      <c r="BW15" s="144"/>
      <c r="BX15" s="144"/>
      <c r="BY15" s="144"/>
      <c r="BZ15" s="144"/>
      <c r="CA15" s="144"/>
      <c r="CB15" s="144"/>
      <c r="CC15" s="144"/>
      <c r="CD15" s="144"/>
      <c r="CE15" s="144"/>
      <c r="CF15" s="144"/>
      <c r="CG15" s="144"/>
      <c r="CH15" s="144"/>
      <c r="CI15" s="144"/>
      <c r="CJ15" s="144"/>
      <c r="CK15" s="144"/>
      <c r="CL15" s="144"/>
      <c r="CM15" s="144"/>
      <c r="CN15" s="144"/>
      <c r="CO15" s="144"/>
      <c r="CP15" s="144"/>
      <c r="CQ15" s="144"/>
      <c r="CR15" s="144"/>
      <c r="CS15" s="144"/>
      <c r="CT15" s="144"/>
      <c r="CU15" s="144"/>
      <c r="CV15" s="144"/>
      <c r="CW15" s="144"/>
      <c r="CX15" s="144"/>
      <c r="CY15" s="144"/>
      <c r="CZ15" s="144"/>
      <c r="DA15" s="144"/>
      <c r="DB15" s="144"/>
      <c r="DC15" s="144"/>
      <c r="DD15" s="144"/>
      <c r="DE15" s="144"/>
      <c r="DF15" s="144"/>
      <c r="DG15" s="144"/>
      <c r="DH15" s="144"/>
      <c r="DI15" s="144"/>
      <c r="DJ15" s="144"/>
      <c r="DK15" s="144"/>
      <c r="DL15" s="144"/>
      <c r="DM15" s="144"/>
      <c r="DN15" s="144"/>
      <c r="DO15" s="144"/>
      <c r="DP15" s="144"/>
      <c r="DQ15" s="144"/>
      <c r="DR15" s="144"/>
      <c r="DS15" s="144"/>
    </row>
    <row r="16" thickTop="1" thickBot="1" ht="18.75" customHeight="1">
      <c r="A16" s="293" t="s">
        <v>979</v>
      </c>
      <c r="B16" s="294"/>
      <c r="C16" s="295">
        <f>+C14+C15</f>
        <v>0</v>
      </c>
      <c r="D16" s="295">
        <f>+D14+D15</f>
        <v>0</v>
      </c>
      <c r="E16" s="295">
        <f>+E14+E15</f>
        <v>0</v>
      </c>
      <c r="F16" s="295">
        <f t="shared" ref="F16:BP16" si="120">+F14+F15</f>
        <v>0</v>
      </c>
      <c r="G16" s="295">
        <f t="shared" si="120"/>
        <v>0</v>
      </c>
      <c r="H16" s="295">
        <f t="shared" si="120"/>
        <v>0</v>
      </c>
      <c r="I16" s="295">
        <f t="shared" si="120"/>
        <v>0</v>
      </c>
      <c r="J16" s="295">
        <f t="shared" si="120"/>
        <v>0</v>
      </c>
      <c r="K16" s="295">
        <f t="shared" si="120"/>
        <v>0</v>
      </c>
      <c r="L16" s="295">
        <f t="shared" si="120"/>
        <v>0</v>
      </c>
      <c r="M16" s="295">
        <f t="shared" si="120"/>
        <v>0</v>
      </c>
      <c r="N16" s="295">
        <f t="shared" si="120"/>
        <v>0</v>
      </c>
      <c r="O16" s="295">
        <f t="shared" si="120"/>
        <v>0</v>
      </c>
      <c r="P16" s="295">
        <f t="shared" si="120"/>
        <v>0</v>
      </c>
      <c r="Q16" s="295">
        <f t="shared" si="120"/>
        <v>0</v>
      </c>
      <c r="R16" s="295">
        <f t="shared" si="120"/>
        <v>0</v>
      </c>
      <c r="S16" s="295">
        <f t="shared" si="120"/>
        <v>0</v>
      </c>
      <c r="T16" s="295">
        <f t="shared" si="120"/>
        <v>0</v>
      </c>
      <c r="U16" s="295">
        <f t="shared" si="120"/>
        <v>0</v>
      </c>
      <c r="V16" s="295">
        <f t="shared" si="120"/>
        <v>0</v>
      </c>
      <c r="W16" s="295">
        <f t="shared" si="120"/>
        <v>0</v>
      </c>
      <c r="X16" s="295">
        <f t="shared" si="120"/>
        <v>0</v>
      </c>
      <c r="Y16" s="295">
        <f t="shared" si="120"/>
        <v>0</v>
      </c>
      <c r="Z16" s="295">
        <f t="shared" si="120"/>
        <v>0</v>
      </c>
      <c r="AA16" s="295">
        <f t="shared" si="120"/>
        <v>0</v>
      </c>
      <c r="AB16" s="295">
        <f t="shared" si="120"/>
        <v>0</v>
      </c>
      <c r="AC16" s="295">
        <f t="shared" si="120"/>
        <v>0</v>
      </c>
      <c r="AD16" s="295">
        <f t="shared" si="120"/>
        <v>0</v>
      </c>
      <c r="AE16" s="295">
        <f t="shared" si="120"/>
        <v>0</v>
      </c>
      <c r="AF16" s="295">
        <f t="shared" si="120"/>
        <v>0</v>
      </c>
      <c r="AG16" s="295">
        <f t="shared" si="120"/>
        <v>0</v>
      </c>
      <c r="AH16" s="295">
        <f t="shared" si="120"/>
        <v>0</v>
      </c>
      <c r="AI16" s="295">
        <f t="shared" si="120"/>
        <v>0</v>
      </c>
      <c r="AJ16" s="295">
        <f t="shared" si="120"/>
        <v>0</v>
      </c>
      <c r="AK16" s="295">
        <f t="shared" si="120"/>
        <v>0</v>
      </c>
      <c r="AL16" s="295">
        <f t="shared" si="120"/>
        <v>0</v>
      </c>
      <c r="AM16" s="295">
        <f t="shared" si="120"/>
        <v>0</v>
      </c>
      <c r="AN16" s="295">
        <f t="shared" si="120"/>
        <v>0</v>
      </c>
      <c r="AO16" s="295">
        <f t="shared" si="120"/>
        <v>0</v>
      </c>
      <c r="AP16" s="295">
        <f t="shared" si="120"/>
        <v>0</v>
      </c>
      <c r="AQ16" s="295">
        <f t="shared" si="120"/>
        <v>0</v>
      </c>
      <c r="AR16" s="295">
        <f t="shared" si="120"/>
        <v>0</v>
      </c>
      <c r="AS16" s="295">
        <f t="shared" si="120"/>
        <v>0</v>
      </c>
      <c r="AT16" s="295">
        <f t="shared" si="120"/>
        <v>0</v>
      </c>
      <c r="AU16" s="295">
        <f t="shared" si="120"/>
        <v>0</v>
      </c>
      <c r="AV16" s="295">
        <f t="shared" si="120"/>
        <v>0</v>
      </c>
      <c r="AW16" s="295">
        <f t="shared" si="120"/>
        <v>0</v>
      </c>
      <c r="AX16" s="295">
        <f t="shared" si="120"/>
        <v>0</v>
      </c>
      <c r="AY16" s="295">
        <f t="shared" si="120"/>
        <v>0</v>
      </c>
      <c r="AZ16" s="295">
        <f t="shared" si="120"/>
        <v>0</v>
      </c>
      <c r="BA16" s="295">
        <f t="shared" si="120"/>
        <v>0</v>
      </c>
      <c r="BB16" s="295">
        <f t="shared" si="120"/>
        <v>0</v>
      </c>
      <c r="BC16" s="295">
        <f t="shared" si="120"/>
        <v>0</v>
      </c>
      <c r="BD16" s="295">
        <f t="shared" si="120"/>
        <v>0</v>
      </c>
      <c r="BE16" s="295">
        <f t="shared" si="120"/>
        <v>0</v>
      </c>
      <c r="BF16" s="295">
        <f t="shared" si="120"/>
        <v>0</v>
      </c>
      <c r="BG16" s="295">
        <f t="shared" si="120"/>
        <v>0</v>
      </c>
      <c r="BH16" s="295">
        <f t="shared" si="120"/>
        <v>0</v>
      </c>
      <c r="BI16" s="295">
        <f t="shared" si="120"/>
        <v>0</v>
      </c>
      <c r="BJ16" s="295">
        <f t="shared" si="120"/>
        <v>0</v>
      </c>
      <c r="BK16" s="295">
        <f t="shared" si="120"/>
        <v>0</v>
      </c>
      <c r="BL16" s="295">
        <f t="shared" si="120"/>
        <v>0</v>
      </c>
      <c r="BM16" s="295">
        <f t="shared" si="120"/>
        <v>0</v>
      </c>
      <c r="BN16" s="295">
        <f t="shared" si="120"/>
        <v>0</v>
      </c>
      <c r="BO16" s="295">
        <f t="shared" si="120"/>
        <v>0</v>
      </c>
      <c r="BP16" s="295">
        <f t="shared" si="120"/>
        <v>0</v>
      </c>
      <c r="BQ16" s="295">
        <f t="shared" ref="BQ16:DS16" si="121">+BQ14+BQ15</f>
        <v>0</v>
      </c>
      <c r="BR16" s="295">
        <f t="shared" si="121"/>
        <v>0</v>
      </c>
      <c r="BS16" s="295">
        <f t="shared" si="121"/>
        <v>0</v>
      </c>
      <c r="BT16" s="295">
        <f t="shared" si="121"/>
        <v>0</v>
      </c>
      <c r="BU16" s="295">
        <f t="shared" si="121"/>
        <v>0</v>
      </c>
      <c r="BV16" s="295">
        <f t="shared" si="121"/>
        <v>0</v>
      </c>
      <c r="BW16" s="295">
        <f t="shared" si="121"/>
        <v>0</v>
      </c>
      <c r="BX16" s="295">
        <f t="shared" si="121"/>
        <v>0</v>
      </c>
      <c r="BY16" s="295">
        <f t="shared" si="121"/>
        <v>0</v>
      </c>
      <c r="BZ16" s="295">
        <f t="shared" si="121"/>
        <v>0</v>
      </c>
      <c r="CA16" s="295">
        <f t="shared" si="121"/>
        <v>0</v>
      </c>
      <c r="CB16" s="295">
        <f t="shared" si="121"/>
        <v>0</v>
      </c>
      <c r="CC16" s="295">
        <f t="shared" si="121"/>
        <v>0</v>
      </c>
      <c r="CD16" s="295">
        <f t="shared" si="121"/>
        <v>0</v>
      </c>
      <c r="CE16" s="295">
        <f t="shared" si="121"/>
        <v>0</v>
      </c>
      <c r="CF16" s="295">
        <f t="shared" si="121"/>
        <v>0</v>
      </c>
      <c r="CG16" s="295">
        <f t="shared" si="121"/>
        <v>0</v>
      </c>
      <c r="CH16" s="295">
        <f t="shared" si="121"/>
        <v>0</v>
      </c>
      <c r="CI16" s="295">
        <f t="shared" si="121"/>
        <v>0</v>
      </c>
      <c r="CJ16" s="295">
        <f t="shared" si="121"/>
        <v>0</v>
      </c>
      <c r="CK16" s="295">
        <f t="shared" si="121"/>
        <v>0</v>
      </c>
      <c r="CL16" s="295">
        <f t="shared" si="121"/>
        <v>0</v>
      </c>
      <c r="CM16" s="295">
        <f t="shared" si="121"/>
        <v>0</v>
      </c>
      <c r="CN16" s="295">
        <f t="shared" si="121"/>
        <v>0</v>
      </c>
      <c r="CO16" s="295">
        <f t="shared" si="121"/>
        <v>0</v>
      </c>
      <c r="CP16" s="295">
        <f t="shared" si="121"/>
        <v>0</v>
      </c>
      <c r="CQ16" s="295">
        <f t="shared" si="121"/>
        <v>0</v>
      </c>
      <c r="CR16" s="295">
        <f t="shared" si="121"/>
        <v>0</v>
      </c>
      <c r="CS16" s="295">
        <f t="shared" si="121"/>
        <v>0</v>
      </c>
      <c r="CT16" s="295">
        <f t="shared" si="121"/>
        <v>0</v>
      </c>
      <c r="CU16" s="295">
        <f t="shared" si="121"/>
        <v>0</v>
      </c>
      <c r="CV16" s="295">
        <f t="shared" si="121"/>
        <v>0</v>
      </c>
      <c r="CW16" s="295">
        <f t="shared" si="121"/>
        <v>0</v>
      </c>
      <c r="CX16" s="295">
        <f t="shared" si="121"/>
        <v>0</v>
      </c>
      <c r="CY16" s="295">
        <f t="shared" si="121"/>
        <v>0</v>
      </c>
      <c r="CZ16" s="295">
        <f t="shared" si="121"/>
        <v>0</v>
      </c>
      <c r="DA16" s="295">
        <f t="shared" si="121"/>
        <v>0</v>
      </c>
      <c r="DB16" s="295">
        <f t="shared" si="121"/>
        <v>0</v>
      </c>
      <c r="DC16" s="295">
        <f t="shared" si="121"/>
        <v>0</v>
      </c>
      <c r="DD16" s="295">
        <f t="shared" si="121"/>
        <v>0</v>
      </c>
      <c r="DE16" s="295">
        <f t="shared" si="121"/>
        <v>0</v>
      </c>
      <c r="DF16" s="295">
        <f t="shared" si="121"/>
        <v>0</v>
      </c>
      <c r="DG16" s="295">
        <f t="shared" si="121"/>
        <v>0</v>
      </c>
      <c r="DH16" s="295">
        <f t="shared" si="121"/>
        <v>0</v>
      </c>
      <c r="DI16" s="295">
        <f t="shared" si="121"/>
        <v>0</v>
      </c>
      <c r="DJ16" s="295">
        <f t="shared" si="121"/>
        <v>0</v>
      </c>
      <c r="DK16" s="295">
        <f t="shared" si="121"/>
        <v>0</v>
      </c>
      <c r="DL16" s="295">
        <f t="shared" si="121"/>
        <v>0</v>
      </c>
      <c r="DM16" s="295">
        <f t="shared" si="121"/>
        <v>0</v>
      </c>
      <c r="DN16" s="295">
        <f t="shared" si="121"/>
        <v>0</v>
      </c>
      <c r="DO16" s="295">
        <f t="shared" si="121"/>
        <v>0</v>
      </c>
      <c r="DP16" s="295">
        <f t="shared" si="121"/>
        <v>0</v>
      </c>
      <c r="DQ16" s="295">
        <f t="shared" si="121"/>
        <v>0</v>
      </c>
      <c r="DR16" s="295">
        <f t="shared" si="121"/>
        <v>0</v>
      </c>
      <c r="DS16" s="295">
        <f t="shared" si="121"/>
        <v>0</v>
      </c>
    </row>
    <row r="17" thickTop="1" thickBot="1" ht="15.5">
      <c r="A17" s="325"/>
      <c r="B17" s="3"/>
      <c r="C17" s="144"/>
      <c r="D17" s="144"/>
      <c r="E17" s="144"/>
      <c r="F17" s="144"/>
      <c r="G17" s="144"/>
      <c r="H17" s="144"/>
      <c r="I17" s="144"/>
      <c r="J17" s="144"/>
      <c r="K17" s="144"/>
      <c r="L17" s="144"/>
      <c r="M17" s="144"/>
      <c r="N17" s="144"/>
      <c r="O17" s="144"/>
      <c r="P17" s="144"/>
      <c r="Q17" s="144"/>
      <c r="R17" s="144"/>
      <c r="S17" s="144"/>
      <c r="T17" s="144"/>
      <c r="U17" s="144"/>
      <c r="V17" s="144"/>
      <c r="W17" s="144"/>
      <c r="X17" s="144"/>
      <c r="Y17" s="144"/>
      <c r="Z17" s="144"/>
      <c r="AA17" s="144"/>
      <c r="AB17" s="144"/>
      <c r="AC17" s="144"/>
      <c r="AD17" s="144"/>
      <c r="AE17" s="144"/>
      <c r="AF17" s="144"/>
      <c r="AG17" s="144"/>
      <c r="AH17" s="144"/>
      <c r="AI17" s="144"/>
      <c r="AJ17" s="144"/>
      <c r="AK17" s="144"/>
      <c r="AL17" s="144"/>
      <c r="AM17" s="144"/>
      <c r="AN17" s="144"/>
      <c r="AO17" s="144"/>
      <c r="AP17" s="144"/>
      <c r="AQ17" s="144"/>
      <c r="AR17" s="144"/>
      <c r="AS17" s="144"/>
      <c r="AT17" s="144"/>
      <c r="AU17" s="144"/>
      <c r="AV17" s="144"/>
      <c r="AW17" s="144"/>
      <c r="AX17" s="144"/>
      <c r="AY17" s="144"/>
      <c r="AZ17" s="144"/>
      <c r="BA17" s="144"/>
      <c r="BB17" s="144"/>
      <c r="BC17" s="144"/>
      <c r="BD17" s="144"/>
      <c r="BE17" s="144"/>
      <c r="BF17" s="144"/>
      <c r="BG17" s="144"/>
      <c r="BH17" s="144"/>
      <c r="BI17" s="144"/>
      <c r="BJ17" s="144"/>
      <c r="BK17" s="144"/>
      <c r="BL17" s="144"/>
      <c r="BM17" s="144"/>
      <c r="BN17" s="144"/>
      <c r="BO17" s="144"/>
      <c r="BP17" s="144"/>
      <c r="BQ17" s="144"/>
      <c r="BR17" s="144"/>
      <c r="BS17" s="144"/>
      <c r="BT17" s="144"/>
      <c r="BU17" s="144"/>
      <c r="BV17" s="144"/>
      <c r="BW17" s="144"/>
      <c r="BX17" s="144"/>
      <c r="BY17" s="144"/>
      <c r="BZ17" s="144"/>
      <c r="CA17" s="144"/>
      <c r="CB17" s="144"/>
      <c r="CC17" s="144"/>
      <c r="CD17" s="144"/>
      <c r="CE17" s="144"/>
      <c r="CF17" s="144"/>
      <c r="CG17" s="144"/>
      <c r="CH17" s="144"/>
      <c r="CI17" s="144"/>
      <c r="CJ17" s="144"/>
      <c r="CK17" s="144"/>
      <c r="CL17" s="144"/>
      <c r="CM17" s="144"/>
      <c r="CN17" s="144"/>
      <c r="CO17" s="144"/>
      <c r="CP17" s="144"/>
      <c r="CQ17" s="144"/>
      <c r="CR17" s="144"/>
      <c r="CS17" s="144"/>
      <c r="CT17" s="144"/>
      <c r="CU17" s="144"/>
      <c r="CV17" s="144"/>
      <c r="CW17" s="144"/>
      <c r="CX17" s="144"/>
      <c r="CY17" s="144"/>
      <c r="CZ17" s="144"/>
      <c r="DA17" s="144"/>
      <c r="DB17" s="144"/>
      <c r="DC17" s="144"/>
      <c r="DD17" s="144"/>
      <c r="DE17" s="144"/>
      <c r="DF17" s="144"/>
      <c r="DG17" s="144"/>
      <c r="DH17" s="144"/>
      <c r="DI17" s="144"/>
      <c r="DJ17" s="144"/>
      <c r="DK17" s="144"/>
      <c r="DL17" s="144"/>
      <c r="DM17" s="144"/>
      <c r="DN17" s="144"/>
      <c r="DO17" s="144"/>
      <c r="DP17" s="144"/>
      <c r="DQ17" s="144"/>
      <c r="DR17" s="144"/>
      <c r="DS17" s="144"/>
    </row>
    <row r="18" thickTop="1" thickBot="1" s="7" customFormat="1" ht="15.5">
      <c r="A18" s="328" t="s">
        <v>1308</v>
      </c>
      <c r="B18" s="328"/>
      <c r="C18" s="329">
        <f>+SUMIF(Attivo!L106:L113,"Continuità",Attivo!K106:K113)</f>
        <v>0</v>
      </c>
      <c r="D18" s="329">
        <f>+C18-'CE-mese'!C41</f>
        <v>0</v>
      </c>
      <c r="E18" s="329">
        <f>+D18-'CE-mese'!D41</f>
        <v>0</v>
      </c>
      <c r="F18" s="329">
        <f>+E18-'CE-mese'!E41</f>
        <v>0</v>
      </c>
      <c r="G18" s="329">
        <f>+F18-'CE-mese'!F41</f>
        <v>0</v>
      </c>
      <c r="H18" s="329">
        <f>+G18-'CE-mese'!G41</f>
        <v>0</v>
      </c>
      <c r="I18" s="329">
        <f>+H18-'CE-mese'!H41</f>
        <v>0</v>
      </c>
      <c r="J18" s="329">
        <f>+I18-'CE-mese'!I41</f>
        <v>0</v>
      </c>
      <c r="K18" s="329">
        <f>+J18-'CE-mese'!J41</f>
        <v>0</v>
      </c>
      <c r="L18" s="329">
        <f>+K18-'CE-mese'!K41</f>
        <v>0</v>
      </c>
      <c r="M18" s="329">
        <f>+L18-'CE-mese'!L41</f>
        <v>0</v>
      </c>
      <c r="N18" s="329">
        <f>+M18-'CE-mese'!M41</f>
        <v>0</v>
      </c>
      <c r="O18" s="329">
        <f>+N18-'CE-mese'!N41</f>
        <v>0</v>
      </c>
      <c r="P18" s="329">
        <f>+O18-'CE-mese'!O41</f>
        <v>0</v>
      </c>
      <c r="Q18" s="329">
        <f>+P18-'CE-mese'!P41</f>
        <v>0</v>
      </c>
      <c r="R18" s="329">
        <f>+Q18-'CE-mese'!Q41</f>
        <v>0</v>
      </c>
      <c r="S18" s="329">
        <f>+R18-'CE-mese'!R41</f>
        <v>0</v>
      </c>
      <c r="T18" s="329">
        <f>+S18-'CE-mese'!S41</f>
        <v>0</v>
      </c>
      <c r="U18" s="329">
        <f>+T18-'CE-mese'!T41</f>
        <v>0</v>
      </c>
      <c r="V18" s="329">
        <f>+U18-'CE-mese'!U41</f>
        <v>0</v>
      </c>
      <c r="W18" s="329">
        <f>+V18-'CE-mese'!V41</f>
        <v>0</v>
      </c>
      <c r="X18" s="329">
        <f>+W18-'CE-mese'!W41</f>
        <v>0</v>
      </c>
      <c r="Y18" s="329">
        <f>+X18-'CE-mese'!X41</f>
        <v>0</v>
      </c>
      <c r="Z18" s="329">
        <f>+Y18-'CE-mese'!Y41</f>
        <v>0</v>
      </c>
      <c r="AA18" s="329">
        <f>+Z18-'CE-mese'!Z41</f>
        <v>0</v>
      </c>
      <c r="AB18" s="329">
        <f>+AA18-'CE-mese'!AA41</f>
        <v>0</v>
      </c>
      <c r="AC18" s="329">
        <f>+AB18-'CE-mese'!AB41</f>
        <v>0</v>
      </c>
      <c r="AD18" s="329">
        <f>+AC18-'CE-mese'!AC41</f>
        <v>0</v>
      </c>
      <c r="AE18" s="329">
        <f>+AD18-'CE-mese'!AD41</f>
        <v>0</v>
      </c>
      <c r="AF18" s="329">
        <f>+AE18-'CE-mese'!AE41</f>
        <v>0</v>
      </c>
      <c r="AG18" s="329">
        <f>+AF18-'CE-mese'!AF41</f>
        <v>0</v>
      </c>
      <c r="AH18" s="329">
        <f>+AG18-'CE-mese'!AG41</f>
        <v>0</v>
      </c>
      <c r="AI18" s="329">
        <f>+AH18-'CE-mese'!AH41</f>
        <v>0</v>
      </c>
      <c r="AJ18" s="329">
        <f>+AI18-'CE-mese'!AI41</f>
        <v>0</v>
      </c>
      <c r="AK18" s="329">
        <f>+AJ18-'CE-mese'!AJ41</f>
        <v>0</v>
      </c>
      <c r="AL18" s="329">
        <f>+AK18-'CE-mese'!AK41</f>
        <v>0</v>
      </c>
      <c r="AM18" s="329">
        <f>+AL18-'CE-mese'!AL41</f>
        <v>0</v>
      </c>
      <c r="AN18" s="329">
        <f>+AM18-'CE-mese'!AM41</f>
        <v>0</v>
      </c>
      <c r="AO18" s="329">
        <f>+AN18-'CE-mese'!AN41</f>
        <v>0</v>
      </c>
      <c r="AP18" s="329">
        <f>+AO18-'CE-mese'!AO41</f>
        <v>0</v>
      </c>
      <c r="AQ18" s="329">
        <f>+AP18-'CE-mese'!AP41</f>
        <v>0</v>
      </c>
      <c r="AR18" s="329">
        <f>+AQ18-'CE-mese'!AQ41</f>
        <v>0</v>
      </c>
      <c r="AS18" s="329">
        <f>+AR18-'CE-mese'!AR41</f>
        <v>0</v>
      </c>
      <c r="AT18" s="329">
        <f>+AS18-'CE-mese'!AS41</f>
        <v>0</v>
      </c>
      <c r="AU18" s="329">
        <f>+AT18-'CE-mese'!AT41</f>
        <v>0</v>
      </c>
      <c r="AV18" s="329">
        <f>+AU18-'CE-mese'!AU41</f>
        <v>0</v>
      </c>
      <c r="AW18" s="329">
        <f>+AV18-'CE-mese'!AV41</f>
        <v>0</v>
      </c>
      <c r="AX18" s="329">
        <f>+AW18-'CE-mese'!AW41</f>
        <v>0</v>
      </c>
      <c r="AY18" s="329">
        <f>+AX18-'CE-mese'!AX41</f>
        <v>0</v>
      </c>
      <c r="AZ18" s="329">
        <f>+AY18-'CE-mese'!AY41</f>
        <v>0</v>
      </c>
      <c r="BA18" s="329">
        <f>+AZ18-'CE-mese'!AZ41</f>
        <v>0</v>
      </c>
      <c r="BB18" s="329">
        <f>+BA18-'CE-mese'!BA41</f>
        <v>0</v>
      </c>
      <c r="BC18" s="329">
        <f>+BB18-'CE-mese'!BB41</f>
        <v>0</v>
      </c>
      <c r="BD18" s="329">
        <f>+BC18-'CE-mese'!BC41</f>
        <v>0</v>
      </c>
      <c r="BE18" s="329">
        <f>+BD18-'CE-mese'!BD41</f>
        <v>0</v>
      </c>
      <c r="BF18" s="329">
        <f>+BE18-'CE-mese'!BE41</f>
        <v>0</v>
      </c>
      <c r="BG18" s="329">
        <f>+BF18-'CE-mese'!BF41</f>
        <v>0</v>
      </c>
      <c r="BH18" s="329">
        <f>+BG18-'CE-mese'!BG41</f>
        <v>0</v>
      </c>
      <c r="BI18" s="329">
        <f>+BH18-'CE-mese'!BH41</f>
        <v>0</v>
      </c>
      <c r="BJ18" s="329">
        <f>+BI18-'CE-mese'!BI41</f>
        <v>0</v>
      </c>
      <c r="BK18" s="329">
        <f>+BJ18-'CE-mese'!BJ41</f>
        <v>0</v>
      </c>
      <c r="BL18" s="329">
        <f>+BK18-'CE-mese'!BK41</f>
        <v>0</v>
      </c>
      <c r="BM18" s="329">
        <f>+BL18-'CE-mese'!BL41</f>
        <v>0</v>
      </c>
      <c r="BN18" s="329">
        <f>+BM18-'CE-mese'!BM41</f>
        <v>0</v>
      </c>
      <c r="BO18" s="329">
        <f>+BN18-'CE-mese'!BN41</f>
        <v>0</v>
      </c>
      <c r="BP18" s="329">
        <f>+BO18-'CE-mese'!BO41</f>
        <v>0</v>
      </c>
      <c r="BQ18" s="329">
        <f>+BP18-'CE-mese'!BP41</f>
        <v>0</v>
      </c>
      <c r="BR18" s="329">
        <f>+BQ18-'CE-mese'!BQ41</f>
        <v>0</v>
      </c>
      <c r="BS18" s="329">
        <f>+BR18-'CE-mese'!BR41</f>
        <v>0</v>
      </c>
      <c r="BT18" s="329">
        <f>+BS18-'CE-mese'!BS41</f>
        <v>0</v>
      </c>
      <c r="BU18" s="329">
        <f>+BT18-'CE-mese'!BT41</f>
        <v>0</v>
      </c>
      <c r="BV18" s="329">
        <f>+BU18-'CE-mese'!BU41</f>
        <v>0</v>
      </c>
      <c r="BW18" s="329">
        <f>+BV18-'CE-mese'!BV41</f>
        <v>0</v>
      </c>
      <c r="BX18" s="329">
        <f>+BW18-'CE-mese'!BW41</f>
        <v>0</v>
      </c>
      <c r="BY18" s="329">
        <f>+BX18-'CE-mese'!BX41</f>
        <v>0</v>
      </c>
      <c r="BZ18" s="329">
        <f>+BY18-'CE-mese'!BY41</f>
        <v>0</v>
      </c>
      <c r="CA18" s="329">
        <f>+BZ18-'CE-mese'!BZ41</f>
        <v>0</v>
      </c>
      <c r="CB18" s="329">
        <f>+CA18-'CE-mese'!CA41</f>
        <v>0</v>
      </c>
      <c r="CC18" s="329">
        <f>+CB18-'CE-mese'!CB41</f>
        <v>0</v>
      </c>
      <c r="CD18" s="329">
        <f>+CC18-'CE-mese'!CC41</f>
        <v>0</v>
      </c>
      <c r="CE18" s="329">
        <f>+CD18-'CE-mese'!CD41</f>
        <v>0</v>
      </c>
      <c r="CF18" s="329">
        <f>+CE18-'CE-mese'!CE41</f>
        <v>0</v>
      </c>
      <c r="CG18" s="329">
        <f>+CF18-'CE-mese'!CF41</f>
        <v>0</v>
      </c>
      <c r="CH18" s="329">
        <f>+CG18-'CE-mese'!CG41</f>
        <v>0</v>
      </c>
      <c r="CI18" s="329">
        <f>+CH18-'CE-mese'!CH41</f>
        <v>0</v>
      </c>
      <c r="CJ18" s="329">
        <f>+CI18-'CE-mese'!CI41</f>
        <v>0</v>
      </c>
      <c r="CK18" s="329">
        <f>+CJ18-'CE-mese'!CJ41</f>
        <v>0</v>
      </c>
      <c r="CL18" s="329">
        <f>+CK18-'CE-mese'!CK41</f>
        <v>0</v>
      </c>
      <c r="CM18" s="329">
        <f>+CL18-'CE-mese'!CL41</f>
        <v>0</v>
      </c>
      <c r="CN18" s="329">
        <f>+CM18-'CE-mese'!CM41</f>
        <v>0</v>
      </c>
      <c r="CO18" s="329">
        <f>+CN18-'CE-mese'!CN41</f>
        <v>0</v>
      </c>
      <c r="CP18" s="329">
        <f>+CO18-'CE-mese'!CO41</f>
        <v>0</v>
      </c>
      <c r="CQ18" s="329">
        <f>+CP18-'CE-mese'!CP41</f>
        <v>0</v>
      </c>
      <c r="CR18" s="329">
        <f>+CQ18-'CE-mese'!CQ41</f>
        <v>0</v>
      </c>
      <c r="CS18" s="329">
        <f>+CR18-'CE-mese'!CR41</f>
        <v>0</v>
      </c>
      <c r="CT18" s="329">
        <f>+CS18-'CE-mese'!CS41</f>
        <v>0</v>
      </c>
      <c r="CU18" s="329">
        <f>+CT18-'CE-mese'!CT41</f>
        <v>0</v>
      </c>
      <c r="CV18" s="329">
        <f>+CU18-'CE-mese'!CU41</f>
        <v>0</v>
      </c>
      <c r="CW18" s="329">
        <f>+CV18-'CE-mese'!CV41</f>
        <v>0</v>
      </c>
      <c r="CX18" s="329">
        <f>+CW18-'CE-mese'!CW41</f>
        <v>0</v>
      </c>
      <c r="CY18" s="329">
        <f>+CX18-'CE-mese'!CX41</f>
        <v>0</v>
      </c>
      <c r="CZ18" s="329">
        <f>+CY18-'CE-mese'!CY41</f>
        <v>0</v>
      </c>
      <c r="DA18" s="329">
        <f>+CZ18-'CE-mese'!CZ41</f>
        <v>0</v>
      </c>
      <c r="DB18" s="329">
        <f>+DA18-'CE-mese'!DA41</f>
        <v>0</v>
      </c>
      <c r="DC18" s="329">
        <f>+DB18-'CE-mese'!DB41</f>
        <v>0</v>
      </c>
      <c r="DD18" s="329">
        <f>+DC18-'CE-mese'!DC41</f>
        <v>0</v>
      </c>
      <c r="DE18" s="329">
        <f>+DD18-'CE-mese'!DD41</f>
        <v>0</v>
      </c>
      <c r="DF18" s="329">
        <f>+DE18-'CE-mese'!DE41</f>
        <v>0</v>
      </c>
      <c r="DG18" s="329">
        <f>+DF18-'CE-mese'!DF41</f>
        <v>0</v>
      </c>
      <c r="DH18" s="329">
        <f>+DG18-'CE-mese'!DG41</f>
        <v>0</v>
      </c>
      <c r="DI18" s="329">
        <f>+DH18-'CE-mese'!DH41</f>
        <v>0</v>
      </c>
      <c r="DJ18" s="329">
        <f>+DI18-'CE-mese'!DI41</f>
        <v>0</v>
      </c>
      <c r="DK18" s="329">
        <f>+DJ18-'CE-mese'!DJ41</f>
        <v>0</v>
      </c>
      <c r="DL18" s="329">
        <f>+DK18-'CE-mese'!DK41</f>
        <v>0</v>
      </c>
      <c r="DM18" s="329">
        <f>+DL18-'CE-mese'!DL41</f>
        <v>0</v>
      </c>
      <c r="DN18" s="329">
        <f>+DM18-'CE-mese'!DM41</f>
        <v>0</v>
      </c>
      <c r="DO18" s="329">
        <f>+DN18-'CE-mese'!DN41</f>
        <v>0</v>
      </c>
      <c r="DP18" s="329">
        <f>+DO18-'CE-mese'!DO41</f>
        <v>0</v>
      </c>
      <c r="DQ18" s="329">
        <f>+DP18-'CE-mese'!DP41</f>
        <v>0</v>
      </c>
      <c r="DR18" s="329">
        <f>+DQ18-'CE-mese'!DQ41</f>
        <v>0</v>
      </c>
      <c r="DS18" s="329">
        <f>+DR18-'CE-mese'!DR41</f>
        <v>0</v>
      </c>
    </row>
    <row r="19" thickTop="1" thickBot="1" ht="22">
      <c r="A19" s="150" t="s">
        <v>980</v>
      </c>
      <c r="B19" s="298"/>
      <c r="C19" s="144"/>
      <c r="D19" s="144"/>
      <c r="E19" s="144"/>
      <c r="F19" s="144"/>
      <c r="G19" s="144"/>
      <c r="H19" s="144"/>
      <c r="I19" s="144"/>
      <c r="J19" s="144"/>
      <c r="K19" s="144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4"/>
      <c r="AM19" s="144"/>
      <c r="AN19" s="144"/>
      <c r="AO19" s="144"/>
      <c r="AP19" s="144"/>
      <c r="AQ19" s="144"/>
      <c r="AR19" s="144"/>
      <c r="AS19" s="144"/>
      <c r="AT19" s="144"/>
      <c r="AU19" s="144"/>
      <c r="AV19" s="144"/>
      <c r="AW19" s="144"/>
      <c r="AX19" s="144"/>
      <c r="AY19" s="144"/>
      <c r="AZ19" s="144"/>
      <c r="BA19" s="144"/>
      <c r="BB19" s="144"/>
      <c r="BC19" s="144"/>
      <c r="BD19" s="144"/>
      <c r="BE19" s="144"/>
      <c r="BF19" s="144"/>
      <c r="BG19" s="144"/>
      <c r="BH19" s="144"/>
      <c r="BI19" s="144"/>
      <c r="BJ19" s="144"/>
      <c r="BK19" s="144"/>
      <c r="BL19" s="144"/>
      <c r="BM19" s="144"/>
      <c r="BN19" s="144"/>
      <c r="BO19" s="144"/>
      <c r="BP19" s="144"/>
      <c r="BQ19" s="144"/>
      <c r="BR19" s="144"/>
      <c r="BS19" s="144"/>
      <c r="BT19" s="144"/>
      <c r="BU19" s="144"/>
      <c r="BV19" s="144"/>
      <c r="BW19" s="144"/>
      <c r="BX19" s="144"/>
      <c r="BY19" s="144"/>
      <c r="BZ19" s="144"/>
      <c r="CA19" s="144"/>
      <c r="CB19" s="144"/>
      <c r="CC19" s="144"/>
      <c r="CD19" s="144"/>
      <c r="CE19" s="144"/>
      <c r="CF19" s="144"/>
      <c r="CG19" s="144"/>
      <c r="CH19" s="144"/>
      <c r="CI19" s="144"/>
      <c r="CJ19" s="144"/>
      <c r="CK19" s="144"/>
      <c r="CL19" s="144"/>
      <c r="CM19" s="144"/>
      <c r="CN19" s="144"/>
      <c r="CO19" s="144"/>
      <c r="CP19" s="144"/>
      <c r="CQ19" s="144"/>
      <c r="CR19" s="144"/>
      <c r="CS19" s="144"/>
      <c r="CT19" s="144"/>
      <c r="CU19" s="144"/>
      <c r="CV19" s="144"/>
      <c r="CW19" s="144"/>
      <c r="CX19" s="144"/>
      <c r="CY19" s="144"/>
      <c r="CZ19" s="144"/>
      <c r="DA19" s="144"/>
      <c r="DB19" s="144"/>
      <c r="DC19" s="144"/>
      <c r="DD19" s="144"/>
      <c r="DE19" s="144"/>
      <c r="DF19" s="144"/>
      <c r="DG19" s="144"/>
      <c r="DH19" s="144"/>
      <c r="DI19" s="144"/>
      <c r="DJ19" s="144"/>
      <c r="DK19" s="144"/>
      <c r="DL19" s="144"/>
      <c r="DM19" s="144"/>
      <c r="DN19" s="144"/>
      <c r="DO19" s="144"/>
      <c r="DP19" s="144"/>
      <c r="DQ19" s="144"/>
      <c r="DR19" s="144"/>
      <c r="DS19" s="144"/>
    </row>
    <row r="20" thickTop="1" thickBot="1" ht="15.5">
      <c r="A20" s="330" t="s">
        <v>1309</v>
      </c>
      <c r="B20" s="330"/>
      <c r="C20" s="331">
        <f>+C21</f>
        <v>0</v>
      </c>
      <c r="D20" s="331">
        <f>+D21</f>
        <v>0</v>
      </c>
      <c r="E20" s="331">
        <f>+E21</f>
        <v>0</v>
      </c>
      <c r="F20" s="331">
        <f t="shared" ref="F20:BQ20" si="122">+F21</f>
        <v>0</v>
      </c>
      <c r="G20" s="331">
        <f t="shared" si="122"/>
        <v>0</v>
      </c>
      <c r="H20" s="331">
        <f t="shared" si="122"/>
        <v>0</v>
      </c>
      <c r="I20" s="331">
        <f t="shared" si="122"/>
        <v>0</v>
      </c>
      <c r="J20" s="331">
        <f t="shared" si="122"/>
        <v>0</v>
      </c>
      <c r="K20" s="331">
        <f t="shared" si="122"/>
        <v>0</v>
      </c>
      <c r="L20" s="331">
        <f t="shared" si="122"/>
        <v>0</v>
      </c>
      <c r="M20" s="331">
        <f t="shared" si="122"/>
        <v>0</v>
      </c>
      <c r="N20" s="331">
        <f t="shared" si="122"/>
        <v>0</v>
      </c>
      <c r="O20" s="331">
        <f t="shared" si="122"/>
        <v>0</v>
      </c>
      <c r="P20" s="331">
        <f t="shared" si="122"/>
        <v>0</v>
      </c>
      <c r="Q20" s="331">
        <f t="shared" si="122"/>
        <v>0</v>
      </c>
      <c r="R20" s="331">
        <f t="shared" si="122"/>
        <v>0</v>
      </c>
      <c r="S20" s="331">
        <f t="shared" si="122"/>
        <v>0</v>
      </c>
      <c r="T20" s="331">
        <f t="shared" si="122"/>
        <v>0</v>
      </c>
      <c r="U20" s="331">
        <f t="shared" si="122"/>
        <v>0</v>
      </c>
      <c r="V20" s="331">
        <f t="shared" si="122"/>
        <v>0</v>
      </c>
      <c r="W20" s="331">
        <f t="shared" si="122"/>
        <v>0</v>
      </c>
      <c r="X20" s="331">
        <f t="shared" si="122"/>
        <v>0</v>
      </c>
      <c r="Y20" s="331">
        <f t="shared" si="122"/>
        <v>0</v>
      </c>
      <c r="Z20" s="331">
        <f t="shared" si="122"/>
        <v>0</v>
      </c>
      <c r="AA20" s="331">
        <f t="shared" si="122"/>
        <v>0</v>
      </c>
      <c r="AB20" s="331">
        <f t="shared" si="122"/>
        <v>0</v>
      </c>
      <c r="AC20" s="331">
        <f t="shared" si="122"/>
        <v>0</v>
      </c>
      <c r="AD20" s="331">
        <f t="shared" si="122"/>
        <v>0</v>
      </c>
      <c r="AE20" s="331">
        <f t="shared" si="122"/>
        <v>0</v>
      </c>
      <c r="AF20" s="331">
        <f t="shared" si="122"/>
        <v>0</v>
      </c>
      <c r="AG20" s="331">
        <f t="shared" si="122"/>
        <v>0</v>
      </c>
      <c r="AH20" s="331">
        <f t="shared" si="122"/>
        <v>0</v>
      </c>
      <c r="AI20" s="331">
        <f t="shared" si="122"/>
        <v>0</v>
      </c>
      <c r="AJ20" s="331">
        <f t="shared" si="122"/>
        <v>0</v>
      </c>
      <c r="AK20" s="331">
        <f t="shared" si="122"/>
        <v>0</v>
      </c>
      <c r="AL20" s="331">
        <f t="shared" si="122"/>
        <v>0</v>
      </c>
      <c r="AM20" s="331">
        <f t="shared" si="122"/>
        <v>0</v>
      </c>
      <c r="AN20" s="331">
        <f t="shared" si="122"/>
        <v>0</v>
      </c>
      <c r="AO20" s="331">
        <f t="shared" si="122"/>
        <v>0</v>
      </c>
      <c r="AP20" s="331">
        <f t="shared" si="122"/>
        <v>0</v>
      </c>
      <c r="AQ20" s="331">
        <f t="shared" si="122"/>
        <v>0</v>
      </c>
      <c r="AR20" s="331">
        <f t="shared" si="122"/>
        <v>0</v>
      </c>
      <c r="AS20" s="331">
        <f t="shared" si="122"/>
        <v>0</v>
      </c>
      <c r="AT20" s="331">
        <f t="shared" si="122"/>
        <v>0</v>
      </c>
      <c r="AU20" s="331">
        <f t="shared" si="122"/>
        <v>0</v>
      </c>
      <c r="AV20" s="331">
        <f t="shared" si="122"/>
        <v>0</v>
      </c>
      <c r="AW20" s="331">
        <f t="shared" si="122"/>
        <v>0</v>
      </c>
      <c r="AX20" s="331">
        <f t="shared" si="122"/>
        <v>0</v>
      </c>
      <c r="AY20" s="331">
        <f t="shared" si="122"/>
        <v>0</v>
      </c>
      <c r="AZ20" s="331">
        <f t="shared" si="122"/>
        <v>0</v>
      </c>
      <c r="BA20" s="331">
        <f t="shared" si="122"/>
        <v>0</v>
      </c>
      <c r="BB20" s="331">
        <f t="shared" si="122"/>
        <v>0</v>
      </c>
      <c r="BC20" s="331">
        <f t="shared" si="122"/>
        <v>0</v>
      </c>
      <c r="BD20" s="331">
        <f t="shared" si="122"/>
        <v>0</v>
      </c>
      <c r="BE20" s="331">
        <f t="shared" si="122"/>
        <v>0</v>
      </c>
      <c r="BF20" s="331">
        <f t="shared" si="122"/>
        <v>0</v>
      </c>
      <c r="BG20" s="331">
        <f t="shared" si="122"/>
        <v>0</v>
      </c>
      <c r="BH20" s="331">
        <f t="shared" si="122"/>
        <v>0</v>
      </c>
      <c r="BI20" s="331">
        <f t="shared" si="122"/>
        <v>0</v>
      </c>
      <c r="BJ20" s="331">
        <f t="shared" si="122"/>
        <v>0</v>
      </c>
      <c r="BK20" s="331">
        <f t="shared" si="122"/>
        <v>0</v>
      </c>
      <c r="BL20" s="331">
        <f t="shared" si="122"/>
        <v>0</v>
      </c>
      <c r="BM20" s="331">
        <f t="shared" si="122"/>
        <v>0</v>
      </c>
      <c r="BN20" s="331">
        <f t="shared" si="122"/>
        <v>0</v>
      </c>
      <c r="BO20" s="331">
        <f t="shared" si="122"/>
        <v>0</v>
      </c>
      <c r="BP20" s="331">
        <f t="shared" si="122"/>
        <v>0</v>
      </c>
      <c r="BQ20" s="331">
        <f t="shared" si="122"/>
        <v>0</v>
      </c>
      <c r="BR20" s="331">
        <f t="shared" ref="BR20:DS20" si="123">+BR21</f>
        <v>0</v>
      </c>
      <c r="BS20" s="331">
        <f t="shared" si="123"/>
        <v>0</v>
      </c>
      <c r="BT20" s="331">
        <f t="shared" si="123"/>
        <v>0</v>
      </c>
      <c r="BU20" s="331">
        <f t="shared" si="123"/>
        <v>0</v>
      </c>
      <c r="BV20" s="331">
        <f t="shared" si="123"/>
        <v>0</v>
      </c>
      <c r="BW20" s="331">
        <f t="shared" si="123"/>
        <v>0</v>
      </c>
      <c r="BX20" s="331">
        <f t="shared" si="123"/>
        <v>0</v>
      </c>
      <c r="BY20" s="331">
        <f t="shared" si="123"/>
        <v>0</v>
      </c>
      <c r="BZ20" s="331">
        <f t="shared" si="123"/>
        <v>0</v>
      </c>
      <c r="CA20" s="331">
        <f t="shared" si="123"/>
        <v>0</v>
      </c>
      <c r="CB20" s="331">
        <f t="shared" si="123"/>
        <v>0</v>
      </c>
      <c r="CC20" s="331">
        <f t="shared" si="123"/>
        <v>0</v>
      </c>
      <c r="CD20" s="331">
        <f t="shared" si="123"/>
        <v>0</v>
      </c>
      <c r="CE20" s="331">
        <f t="shared" si="123"/>
        <v>0</v>
      </c>
      <c r="CF20" s="331">
        <f t="shared" si="123"/>
        <v>0</v>
      </c>
      <c r="CG20" s="331">
        <f t="shared" si="123"/>
        <v>0</v>
      </c>
      <c r="CH20" s="331">
        <f t="shared" si="123"/>
        <v>0</v>
      </c>
      <c r="CI20" s="331">
        <f t="shared" si="123"/>
        <v>0</v>
      </c>
      <c r="CJ20" s="331">
        <f t="shared" si="123"/>
        <v>0</v>
      </c>
      <c r="CK20" s="331">
        <f t="shared" si="123"/>
        <v>0</v>
      </c>
      <c r="CL20" s="331">
        <f t="shared" si="123"/>
        <v>0</v>
      </c>
      <c r="CM20" s="331">
        <f t="shared" si="123"/>
        <v>0</v>
      </c>
      <c r="CN20" s="331">
        <f t="shared" si="123"/>
        <v>0</v>
      </c>
      <c r="CO20" s="331">
        <f t="shared" si="123"/>
        <v>0</v>
      </c>
      <c r="CP20" s="331">
        <f t="shared" si="123"/>
        <v>0</v>
      </c>
      <c r="CQ20" s="331">
        <f t="shared" si="123"/>
        <v>0</v>
      </c>
      <c r="CR20" s="331">
        <f t="shared" si="123"/>
        <v>0</v>
      </c>
      <c r="CS20" s="331">
        <f t="shared" si="123"/>
        <v>0</v>
      </c>
      <c r="CT20" s="331">
        <f t="shared" si="123"/>
        <v>0</v>
      </c>
      <c r="CU20" s="331">
        <f t="shared" si="123"/>
        <v>0</v>
      </c>
      <c r="CV20" s="331">
        <f t="shared" si="123"/>
        <v>0</v>
      </c>
      <c r="CW20" s="331">
        <f t="shared" si="123"/>
        <v>0</v>
      </c>
      <c r="CX20" s="331">
        <f t="shared" si="123"/>
        <v>0</v>
      </c>
      <c r="CY20" s="331">
        <f t="shared" si="123"/>
        <v>0</v>
      </c>
      <c r="CZ20" s="331">
        <f t="shared" si="123"/>
        <v>0</v>
      </c>
      <c r="DA20" s="331">
        <f t="shared" si="123"/>
        <v>0</v>
      </c>
      <c r="DB20" s="331">
        <f t="shared" si="123"/>
        <v>0</v>
      </c>
      <c r="DC20" s="331">
        <f t="shared" si="123"/>
        <v>0</v>
      </c>
      <c r="DD20" s="331">
        <f t="shared" si="123"/>
        <v>0</v>
      </c>
      <c r="DE20" s="331">
        <f t="shared" si="123"/>
        <v>0</v>
      </c>
      <c r="DF20" s="331">
        <f t="shared" si="123"/>
        <v>0</v>
      </c>
      <c r="DG20" s="331">
        <f t="shared" si="123"/>
        <v>0</v>
      </c>
      <c r="DH20" s="331">
        <f t="shared" si="123"/>
        <v>0</v>
      </c>
      <c r="DI20" s="331">
        <f t="shared" si="123"/>
        <v>0</v>
      </c>
      <c r="DJ20" s="331">
        <f t="shared" si="123"/>
        <v>0</v>
      </c>
      <c r="DK20" s="331">
        <f t="shared" si="123"/>
        <v>0</v>
      </c>
      <c r="DL20" s="331">
        <f t="shared" si="123"/>
        <v>0</v>
      </c>
      <c r="DM20" s="331">
        <f t="shared" si="123"/>
        <v>0</v>
      </c>
      <c r="DN20" s="331">
        <f t="shared" si="123"/>
        <v>0</v>
      </c>
      <c r="DO20" s="331">
        <f t="shared" si="123"/>
        <v>0</v>
      </c>
      <c r="DP20" s="331">
        <f t="shared" si="123"/>
        <v>0</v>
      </c>
      <c r="DQ20" s="331">
        <f t="shared" si="123"/>
        <v>0</v>
      </c>
      <c r="DR20" s="331">
        <f t="shared" si="123"/>
        <v>0</v>
      </c>
      <c r="DS20" s="331">
        <f t="shared" si="123"/>
        <v>0</v>
      </c>
    </row>
    <row r="21" thickTop="1" thickBot="1" ht="15.5">
      <c r="A21" s="332" t="s">
        <v>1310</v>
      </c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4"/>
      <c r="AM21" s="144"/>
      <c r="AN21" s="144"/>
      <c r="AO21" s="144"/>
      <c r="AP21" s="144"/>
      <c r="AQ21" s="144"/>
      <c r="AR21" s="144"/>
      <c r="AS21" s="144"/>
      <c r="AT21" s="144"/>
      <c r="AU21" s="144"/>
      <c r="AV21" s="144"/>
      <c r="AW21" s="144"/>
      <c r="AX21" s="144"/>
      <c r="AY21" s="144"/>
      <c r="AZ21" s="144"/>
      <c r="BA21" s="144"/>
      <c r="BB21" s="144"/>
      <c r="BC21" s="144"/>
      <c r="BD21" s="144"/>
      <c r="BE21" s="144"/>
      <c r="BF21" s="144"/>
      <c r="BG21" s="144"/>
      <c r="BH21" s="144"/>
      <c r="BI21" s="144"/>
      <c r="BJ21" s="144"/>
      <c r="BK21" s="144"/>
      <c r="BL21" s="144"/>
      <c r="BM21" s="144"/>
      <c r="BN21" s="144"/>
      <c r="BO21" s="144"/>
      <c r="BP21" s="144"/>
      <c r="BQ21" s="144"/>
      <c r="BR21" s="144"/>
      <c r="BS21" s="144"/>
      <c r="BT21" s="144"/>
      <c r="BU21" s="144"/>
      <c r="BV21" s="144"/>
      <c r="BW21" s="144"/>
      <c r="BX21" s="144"/>
      <c r="BY21" s="144"/>
      <c r="BZ21" s="144"/>
      <c r="CA21" s="144"/>
      <c r="CB21" s="144"/>
      <c r="CC21" s="144"/>
      <c r="CD21" s="144"/>
      <c r="CE21" s="144"/>
      <c r="CF21" s="144"/>
      <c r="CG21" s="144"/>
      <c r="CH21" s="144"/>
      <c r="CI21" s="144"/>
      <c r="CJ21" s="144"/>
      <c r="CK21" s="144"/>
      <c r="CL21" s="144"/>
      <c r="CM21" s="144"/>
      <c r="CN21" s="144"/>
      <c r="CO21" s="144"/>
      <c r="CP21" s="144"/>
      <c r="CQ21" s="144"/>
      <c r="CR21" s="144"/>
      <c r="CS21" s="144"/>
      <c r="CT21" s="144"/>
      <c r="CU21" s="144"/>
      <c r="CV21" s="144"/>
      <c r="CW21" s="144"/>
      <c r="CX21" s="144"/>
      <c r="CY21" s="144"/>
      <c r="CZ21" s="144"/>
      <c r="DA21" s="144"/>
      <c r="DB21" s="144"/>
      <c r="DC21" s="144"/>
      <c r="DD21" s="144"/>
      <c r="DE21" s="144"/>
      <c r="DF21" s="144"/>
      <c r="DG21" s="144"/>
      <c r="DH21" s="144"/>
      <c r="DI21" s="144"/>
      <c r="DJ21" s="144"/>
      <c r="DK21" s="144"/>
      <c r="DL21" s="144"/>
      <c r="DM21" s="144"/>
      <c r="DN21" s="144"/>
      <c r="DO21" s="144"/>
      <c r="DP21" s="144"/>
      <c r="DQ21" s="144"/>
      <c r="DR21" s="144"/>
      <c r="DS21" s="144"/>
    </row>
    <row r="22" thickTop="1" thickBot="1" ht="15.5">
      <c r="A22" s="330" t="s">
        <v>1311</v>
      </c>
      <c r="B22" s="330"/>
      <c r="C22" s="331">
        <f>+C23</f>
        <v>0</v>
      </c>
      <c r="D22" s="331">
        <f t="shared" ref="D22:BO22" si="124">+D23</f>
        <v>0</v>
      </c>
      <c r="E22" s="331">
        <f t="shared" si="124"/>
        <v>0</v>
      </c>
      <c r="F22" s="331">
        <f t="shared" si="124"/>
        <v>0</v>
      </c>
      <c r="G22" s="331">
        <f t="shared" si="124"/>
        <v>0</v>
      </c>
      <c r="H22" s="331">
        <f t="shared" si="124"/>
        <v>0</v>
      </c>
      <c r="I22" s="331">
        <f t="shared" si="124"/>
        <v>0</v>
      </c>
      <c r="J22" s="331">
        <f t="shared" si="124"/>
        <v>0</v>
      </c>
      <c r="K22" s="331">
        <f t="shared" si="124"/>
        <v>0</v>
      </c>
      <c r="L22" s="331">
        <f t="shared" si="124"/>
        <v>0</v>
      </c>
      <c r="M22" s="331">
        <f t="shared" si="124"/>
        <v>0</v>
      </c>
      <c r="N22" s="331">
        <f t="shared" si="124"/>
        <v>0</v>
      </c>
      <c r="O22" s="331">
        <f t="shared" si="124"/>
        <v>0</v>
      </c>
      <c r="P22" s="331">
        <f t="shared" si="124"/>
        <v>0</v>
      </c>
      <c r="Q22" s="331">
        <f t="shared" si="124"/>
        <v>0</v>
      </c>
      <c r="R22" s="331">
        <f t="shared" si="124"/>
        <v>0</v>
      </c>
      <c r="S22" s="331">
        <f t="shared" si="124"/>
        <v>0</v>
      </c>
      <c r="T22" s="331">
        <f t="shared" si="124"/>
        <v>0</v>
      </c>
      <c r="U22" s="331">
        <f t="shared" si="124"/>
        <v>0</v>
      </c>
      <c r="V22" s="331">
        <f t="shared" si="124"/>
        <v>0</v>
      </c>
      <c r="W22" s="331">
        <f t="shared" si="124"/>
        <v>0</v>
      </c>
      <c r="X22" s="331">
        <f t="shared" si="124"/>
        <v>0</v>
      </c>
      <c r="Y22" s="331">
        <f t="shared" si="124"/>
        <v>0</v>
      </c>
      <c r="Z22" s="331">
        <f t="shared" si="124"/>
        <v>0</v>
      </c>
      <c r="AA22" s="331">
        <f t="shared" si="124"/>
        <v>0</v>
      </c>
      <c r="AB22" s="331">
        <f t="shared" si="124"/>
        <v>0</v>
      </c>
      <c r="AC22" s="331">
        <f t="shared" si="124"/>
        <v>0</v>
      </c>
      <c r="AD22" s="331">
        <f t="shared" si="124"/>
        <v>0</v>
      </c>
      <c r="AE22" s="331">
        <f t="shared" si="124"/>
        <v>0</v>
      </c>
      <c r="AF22" s="331">
        <f t="shared" si="124"/>
        <v>0</v>
      </c>
      <c r="AG22" s="331">
        <f t="shared" si="124"/>
        <v>0</v>
      </c>
      <c r="AH22" s="331">
        <f t="shared" si="124"/>
        <v>0</v>
      </c>
      <c r="AI22" s="331">
        <f t="shared" si="124"/>
        <v>0</v>
      </c>
      <c r="AJ22" s="331">
        <f t="shared" si="124"/>
        <v>0</v>
      </c>
      <c r="AK22" s="331">
        <f t="shared" si="124"/>
        <v>0</v>
      </c>
      <c r="AL22" s="331">
        <f t="shared" si="124"/>
        <v>0</v>
      </c>
      <c r="AM22" s="331">
        <f t="shared" si="124"/>
        <v>0</v>
      </c>
      <c r="AN22" s="331">
        <f t="shared" si="124"/>
        <v>0</v>
      </c>
      <c r="AO22" s="331">
        <f t="shared" si="124"/>
        <v>0</v>
      </c>
      <c r="AP22" s="331">
        <f t="shared" si="124"/>
        <v>0</v>
      </c>
      <c r="AQ22" s="331">
        <f t="shared" si="124"/>
        <v>0</v>
      </c>
      <c r="AR22" s="331">
        <f t="shared" si="124"/>
        <v>0</v>
      </c>
      <c r="AS22" s="331">
        <f t="shared" si="124"/>
        <v>0</v>
      </c>
      <c r="AT22" s="331">
        <f t="shared" si="124"/>
        <v>0</v>
      </c>
      <c r="AU22" s="331">
        <f t="shared" si="124"/>
        <v>0</v>
      </c>
      <c r="AV22" s="331">
        <f t="shared" si="124"/>
        <v>0</v>
      </c>
      <c r="AW22" s="331">
        <f t="shared" si="124"/>
        <v>0</v>
      </c>
      <c r="AX22" s="331">
        <f t="shared" si="124"/>
        <v>0</v>
      </c>
      <c r="AY22" s="331">
        <f t="shared" si="124"/>
        <v>0</v>
      </c>
      <c r="AZ22" s="331">
        <f t="shared" si="124"/>
        <v>0</v>
      </c>
      <c r="BA22" s="331">
        <f t="shared" si="124"/>
        <v>0</v>
      </c>
      <c r="BB22" s="331">
        <f t="shared" si="124"/>
        <v>0</v>
      </c>
      <c r="BC22" s="331">
        <f t="shared" si="124"/>
        <v>0</v>
      </c>
      <c r="BD22" s="331">
        <f t="shared" si="124"/>
        <v>0</v>
      </c>
      <c r="BE22" s="331">
        <f t="shared" si="124"/>
        <v>0</v>
      </c>
      <c r="BF22" s="331">
        <f t="shared" si="124"/>
        <v>0</v>
      </c>
      <c r="BG22" s="331">
        <f t="shared" si="124"/>
        <v>0</v>
      </c>
      <c r="BH22" s="331">
        <f t="shared" si="124"/>
        <v>0</v>
      </c>
      <c r="BI22" s="331">
        <f t="shared" si="124"/>
        <v>0</v>
      </c>
      <c r="BJ22" s="331">
        <f t="shared" si="124"/>
        <v>0</v>
      </c>
      <c r="BK22" s="331">
        <f t="shared" si="124"/>
        <v>0</v>
      </c>
      <c r="BL22" s="331">
        <f t="shared" si="124"/>
        <v>0</v>
      </c>
      <c r="BM22" s="331">
        <f t="shared" si="124"/>
        <v>0</v>
      </c>
      <c r="BN22" s="331">
        <f t="shared" si="124"/>
        <v>0</v>
      </c>
      <c r="BO22" s="331">
        <f t="shared" si="124"/>
        <v>0</v>
      </c>
      <c r="BP22" s="331">
        <f t="shared" ref="BP22:DS22" si="125">+BP23</f>
        <v>0</v>
      </c>
      <c r="BQ22" s="331">
        <f t="shared" si="125"/>
        <v>0</v>
      </c>
      <c r="BR22" s="331">
        <f t="shared" si="125"/>
        <v>0</v>
      </c>
      <c r="BS22" s="331">
        <f t="shared" si="125"/>
        <v>0</v>
      </c>
      <c r="BT22" s="331">
        <f t="shared" si="125"/>
        <v>0</v>
      </c>
      <c r="BU22" s="331">
        <f t="shared" si="125"/>
        <v>0</v>
      </c>
      <c r="BV22" s="331">
        <f t="shared" si="125"/>
        <v>0</v>
      </c>
      <c r="BW22" s="331">
        <f t="shared" si="125"/>
        <v>0</v>
      </c>
      <c r="BX22" s="331">
        <f t="shared" si="125"/>
        <v>0</v>
      </c>
      <c r="BY22" s="331">
        <f t="shared" si="125"/>
        <v>0</v>
      </c>
      <c r="BZ22" s="331">
        <f t="shared" si="125"/>
        <v>0</v>
      </c>
      <c r="CA22" s="331">
        <f t="shared" si="125"/>
        <v>0</v>
      </c>
      <c r="CB22" s="331">
        <f t="shared" si="125"/>
        <v>0</v>
      </c>
      <c r="CC22" s="331">
        <f t="shared" si="125"/>
        <v>0</v>
      </c>
      <c r="CD22" s="331">
        <f t="shared" si="125"/>
        <v>0</v>
      </c>
      <c r="CE22" s="331">
        <f t="shared" si="125"/>
        <v>0</v>
      </c>
      <c r="CF22" s="331">
        <f t="shared" si="125"/>
        <v>0</v>
      </c>
      <c r="CG22" s="331">
        <f t="shared" si="125"/>
        <v>0</v>
      </c>
      <c r="CH22" s="331">
        <f t="shared" si="125"/>
        <v>0</v>
      </c>
      <c r="CI22" s="331">
        <f t="shared" si="125"/>
        <v>0</v>
      </c>
      <c r="CJ22" s="331">
        <f t="shared" si="125"/>
        <v>0</v>
      </c>
      <c r="CK22" s="331">
        <f t="shared" si="125"/>
        <v>0</v>
      </c>
      <c r="CL22" s="331">
        <f t="shared" si="125"/>
        <v>0</v>
      </c>
      <c r="CM22" s="331">
        <f t="shared" si="125"/>
        <v>0</v>
      </c>
      <c r="CN22" s="331">
        <f t="shared" si="125"/>
        <v>0</v>
      </c>
      <c r="CO22" s="331">
        <f t="shared" si="125"/>
        <v>0</v>
      </c>
      <c r="CP22" s="331">
        <f t="shared" si="125"/>
        <v>0</v>
      </c>
      <c r="CQ22" s="331">
        <f t="shared" si="125"/>
        <v>0</v>
      </c>
      <c r="CR22" s="331">
        <f t="shared" si="125"/>
        <v>0</v>
      </c>
      <c r="CS22" s="331">
        <f t="shared" si="125"/>
        <v>0</v>
      </c>
      <c r="CT22" s="331">
        <f t="shared" si="125"/>
        <v>0</v>
      </c>
      <c r="CU22" s="331">
        <f t="shared" si="125"/>
        <v>0</v>
      </c>
      <c r="CV22" s="331">
        <f t="shared" si="125"/>
        <v>0</v>
      </c>
      <c r="CW22" s="331">
        <f t="shared" si="125"/>
        <v>0</v>
      </c>
      <c r="CX22" s="331">
        <f t="shared" si="125"/>
        <v>0</v>
      </c>
      <c r="CY22" s="331">
        <f t="shared" si="125"/>
        <v>0</v>
      </c>
      <c r="CZ22" s="331">
        <f t="shared" si="125"/>
        <v>0</v>
      </c>
      <c r="DA22" s="331">
        <f t="shared" si="125"/>
        <v>0</v>
      </c>
      <c r="DB22" s="331">
        <f t="shared" si="125"/>
        <v>0</v>
      </c>
      <c r="DC22" s="331">
        <f t="shared" si="125"/>
        <v>0</v>
      </c>
      <c r="DD22" s="331">
        <f t="shared" si="125"/>
        <v>0</v>
      </c>
      <c r="DE22" s="331">
        <f t="shared" si="125"/>
        <v>0</v>
      </c>
      <c r="DF22" s="331">
        <f t="shared" si="125"/>
        <v>0</v>
      </c>
      <c r="DG22" s="331">
        <f t="shared" si="125"/>
        <v>0</v>
      </c>
      <c r="DH22" s="331">
        <f t="shared" si="125"/>
        <v>0</v>
      </c>
      <c r="DI22" s="331">
        <f t="shared" si="125"/>
        <v>0</v>
      </c>
      <c r="DJ22" s="331">
        <f t="shared" si="125"/>
        <v>0</v>
      </c>
      <c r="DK22" s="331">
        <f t="shared" si="125"/>
        <v>0</v>
      </c>
      <c r="DL22" s="331">
        <f t="shared" si="125"/>
        <v>0</v>
      </c>
      <c r="DM22" s="331">
        <f t="shared" si="125"/>
        <v>0</v>
      </c>
      <c r="DN22" s="331">
        <f t="shared" si="125"/>
        <v>0</v>
      </c>
      <c r="DO22" s="331">
        <f t="shared" si="125"/>
        <v>0</v>
      </c>
      <c r="DP22" s="331">
        <f t="shared" si="125"/>
        <v>0</v>
      </c>
      <c r="DQ22" s="331">
        <f t="shared" si="125"/>
        <v>0</v>
      </c>
      <c r="DR22" s="331">
        <f t="shared" si="125"/>
        <v>0</v>
      </c>
      <c r="DS22" s="331">
        <f t="shared" si="125"/>
        <v>0</v>
      </c>
    </row>
    <row r="23" thickTop="1" thickBot="1" ht="15.5">
      <c r="A23" s="333" t="s">
        <v>1312</v>
      </c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4"/>
      <c r="AM23" s="144"/>
      <c r="AN23" s="144"/>
      <c r="AO23" s="144"/>
      <c r="AP23" s="144"/>
      <c r="AQ23" s="144"/>
      <c r="AR23" s="144"/>
      <c r="AS23" s="144"/>
      <c r="AT23" s="144"/>
      <c r="AU23" s="144"/>
      <c r="AV23" s="144"/>
      <c r="AW23" s="144"/>
      <c r="AX23" s="144"/>
      <c r="AY23" s="144"/>
      <c r="AZ23" s="144"/>
      <c r="BA23" s="144"/>
      <c r="BB23" s="144"/>
      <c r="BC23" s="144"/>
      <c r="BD23" s="144"/>
      <c r="BE23" s="144"/>
      <c r="BF23" s="144"/>
      <c r="BG23" s="144"/>
      <c r="BH23" s="144"/>
      <c r="BI23" s="144"/>
      <c r="BJ23" s="144"/>
      <c r="BK23" s="144"/>
      <c r="BL23" s="144"/>
      <c r="BM23" s="144"/>
      <c r="BN23" s="144"/>
      <c r="BO23" s="144"/>
      <c r="BP23" s="144"/>
      <c r="BQ23" s="144"/>
      <c r="BR23" s="144"/>
      <c r="BS23" s="144"/>
      <c r="BT23" s="144"/>
      <c r="BU23" s="144"/>
      <c r="BV23" s="144"/>
      <c r="BW23" s="144"/>
      <c r="BX23" s="144"/>
      <c r="BY23" s="144"/>
      <c r="BZ23" s="144"/>
      <c r="CA23" s="144"/>
      <c r="CB23" s="144"/>
      <c r="CC23" s="144"/>
      <c r="CD23" s="144"/>
      <c r="CE23" s="144"/>
      <c r="CF23" s="144"/>
      <c r="CG23" s="144"/>
      <c r="CH23" s="144"/>
      <c r="CI23" s="144"/>
      <c r="CJ23" s="144"/>
      <c r="CK23" s="144"/>
      <c r="CL23" s="144"/>
      <c r="CM23" s="144"/>
      <c r="CN23" s="144"/>
      <c r="CO23" s="144"/>
      <c r="CP23" s="144"/>
      <c r="CQ23" s="144"/>
      <c r="CR23" s="144"/>
      <c r="CS23" s="144"/>
      <c r="CT23" s="144"/>
      <c r="CU23" s="144"/>
      <c r="CV23" s="144"/>
      <c r="CW23" s="144"/>
      <c r="CX23" s="144"/>
      <c r="CY23" s="144"/>
      <c r="CZ23" s="144"/>
      <c r="DA23" s="144"/>
      <c r="DB23" s="144"/>
      <c r="DC23" s="144"/>
      <c r="DD23" s="144"/>
      <c r="DE23" s="144"/>
      <c r="DF23" s="144"/>
      <c r="DG23" s="144"/>
      <c r="DH23" s="144"/>
      <c r="DI23" s="144"/>
      <c r="DJ23" s="144"/>
      <c r="DK23" s="144"/>
      <c r="DL23" s="144"/>
      <c r="DM23" s="144"/>
      <c r="DN23" s="144"/>
      <c r="DO23" s="144"/>
      <c r="DP23" s="144"/>
      <c r="DQ23" s="144"/>
      <c r="DR23" s="144"/>
      <c r="DS23" s="144"/>
    </row>
    <row r="24" thickTop="1" thickBot="1" ht="15.5">
      <c r="A24" s="330" t="s">
        <v>1313</v>
      </c>
      <c r="B24" s="330"/>
      <c r="C24" s="331">
        <f>+SUM(C25:C26)</f>
        <v>0</v>
      </c>
      <c r="D24" s="331">
        <f>+SUM(D25:D26)</f>
        <v>0</v>
      </c>
      <c r="E24" s="331">
        <f>+SUM(E25:E26)</f>
        <v>0</v>
      </c>
      <c r="F24" s="331">
        <f t="shared" ref="F24:BQ24" si="126">+SUM(F25:F26)</f>
        <v>0</v>
      </c>
      <c r="G24" s="331">
        <f t="shared" si="126"/>
        <v>0</v>
      </c>
      <c r="H24" s="331">
        <f t="shared" si="126"/>
        <v>0</v>
      </c>
      <c r="I24" s="331">
        <f t="shared" si="126"/>
        <v>0</v>
      </c>
      <c r="J24" s="331">
        <f t="shared" si="126"/>
        <v>0</v>
      </c>
      <c r="K24" s="331">
        <f t="shared" si="126"/>
        <v>0</v>
      </c>
      <c r="L24" s="331">
        <f t="shared" si="126"/>
        <v>0</v>
      </c>
      <c r="M24" s="331">
        <f t="shared" si="126"/>
        <v>0</v>
      </c>
      <c r="N24" s="331">
        <f t="shared" si="126"/>
        <v>0</v>
      </c>
      <c r="O24" s="331">
        <f t="shared" si="126"/>
        <v>0</v>
      </c>
      <c r="P24" s="331">
        <f t="shared" si="126"/>
        <v>0</v>
      </c>
      <c r="Q24" s="331">
        <f t="shared" si="126"/>
        <v>0</v>
      </c>
      <c r="R24" s="331">
        <f t="shared" si="126"/>
        <v>0</v>
      </c>
      <c r="S24" s="331">
        <f t="shared" si="126"/>
        <v>0</v>
      </c>
      <c r="T24" s="331">
        <f t="shared" si="126"/>
        <v>0</v>
      </c>
      <c r="U24" s="331">
        <f t="shared" si="126"/>
        <v>0</v>
      </c>
      <c r="V24" s="331">
        <f t="shared" si="126"/>
        <v>0</v>
      </c>
      <c r="W24" s="331">
        <f t="shared" si="126"/>
        <v>0</v>
      </c>
      <c r="X24" s="331">
        <f t="shared" si="126"/>
        <v>0</v>
      </c>
      <c r="Y24" s="331">
        <f t="shared" si="126"/>
        <v>0</v>
      </c>
      <c r="Z24" s="331">
        <f t="shared" si="126"/>
        <v>0</v>
      </c>
      <c r="AA24" s="331">
        <f t="shared" si="126"/>
        <v>0</v>
      </c>
      <c r="AB24" s="331">
        <f t="shared" si="126"/>
        <v>0</v>
      </c>
      <c r="AC24" s="331">
        <f t="shared" si="126"/>
        <v>0</v>
      </c>
      <c r="AD24" s="331">
        <f t="shared" si="126"/>
        <v>0</v>
      </c>
      <c r="AE24" s="331">
        <f t="shared" si="126"/>
        <v>0</v>
      </c>
      <c r="AF24" s="331">
        <f t="shared" si="126"/>
        <v>0</v>
      </c>
      <c r="AG24" s="331">
        <f t="shared" si="126"/>
        <v>0</v>
      </c>
      <c r="AH24" s="331">
        <f t="shared" si="126"/>
        <v>0</v>
      </c>
      <c r="AI24" s="331">
        <f t="shared" si="126"/>
        <v>0</v>
      </c>
      <c r="AJ24" s="331">
        <f t="shared" si="126"/>
        <v>0</v>
      </c>
      <c r="AK24" s="331">
        <f t="shared" si="126"/>
        <v>0</v>
      </c>
      <c r="AL24" s="331">
        <f t="shared" si="126"/>
        <v>0</v>
      </c>
      <c r="AM24" s="331">
        <f t="shared" si="126"/>
        <v>0</v>
      </c>
      <c r="AN24" s="331">
        <f t="shared" si="126"/>
        <v>0</v>
      </c>
      <c r="AO24" s="331">
        <f t="shared" si="126"/>
        <v>0</v>
      </c>
      <c r="AP24" s="331">
        <f t="shared" si="126"/>
        <v>0</v>
      </c>
      <c r="AQ24" s="331">
        <f t="shared" si="126"/>
        <v>0</v>
      </c>
      <c r="AR24" s="331">
        <f t="shared" si="126"/>
        <v>0</v>
      </c>
      <c r="AS24" s="331">
        <f t="shared" si="126"/>
        <v>0</v>
      </c>
      <c r="AT24" s="331">
        <f t="shared" si="126"/>
        <v>0</v>
      </c>
      <c r="AU24" s="331">
        <f t="shared" si="126"/>
        <v>0</v>
      </c>
      <c r="AV24" s="331">
        <f t="shared" si="126"/>
        <v>0</v>
      </c>
      <c r="AW24" s="331">
        <f t="shared" si="126"/>
        <v>0</v>
      </c>
      <c r="AX24" s="331">
        <f t="shared" si="126"/>
        <v>0</v>
      </c>
      <c r="AY24" s="331">
        <f t="shared" si="126"/>
        <v>0</v>
      </c>
      <c r="AZ24" s="331">
        <f t="shared" si="126"/>
        <v>0</v>
      </c>
      <c r="BA24" s="331">
        <f t="shared" si="126"/>
        <v>0</v>
      </c>
      <c r="BB24" s="331">
        <f t="shared" si="126"/>
        <v>0</v>
      </c>
      <c r="BC24" s="331">
        <f t="shared" si="126"/>
        <v>0</v>
      </c>
      <c r="BD24" s="331">
        <f t="shared" si="126"/>
        <v>0</v>
      </c>
      <c r="BE24" s="331">
        <f t="shared" si="126"/>
        <v>0</v>
      </c>
      <c r="BF24" s="331">
        <f t="shared" si="126"/>
        <v>0</v>
      </c>
      <c r="BG24" s="331">
        <f t="shared" si="126"/>
        <v>0</v>
      </c>
      <c r="BH24" s="331">
        <f t="shared" si="126"/>
        <v>0</v>
      </c>
      <c r="BI24" s="331">
        <f t="shared" si="126"/>
        <v>0</v>
      </c>
      <c r="BJ24" s="331">
        <f t="shared" si="126"/>
        <v>0</v>
      </c>
      <c r="BK24" s="331">
        <f t="shared" si="126"/>
        <v>0</v>
      </c>
      <c r="BL24" s="331">
        <f t="shared" si="126"/>
        <v>0</v>
      </c>
      <c r="BM24" s="331">
        <f t="shared" si="126"/>
        <v>0</v>
      </c>
      <c r="BN24" s="331">
        <f t="shared" si="126"/>
        <v>0</v>
      </c>
      <c r="BO24" s="331">
        <f t="shared" si="126"/>
        <v>0</v>
      </c>
      <c r="BP24" s="331">
        <f t="shared" si="126"/>
        <v>0</v>
      </c>
      <c r="BQ24" s="331">
        <f t="shared" si="126"/>
        <v>0</v>
      </c>
      <c r="BR24" s="331">
        <f t="shared" ref="BR24:DS24" si="127">+SUM(BR25:BR26)</f>
        <v>0</v>
      </c>
      <c r="BS24" s="331">
        <f t="shared" si="127"/>
        <v>0</v>
      </c>
      <c r="BT24" s="331">
        <f t="shared" si="127"/>
        <v>0</v>
      </c>
      <c r="BU24" s="331">
        <f t="shared" si="127"/>
        <v>0</v>
      </c>
      <c r="BV24" s="331">
        <f t="shared" si="127"/>
        <v>0</v>
      </c>
      <c r="BW24" s="331">
        <f t="shared" si="127"/>
        <v>0</v>
      </c>
      <c r="BX24" s="331">
        <f t="shared" si="127"/>
        <v>0</v>
      </c>
      <c r="BY24" s="331">
        <f t="shared" si="127"/>
        <v>0</v>
      </c>
      <c r="BZ24" s="331">
        <f t="shared" si="127"/>
        <v>0</v>
      </c>
      <c r="CA24" s="331">
        <f t="shared" si="127"/>
        <v>0</v>
      </c>
      <c r="CB24" s="331">
        <f t="shared" si="127"/>
        <v>0</v>
      </c>
      <c r="CC24" s="331">
        <f t="shared" si="127"/>
        <v>0</v>
      </c>
      <c r="CD24" s="331">
        <f t="shared" si="127"/>
        <v>0</v>
      </c>
      <c r="CE24" s="331">
        <f t="shared" si="127"/>
        <v>0</v>
      </c>
      <c r="CF24" s="331">
        <f t="shared" si="127"/>
        <v>0</v>
      </c>
      <c r="CG24" s="331">
        <f t="shared" si="127"/>
        <v>0</v>
      </c>
      <c r="CH24" s="331">
        <f t="shared" si="127"/>
        <v>0</v>
      </c>
      <c r="CI24" s="331">
        <f t="shared" si="127"/>
        <v>0</v>
      </c>
      <c r="CJ24" s="331">
        <f t="shared" si="127"/>
        <v>0</v>
      </c>
      <c r="CK24" s="331">
        <f t="shared" si="127"/>
        <v>0</v>
      </c>
      <c r="CL24" s="331">
        <f t="shared" si="127"/>
        <v>0</v>
      </c>
      <c r="CM24" s="331">
        <f t="shared" si="127"/>
        <v>0</v>
      </c>
      <c r="CN24" s="331">
        <f t="shared" si="127"/>
        <v>0</v>
      </c>
      <c r="CO24" s="331">
        <f t="shared" si="127"/>
        <v>0</v>
      </c>
      <c r="CP24" s="331">
        <f t="shared" si="127"/>
        <v>0</v>
      </c>
      <c r="CQ24" s="331">
        <f t="shared" si="127"/>
        <v>0</v>
      </c>
      <c r="CR24" s="331">
        <f t="shared" si="127"/>
        <v>0</v>
      </c>
      <c r="CS24" s="331">
        <f t="shared" si="127"/>
        <v>0</v>
      </c>
      <c r="CT24" s="331">
        <f t="shared" si="127"/>
        <v>0</v>
      </c>
      <c r="CU24" s="331">
        <f t="shared" si="127"/>
        <v>0</v>
      </c>
      <c r="CV24" s="331">
        <f t="shared" si="127"/>
        <v>0</v>
      </c>
      <c r="CW24" s="331">
        <f t="shared" si="127"/>
        <v>0</v>
      </c>
      <c r="CX24" s="331">
        <f t="shared" si="127"/>
        <v>0</v>
      </c>
      <c r="CY24" s="331">
        <f t="shared" si="127"/>
        <v>0</v>
      </c>
      <c r="CZ24" s="331">
        <f t="shared" si="127"/>
        <v>0</v>
      </c>
      <c r="DA24" s="331">
        <f t="shared" si="127"/>
        <v>0</v>
      </c>
      <c r="DB24" s="331">
        <f t="shared" si="127"/>
        <v>0</v>
      </c>
      <c r="DC24" s="331">
        <f t="shared" si="127"/>
        <v>0</v>
      </c>
      <c r="DD24" s="331">
        <f t="shared" si="127"/>
        <v>0</v>
      </c>
      <c r="DE24" s="331">
        <f t="shared" si="127"/>
        <v>0</v>
      </c>
      <c r="DF24" s="331">
        <f t="shared" si="127"/>
        <v>0</v>
      </c>
      <c r="DG24" s="331">
        <f t="shared" si="127"/>
        <v>0</v>
      </c>
      <c r="DH24" s="331">
        <f t="shared" si="127"/>
        <v>0</v>
      </c>
      <c r="DI24" s="331">
        <f t="shared" si="127"/>
        <v>0</v>
      </c>
      <c r="DJ24" s="331">
        <f t="shared" si="127"/>
        <v>0</v>
      </c>
      <c r="DK24" s="331">
        <f t="shared" si="127"/>
        <v>0</v>
      </c>
      <c r="DL24" s="331">
        <f t="shared" si="127"/>
        <v>0</v>
      </c>
      <c r="DM24" s="331">
        <f t="shared" si="127"/>
        <v>0</v>
      </c>
      <c r="DN24" s="331">
        <f t="shared" si="127"/>
        <v>0</v>
      </c>
      <c r="DO24" s="331">
        <f t="shared" si="127"/>
        <v>0</v>
      </c>
      <c r="DP24" s="331">
        <f t="shared" si="127"/>
        <v>0</v>
      </c>
      <c r="DQ24" s="331">
        <f t="shared" si="127"/>
        <v>0</v>
      </c>
      <c r="DR24" s="331">
        <f t="shared" si="127"/>
        <v>0</v>
      </c>
      <c r="DS24" s="331">
        <f t="shared" si="127"/>
        <v>0</v>
      </c>
    </row>
    <row r="25" thickTop="1">
      <c r="A25" s="333" t="s">
        <v>1314</v>
      </c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4"/>
      <c r="AM25" s="144"/>
      <c r="AN25" s="144"/>
      <c r="AO25" s="144"/>
      <c r="AP25" s="144"/>
      <c r="AQ25" s="144"/>
      <c r="AR25" s="144"/>
      <c r="AS25" s="144"/>
      <c r="AT25" s="144"/>
      <c r="AU25" s="144"/>
      <c r="AV25" s="144"/>
      <c r="AW25" s="144"/>
      <c r="AX25" s="144"/>
      <c r="AY25" s="144"/>
      <c r="AZ25" s="144"/>
      <c r="BA25" s="144"/>
      <c r="BB25" s="144"/>
      <c r="BC25" s="144"/>
      <c r="BD25" s="144"/>
      <c r="BE25" s="144"/>
      <c r="BF25" s="144"/>
      <c r="BG25" s="144"/>
      <c r="BH25" s="144"/>
      <c r="BI25" s="144"/>
      <c r="BJ25" s="144"/>
      <c r="BK25" s="144"/>
      <c r="BL25" s="144"/>
      <c r="BM25" s="144"/>
      <c r="BN25" s="144"/>
      <c r="BO25" s="144"/>
      <c r="BP25" s="144"/>
      <c r="BQ25" s="144"/>
      <c r="BR25" s="144"/>
      <c r="BS25" s="144"/>
      <c r="BT25" s="144"/>
      <c r="BU25" s="144"/>
      <c r="BV25" s="144"/>
      <c r="BW25" s="144"/>
      <c r="BX25" s="144"/>
      <c r="BY25" s="144"/>
      <c r="BZ25" s="144"/>
      <c r="CA25" s="144"/>
      <c r="CB25" s="144"/>
      <c r="CC25" s="144"/>
      <c r="CD25" s="144"/>
      <c r="CE25" s="144"/>
      <c r="CF25" s="144"/>
      <c r="CG25" s="144"/>
      <c r="CH25" s="144"/>
      <c r="CI25" s="144"/>
      <c r="CJ25" s="144"/>
      <c r="CK25" s="144"/>
      <c r="CL25" s="144"/>
      <c r="CM25" s="144"/>
      <c r="CN25" s="144"/>
      <c r="CO25" s="144"/>
      <c r="CP25" s="144"/>
      <c r="CQ25" s="144"/>
      <c r="CR25" s="144"/>
      <c r="CS25" s="144"/>
      <c r="CT25" s="144"/>
      <c r="CU25" s="144"/>
      <c r="CV25" s="144"/>
      <c r="CW25" s="144"/>
      <c r="CX25" s="144"/>
      <c r="CY25" s="144"/>
      <c r="CZ25" s="144"/>
      <c r="DA25" s="144"/>
      <c r="DB25" s="144"/>
      <c r="DC25" s="144"/>
      <c r="DD25" s="144"/>
      <c r="DE25" s="144"/>
      <c r="DF25" s="144"/>
      <c r="DG25" s="144"/>
      <c r="DH25" s="144"/>
      <c r="DI25" s="144"/>
      <c r="DJ25" s="144"/>
      <c r="DK25" s="144"/>
      <c r="DL25" s="144"/>
      <c r="DM25" s="144"/>
      <c r="DN25" s="144"/>
      <c r="DO25" s="144"/>
      <c r="DP25" s="144"/>
      <c r="DQ25" s="144"/>
      <c r="DR25" s="144"/>
      <c r="DS25" s="144"/>
    </row>
    <row r="26" thickBot="1">
      <c r="A26" s="333" t="s">
        <v>1315</v>
      </c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4"/>
      <c r="AM26" s="144"/>
      <c r="AN26" s="144"/>
      <c r="AO26" s="144"/>
      <c r="AP26" s="144"/>
      <c r="AQ26" s="144"/>
      <c r="AR26" s="144"/>
      <c r="AS26" s="144"/>
      <c r="AT26" s="144"/>
      <c r="AU26" s="144"/>
      <c r="AV26" s="144"/>
      <c r="AW26" s="144"/>
      <c r="AX26" s="144"/>
      <c r="AY26" s="144"/>
      <c r="AZ26" s="144"/>
      <c r="BA26" s="144"/>
      <c r="BB26" s="144"/>
      <c r="BC26" s="144"/>
      <c r="BD26" s="144"/>
      <c r="BE26" s="144"/>
      <c r="BF26" s="144"/>
      <c r="BG26" s="144"/>
      <c r="BH26" s="144"/>
      <c r="BI26" s="144"/>
      <c r="BJ26" s="144"/>
      <c r="BK26" s="144"/>
      <c r="BL26" s="144"/>
      <c r="BM26" s="144"/>
      <c r="BN26" s="144"/>
      <c r="BO26" s="144"/>
      <c r="BP26" s="144"/>
      <c r="BQ26" s="144"/>
      <c r="BR26" s="144"/>
      <c r="BS26" s="144"/>
      <c r="BT26" s="144"/>
      <c r="BU26" s="144"/>
      <c r="BV26" s="144"/>
      <c r="BW26" s="144"/>
      <c r="BX26" s="144"/>
      <c r="BY26" s="144"/>
      <c r="BZ26" s="144"/>
      <c r="CA26" s="144"/>
      <c r="CB26" s="144"/>
      <c r="CC26" s="144"/>
      <c r="CD26" s="144"/>
      <c r="CE26" s="144"/>
      <c r="CF26" s="144"/>
      <c r="CG26" s="144"/>
      <c r="CH26" s="144"/>
      <c r="CI26" s="144"/>
      <c r="CJ26" s="144"/>
      <c r="CK26" s="144"/>
      <c r="CL26" s="144"/>
      <c r="CM26" s="144"/>
      <c r="CN26" s="144"/>
      <c r="CO26" s="144"/>
      <c r="CP26" s="144"/>
      <c r="CQ26" s="144"/>
      <c r="CR26" s="144"/>
      <c r="CS26" s="144"/>
      <c r="CT26" s="144"/>
      <c r="CU26" s="144"/>
      <c r="CV26" s="144"/>
      <c r="CW26" s="144"/>
      <c r="CX26" s="144"/>
      <c r="CY26" s="144"/>
      <c r="CZ26" s="144"/>
      <c r="DA26" s="144"/>
      <c r="DB26" s="144"/>
      <c r="DC26" s="144"/>
      <c r="DD26" s="144"/>
      <c r="DE26" s="144"/>
      <c r="DF26" s="144"/>
      <c r="DG26" s="144"/>
      <c r="DH26" s="144"/>
      <c r="DI26" s="144"/>
      <c r="DJ26" s="144"/>
      <c r="DK26" s="144"/>
      <c r="DL26" s="144"/>
      <c r="DM26" s="144"/>
      <c r="DN26" s="144"/>
      <c r="DO26" s="144"/>
      <c r="DP26" s="144"/>
      <c r="DQ26" s="144"/>
      <c r="DR26" s="144"/>
      <c r="DS26" s="144"/>
    </row>
    <row r="27" thickTop="1" thickBot="1" ht="15.5">
      <c r="A27" s="330" t="s">
        <v>1316</v>
      </c>
      <c r="B27" s="330"/>
      <c r="C27" s="331">
        <f>+SUM(C28:C29)</f>
        <v>0</v>
      </c>
      <c r="D27" s="331">
        <f>+SUM(D28:D29)</f>
        <v>0</v>
      </c>
      <c r="E27" s="331">
        <f>+SUM(E28:E29)</f>
        <v>0</v>
      </c>
      <c r="F27" s="331">
        <f t="shared" ref="F27:BQ27" si="128">+SUM(F28:F29)</f>
        <v>0</v>
      </c>
      <c r="G27" s="331">
        <f t="shared" si="128"/>
        <v>0</v>
      </c>
      <c r="H27" s="331">
        <f t="shared" si="128"/>
        <v>0</v>
      </c>
      <c r="I27" s="331">
        <f t="shared" si="128"/>
        <v>0</v>
      </c>
      <c r="J27" s="331">
        <f t="shared" si="128"/>
        <v>0</v>
      </c>
      <c r="K27" s="331">
        <f t="shared" si="128"/>
        <v>0</v>
      </c>
      <c r="L27" s="331">
        <f t="shared" si="128"/>
        <v>0</v>
      </c>
      <c r="M27" s="331">
        <f t="shared" si="128"/>
        <v>0</v>
      </c>
      <c r="N27" s="331">
        <f t="shared" si="128"/>
        <v>0</v>
      </c>
      <c r="O27" s="331">
        <f t="shared" si="128"/>
        <v>0</v>
      </c>
      <c r="P27" s="331">
        <f t="shared" si="128"/>
        <v>0</v>
      </c>
      <c r="Q27" s="331">
        <f t="shared" si="128"/>
        <v>0</v>
      </c>
      <c r="R27" s="331">
        <f t="shared" si="128"/>
        <v>0</v>
      </c>
      <c r="S27" s="331">
        <f t="shared" si="128"/>
        <v>0</v>
      </c>
      <c r="T27" s="331">
        <f t="shared" si="128"/>
        <v>0</v>
      </c>
      <c r="U27" s="331">
        <f t="shared" si="128"/>
        <v>0</v>
      </c>
      <c r="V27" s="331">
        <f t="shared" si="128"/>
        <v>0</v>
      </c>
      <c r="W27" s="331">
        <f t="shared" si="128"/>
        <v>0</v>
      </c>
      <c r="X27" s="331">
        <f t="shared" si="128"/>
        <v>0</v>
      </c>
      <c r="Y27" s="331">
        <f t="shared" si="128"/>
        <v>0</v>
      </c>
      <c r="Z27" s="331">
        <f t="shared" si="128"/>
        <v>0</v>
      </c>
      <c r="AA27" s="331">
        <f t="shared" si="128"/>
        <v>0</v>
      </c>
      <c r="AB27" s="331">
        <f t="shared" si="128"/>
        <v>0</v>
      </c>
      <c r="AC27" s="331">
        <f t="shared" si="128"/>
        <v>0</v>
      </c>
      <c r="AD27" s="331">
        <f t="shared" si="128"/>
        <v>0</v>
      </c>
      <c r="AE27" s="331">
        <f t="shared" si="128"/>
        <v>0</v>
      </c>
      <c r="AF27" s="331">
        <f t="shared" si="128"/>
        <v>0</v>
      </c>
      <c r="AG27" s="331">
        <f t="shared" si="128"/>
        <v>0</v>
      </c>
      <c r="AH27" s="331">
        <f t="shared" si="128"/>
        <v>0</v>
      </c>
      <c r="AI27" s="331">
        <f t="shared" si="128"/>
        <v>0</v>
      </c>
      <c r="AJ27" s="331">
        <f t="shared" si="128"/>
        <v>0</v>
      </c>
      <c r="AK27" s="331">
        <f t="shared" si="128"/>
        <v>0</v>
      </c>
      <c r="AL27" s="331">
        <f t="shared" si="128"/>
        <v>0</v>
      </c>
      <c r="AM27" s="331">
        <f t="shared" si="128"/>
        <v>0</v>
      </c>
      <c r="AN27" s="331">
        <f t="shared" si="128"/>
        <v>0</v>
      </c>
      <c r="AO27" s="331">
        <f t="shared" si="128"/>
        <v>0</v>
      </c>
      <c r="AP27" s="331">
        <f t="shared" si="128"/>
        <v>0</v>
      </c>
      <c r="AQ27" s="331">
        <f t="shared" si="128"/>
        <v>0</v>
      </c>
      <c r="AR27" s="331">
        <f t="shared" si="128"/>
        <v>0</v>
      </c>
      <c r="AS27" s="331">
        <f t="shared" si="128"/>
        <v>0</v>
      </c>
      <c r="AT27" s="331">
        <f t="shared" si="128"/>
        <v>0</v>
      </c>
      <c r="AU27" s="331">
        <f t="shared" si="128"/>
        <v>0</v>
      </c>
      <c r="AV27" s="331">
        <f t="shared" si="128"/>
        <v>0</v>
      </c>
      <c r="AW27" s="331">
        <f t="shared" si="128"/>
        <v>0</v>
      </c>
      <c r="AX27" s="331">
        <f t="shared" si="128"/>
        <v>0</v>
      </c>
      <c r="AY27" s="331">
        <f t="shared" si="128"/>
        <v>0</v>
      </c>
      <c r="AZ27" s="331">
        <f t="shared" si="128"/>
        <v>0</v>
      </c>
      <c r="BA27" s="331">
        <f t="shared" si="128"/>
        <v>0</v>
      </c>
      <c r="BB27" s="331">
        <f t="shared" si="128"/>
        <v>0</v>
      </c>
      <c r="BC27" s="331">
        <f t="shared" si="128"/>
        <v>0</v>
      </c>
      <c r="BD27" s="331">
        <f t="shared" si="128"/>
        <v>0</v>
      </c>
      <c r="BE27" s="331">
        <f t="shared" si="128"/>
        <v>0</v>
      </c>
      <c r="BF27" s="331">
        <f t="shared" si="128"/>
        <v>0</v>
      </c>
      <c r="BG27" s="331">
        <f t="shared" si="128"/>
        <v>0</v>
      </c>
      <c r="BH27" s="331">
        <f t="shared" si="128"/>
        <v>0</v>
      </c>
      <c r="BI27" s="331">
        <f t="shared" si="128"/>
        <v>0</v>
      </c>
      <c r="BJ27" s="331">
        <f t="shared" si="128"/>
        <v>0</v>
      </c>
      <c r="BK27" s="331">
        <f t="shared" si="128"/>
        <v>0</v>
      </c>
      <c r="BL27" s="331">
        <f t="shared" si="128"/>
        <v>0</v>
      </c>
      <c r="BM27" s="331">
        <f t="shared" si="128"/>
        <v>0</v>
      </c>
      <c r="BN27" s="331">
        <f t="shared" si="128"/>
        <v>0</v>
      </c>
      <c r="BO27" s="331">
        <f t="shared" si="128"/>
        <v>0</v>
      </c>
      <c r="BP27" s="331">
        <f t="shared" si="128"/>
        <v>0</v>
      </c>
      <c r="BQ27" s="331">
        <f t="shared" si="128"/>
        <v>0</v>
      </c>
      <c r="BR27" s="331">
        <f t="shared" ref="BR27:DS27" si="129">+SUM(BR28:BR29)</f>
        <v>0</v>
      </c>
      <c r="BS27" s="331">
        <f t="shared" si="129"/>
        <v>0</v>
      </c>
      <c r="BT27" s="331">
        <f t="shared" si="129"/>
        <v>0</v>
      </c>
      <c r="BU27" s="331">
        <f t="shared" si="129"/>
        <v>0</v>
      </c>
      <c r="BV27" s="331">
        <f t="shared" si="129"/>
        <v>0</v>
      </c>
      <c r="BW27" s="331">
        <f t="shared" si="129"/>
        <v>0</v>
      </c>
      <c r="BX27" s="331">
        <f t="shared" si="129"/>
        <v>0</v>
      </c>
      <c r="BY27" s="331">
        <f t="shared" si="129"/>
        <v>0</v>
      </c>
      <c r="BZ27" s="331">
        <f t="shared" si="129"/>
        <v>0</v>
      </c>
      <c r="CA27" s="331">
        <f t="shared" si="129"/>
        <v>0</v>
      </c>
      <c r="CB27" s="331">
        <f t="shared" si="129"/>
        <v>0</v>
      </c>
      <c r="CC27" s="331">
        <f t="shared" si="129"/>
        <v>0</v>
      </c>
      <c r="CD27" s="331">
        <f t="shared" si="129"/>
        <v>0</v>
      </c>
      <c r="CE27" s="331">
        <f t="shared" si="129"/>
        <v>0</v>
      </c>
      <c r="CF27" s="331">
        <f t="shared" si="129"/>
        <v>0</v>
      </c>
      <c r="CG27" s="331">
        <f t="shared" si="129"/>
        <v>0</v>
      </c>
      <c r="CH27" s="331">
        <f t="shared" si="129"/>
        <v>0</v>
      </c>
      <c r="CI27" s="331">
        <f t="shared" si="129"/>
        <v>0</v>
      </c>
      <c r="CJ27" s="331">
        <f t="shared" si="129"/>
        <v>0</v>
      </c>
      <c r="CK27" s="331">
        <f t="shared" si="129"/>
        <v>0</v>
      </c>
      <c r="CL27" s="331">
        <f t="shared" si="129"/>
        <v>0</v>
      </c>
      <c r="CM27" s="331">
        <f t="shared" si="129"/>
        <v>0</v>
      </c>
      <c r="CN27" s="331">
        <f t="shared" si="129"/>
        <v>0</v>
      </c>
      <c r="CO27" s="331">
        <f t="shared" si="129"/>
        <v>0</v>
      </c>
      <c r="CP27" s="331">
        <f t="shared" si="129"/>
        <v>0</v>
      </c>
      <c r="CQ27" s="331">
        <f t="shared" si="129"/>
        <v>0</v>
      </c>
      <c r="CR27" s="331">
        <f t="shared" si="129"/>
        <v>0</v>
      </c>
      <c r="CS27" s="331">
        <f t="shared" si="129"/>
        <v>0</v>
      </c>
      <c r="CT27" s="331">
        <f t="shared" si="129"/>
        <v>0</v>
      </c>
      <c r="CU27" s="331">
        <f t="shared" si="129"/>
        <v>0</v>
      </c>
      <c r="CV27" s="331">
        <f t="shared" si="129"/>
        <v>0</v>
      </c>
      <c r="CW27" s="331">
        <f t="shared" si="129"/>
        <v>0</v>
      </c>
      <c r="CX27" s="331">
        <f t="shared" si="129"/>
        <v>0</v>
      </c>
      <c r="CY27" s="331">
        <f t="shared" si="129"/>
        <v>0</v>
      </c>
      <c r="CZ27" s="331">
        <f t="shared" si="129"/>
        <v>0</v>
      </c>
      <c r="DA27" s="331">
        <f t="shared" si="129"/>
        <v>0</v>
      </c>
      <c r="DB27" s="331">
        <f t="shared" si="129"/>
        <v>0</v>
      </c>
      <c r="DC27" s="331">
        <f t="shared" si="129"/>
        <v>0</v>
      </c>
      <c r="DD27" s="331">
        <f t="shared" si="129"/>
        <v>0</v>
      </c>
      <c r="DE27" s="331">
        <f t="shared" si="129"/>
        <v>0</v>
      </c>
      <c r="DF27" s="331">
        <f t="shared" si="129"/>
        <v>0</v>
      </c>
      <c r="DG27" s="331">
        <f t="shared" si="129"/>
        <v>0</v>
      </c>
      <c r="DH27" s="331">
        <f t="shared" si="129"/>
        <v>0</v>
      </c>
      <c r="DI27" s="331">
        <f t="shared" si="129"/>
        <v>0</v>
      </c>
      <c r="DJ27" s="331">
        <f t="shared" si="129"/>
        <v>0</v>
      </c>
      <c r="DK27" s="331">
        <f t="shared" si="129"/>
        <v>0</v>
      </c>
      <c r="DL27" s="331">
        <f t="shared" si="129"/>
        <v>0</v>
      </c>
      <c r="DM27" s="331">
        <f t="shared" si="129"/>
        <v>0</v>
      </c>
      <c r="DN27" s="331">
        <f t="shared" si="129"/>
        <v>0</v>
      </c>
      <c r="DO27" s="331">
        <f t="shared" si="129"/>
        <v>0</v>
      </c>
      <c r="DP27" s="331">
        <f t="shared" si="129"/>
        <v>0</v>
      </c>
      <c r="DQ27" s="331">
        <f t="shared" si="129"/>
        <v>0</v>
      </c>
      <c r="DR27" s="331">
        <f t="shared" si="129"/>
        <v>0</v>
      </c>
      <c r="DS27" s="331">
        <f t="shared" si="129"/>
        <v>0</v>
      </c>
    </row>
    <row r="28" thickTop="1">
      <c r="A28" s="333" t="s">
        <v>1317</v>
      </c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4"/>
      <c r="AM28" s="144"/>
      <c r="AN28" s="144"/>
      <c r="AO28" s="144"/>
      <c r="AP28" s="144"/>
      <c r="AQ28" s="144"/>
      <c r="AR28" s="144"/>
      <c r="AS28" s="144"/>
      <c r="AT28" s="144"/>
      <c r="AU28" s="144"/>
      <c r="AV28" s="144"/>
      <c r="AW28" s="144"/>
      <c r="AX28" s="144"/>
      <c r="AY28" s="144"/>
      <c r="AZ28" s="144"/>
      <c r="BA28" s="144"/>
      <c r="BB28" s="144"/>
      <c r="BC28" s="144"/>
      <c r="BD28" s="144"/>
      <c r="BE28" s="144"/>
      <c r="BF28" s="144"/>
      <c r="BG28" s="144"/>
      <c r="BH28" s="144"/>
      <c r="BI28" s="144"/>
      <c r="BJ28" s="144"/>
      <c r="BK28" s="144"/>
      <c r="BL28" s="144"/>
      <c r="BM28" s="144"/>
      <c r="BN28" s="144"/>
      <c r="BO28" s="144"/>
      <c r="BP28" s="144"/>
      <c r="BQ28" s="144"/>
      <c r="BR28" s="144"/>
      <c r="BS28" s="144"/>
      <c r="BT28" s="144"/>
      <c r="BU28" s="144"/>
      <c r="BV28" s="144"/>
      <c r="BW28" s="144"/>
      <c r="BX28" s="144"/>
      <c r="BY28" s="144"/>
      <c r="BZ28" s="144"/>
      <c r="CA28" s="144"/>
      <c r="CB28" s="144"/>
      <c r="CC28" s="144"/>
      <c r="CD28" s="144"/>
      <c r="CE28" s="144"/>
      <c r="CF28" s="144"/>
      <c r="CG28" s="144"/>
      <c r="CH28" s="144"/>
      <c r="CI28" s="144"/>
      <c r="CJ28" s="144"/>
      <c r="CK28" s="144"/>
      <c r="CL28" s="144"/>
      <c r="CM28" s="144"/>
      <c r="CN28" s="144"/>
      <c r="CO28" s="144"/>
      <c r="CP28" s="144"/>
      <c r="CQ28" s="144"/>
      <c r="CR28" s="144"/>
      <c r="CS28" s="144"/>
      <c r="CT28" s="144"/>
      <c r="CU28" s="144"/>
      <c r="CV28" s="144"/>
      <c r="CW28" s="144"/>
      <c r="CX28" s="144"/>
      <c r="CY28" s="144"/>
      <c r="CZ28" s="144"/>
      <c r="DA28" s="144"/>
      <c r="DB28" s="144"/>
      <c r="DC28" s="144"/>
      <c r="DD28" s="144"/>
      <c r="DE28" s="144"/>
      <c r="DF28" s="144"/>
      <c r="DG28" s="144"/>
      <c r="DH28" s="144"/>
      <c r="DI28" s="144"/>
      <c r="DJ28" s="144"/>
      <c r="DK28" s="144"/>
      <c r="DL28" s="144"/>
      <c r="DM28" s="144"/>
      <c r="DN28" s="144"/>
      <c r="DO28" s="144"/>
      <c r="DP28" s="144"/>
      <c r="DQ28" s="144"/>
      <c r="DR28" s="144"/>
      <c r="DS28" s="144"/>
    </row>
    <row r="29" ht="14.5">
      <c r="A29" s="333" t="s">
        <v>1318</v>
      </c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4"/>
      <c r="AM29" s="144"/>
      <c r="AN29" s="144"/>
      <c r="AO29" s="144"/>
      <c r="AP29" s="144"/>
      <c r="AQ29" s="144"/>
      <c r="AR29" s="144"/>
      <c r="AS29" s="144"/>
      <c r="AT29" s="144"/>
      <c r="AU29" s="144"/>
      <c r="AV29" s="144"/>
      <c r="AW29" s="144"/>
      <c r="AX29" s="144"/>
      <c r="AY29" s="144"/>
      <c r="AZ29" s="144"/>
      <c r="BA29" s="144"/>
      <c r="BB29" s="144"/>
      <c r="BC29" s="144"/>
      <c r="BD29" s="144"/>
      <c r="BE29" s="144"/>
      <c r="BF29" s="144"/>
      <c r="BG29" s="144"/>
      <c r="BH29" s="144"/>
      <c r="BI29" s="144"/>
      <c r="BJ29" s="144"/>
      <c r="BK29" s="144"/>
      <c r="BL29" s="144"/>
      <c r="BM29" s="144"/>
      <c r="BN29" s="144"/>
      <c r="BO29" s="144"/>
      <c r="BP29" s="144"/>
      <c r="BQ29" s="144"/>
      <c r="BR29" s="144"/>
      <c r="BS29" s="144"/>
      <c r="BT29" s="144"/>
      <c r="BU29" s="144"/>
      <c r="BV29" s="144"/>
      <c r="BW29" s="144"/>
      <c r="BX29" s="144"/>
      <c r="BY29" s="144"/>
      <c r="BZ29" s="144"/>
      <c r="CA29" s="144"/>
      <c r="CB29" s="144"/>
      <c r="CC29" s="144"/>
      <c r="CD29" s="144"/>
      <c r="CE29" s="144"/>
      <c r="CF29" s="144"/>
      <c r="CG29" s="144"/>
      <c r="CH29" s="144"/>
      <c r="CI29" s="144"/>
      <c r="CJ29" s="144"/>
      <c r="CK29" s="144"/>
      <c r="CL29" s="144"/>
      <c r="CM29" s="144"/>
      <c r="CN29" s="144"/>
      <c r="CO29" s="144"/>
      <c r="CP29" s="144"/>
      <c r="CQ29" s="144"/>
      <c r="CR29" s="144"/>
      <c r="CS29" s="144"/>
      <c r="CT29" s="144"/>
      <c r="CU29" s="144"/>
      <c r="CV29" s="144"/>
      <c r="CW29" s="144"/>
      <c r="CX29" s="144"/>
      <c r="CY29" s="144"/>
      <c r="CZ29" s="144"/>
      <c r="DA29" s="144"/>
      <c r="DB29" s="144"/>
      <c r="DC29" s="144"/>
      <c r="DD29" s="144"/>
      <c r="DE29" s="144"/>
      <c r="DF29" s="144"/>
      <c r="DG29" s="144"/>
      <c r="DH29" s="144"/>
      <c r="DI29" s="144"/>
      <c r="DJ29" s="144"/>
      <c r="DK29" s="144"/>
      <c r="DL29" s="144"/>
      <c r="DM29" s="144"/>
      <c r="DN29" s="144"/>
      <c r="DO29" s="144"/>
      <c r="DP29" s="144"/>
      <c r="DQ29" s="144"/>
      <c r="DR29" s="144"/>
      <c r="DS29" s="144"/>
    </row>
    <row r="30" thickBot="1">
      <c r="A30" s="334"/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4"/>
      <c r="AM30" s="144"/>
      <c r="AN30" s="144"/>
      <c r="AO30" s="144"/>
      <c r="AP30" s="144"/>
      <c r="AQ30" s="144"/>
      <c r="AR30" s="144"/>
      <c r="AS30" s="144"/>
      <c r="AT30" s="144"/>
      <c r="AU30" s="144"/>
      <c r="AV30" s="144"/>
      <c r="AW30" s="144"/>
      <c r="AX30" s="144"/>
      <c r="AY30" s="144"/>
      <c r="AZ30" s="144"/>
      <c r="BA30" s="144"/>
      <c r="BB30" s="144"/>
      <c r="BC30" s="144"/>
      <c r="BD30" s="144"/>
      <c r="BE30" s="144"/>
      <c r="BF30" s="144"/>
      <c r="BG30" s="144"/>
      <c r="BH30" s="144"/>
      <c r="BI30" s="144"/>
      <c r="BJ30" s="144"/>
      <c r="BK30" s="144"/>
      <c r="BL30" s="144"/>
      <c r="BM30" s="144"/>
      <c r="BN30" s="144"/>
      <c r="BO30" s="144"/>
      <c r="BP30" s="144"/>
      <c r="BQ30" s="144"/>
      <c r="BR30" s="144"/>
      <c r="BS30" s="144"/>
      <c r="BT30" s="144"/>
      <c r="BU30" s="144"/>
      <c r="BV30" s="144"/>
      <c r="BW30" s="144"/>
      <c r="BX30" s="144"/>
      <c r="BY30" s="144"/>
      <c r="BZ30" s="144"/>
      <c r="CA30" s="144"/>
      <c r="CB30" s="144"/>
      <c r="CC30" s="144"/>
      <c r="CD30" s="144"/>
      <c r="CE30" s="144"/>
      <c r="CF30" s="144"/>
      <c r="CG30" s="144"/>
      <c r="CH30" s="144"/>
      <c r="CI30" s="144"/>
      <c r="CJ30" s="144"/>
      <c r="CK30" s="144"/>
      <c r="CL30" s="144"/>
      <c r="CM30" s="144"/>
      <c r="CN30" s="144"/>
      <c r="CO30" s="144"/>
      <c r="CP30" s="144"/>
      <c r="CQ30" s="144"/>
      <c r="CR30" s="144"/>
      <c r="CS30" s="144"/>
      <c r="CT30" s="144"/>
      <c r="CU30" s="144"/>
      <c r="CV30" s="144"/>
      <c r="CW30" s="144"/>
      <c r="CX30" s="144"/>
      <c r="CY30" s="144"/>
      <c r="CZ30" s="144"/>
      <c r="DA30" s="144"/>
      <c r="DB30" s="144"/>
      <c r="DC30" s="144"/>
      <c r="DD30" s="144"/>
      <c r="DE30" s="144"/>
      <c r="DF30" s="144"/>
      <c r="DG30" s="144"/>
      <c r="DH30" s="144"/>
      <c r="DI30" s="144"/>
      <c r="DJ30" s="144"/>
      <c r="DK30" s="144"/>
      <c r="DL30" s="144"/>
      <c r="DM30" s="144"/>
      <c r="DN30" s="144"/>
      <c r="DO30" s="144"/>
      <c r="DP30" s="144"/>
      <c r="DQ30" s="144"/>
      <c r="DR30" s="144"/>
      <c r="DS30" s="144"/>
    </row>
    <row r="31" thickTop="1" thickBot="1" ht="18.75" customHeight="1">
      <c r="A31" s="293" t="s">
        <v>1319</v>
      </c>
      <c r="B31" s="294"/>
      <c r="C31" s="295">
        <f>+C20-C23+C24-C27+C18</f>
        <v>0</v>
      </c>
      <c r="D31" s="295">
        <f>+D20-D23+D24-D27+D18</f>
        <v>0</v>
      </c>
      <c r="E31" s="295">
        <f t="shared" ref="E31:BP31" si="130">+E20-E23+E24-E27+E18</f>
        <v>0</v>
      </c>
      <c r="F31" s="295">
        <f t="shared" si="130"/>
        <v>0</v>
      </c>
      <c r="G31" s="295">
        <f t="shared" si="130"/>
        <v>0</v>
      </c>
      <c r="H31" s="295">
        <f t="shared" si="130"/>
        <v>0</v>
      </c>
      <c r="I31" s="295">
        <f t="shared" si="130"/>
        <v>0</v>
      </c>
      <c r="J31" s="295">
        <f t="shared" si="130"/>
        <v>0</v>
      </c>
      <c r="K31" s="295">
        <f t="shared" si="130"/>
        <v>0</v>
      </c>
      <c r="L31" s="295">
        <f t="shared" si="130"/>
        <v>0</v>
      </c>
      <c r="M31" s="295">
        <f t="shared" si="130"/>
        <v>0</v>
      </c>
      <c r="N31" s="295">
        <f t="shared" si="130"/>
        <v>0</v>
      </c>
      <c r="O31" s="295">
        <f t="shared" si="130"/>
        <v>0</v>
      </c>
      <c r="P31" s="295">
        <f t="shared" si="130"/>
        <v>0</v>
      </c>
      <c r="Q31" s="295">
        <f t="shared" si="130"/>
        <v>0</v>
      </c>
      <c r="R31" s="295">
        <f t="shared" si="130"/>
        <v>0</v>
      </c>
      <c r="S31" s="295">
        <f t="shared" si="130"/>
        <v>0</v>
      </c>
      <c r="T31" s="295">
        <f t="shared" si="130"/>
        <v>0</v>
      </c>
      <c r="U31" s="295">
        <f t="shared" si="130"/>
        <v>0</v>
      </c>
      <c r="V31" s="295">
        <f t="shared" si="130"/>
        <v>0</v>
      </c>
      <c r="W31" s="295">
        <f t="shared" si="130"/>
        <v>0</v>
      </c>
      <c r="X31" s="295">
        <f t="shared" si="130"/>
        <v>0</v>
      </c>
      <c r="Y31" s="295">
        <f t="shared" si="130"/>
        <v>0</v>
      </c>
      <c r="Z31" s="295">
        <f t="shared" si="130"/>
        <v>0</v>
      </c>
      <c r="AA31" s="295">
        <f t="shared" si="130"/>
        <v>0</v>
      </c>
      <c r="AB31" s="295">
        <f t="shared" si="130"/>
        <v>0</v>
      </c>
      <c r="AC31" s="295">
        <f t="shared" si="130"/>
        <v>0</v>
      </c>
      <c r="AD31" s="295">
        <f t="shared" si="130"/>
        <v>0</v>
      </c>
      <c r="AE31" s="295">
        <f t="shared" si="130"/>
        <v>0</v>
      </c>
      <c r="AF31" s="295">
        <f t="shared" si="130"/>
        <v>0</v>
      </c>
      <c r="AG31" s="295">
        <f t="shared" si="130"/>
        <v>0</v>
      </c>
      <c r="AH31" s="295">
        <f t="shared" si="130"/>
        <v>0</v>
      </c>
      <c r="AI31" s="295">
        <f t="shared" si="130"/>
        <v>0</v>
      </c>
      <c r="AJ31" s="295">
        <f t="shared" si="130"/>
        <v>0</v>
      </c>
      <c r="AK31" s="295">
        <f t="shared" si="130"/>
        <v>0</v>
      </c>
      <c r="AL31" s="295">
        <f t="shared" si="130"/>
        <v>0</v>
      </c>
      <c r="AM31" s="295">
        <f t="shared" si="130"/>
        <v>0</v>
      </c>
      <c r="AN31" s="295">
        <f t="shared" si="130"/>
        <v>0</v>
      </c>
      <c r="AO31" s="295">
        <f t="shared" si="130"/>
        <v>0</v>
      </c>
      <c r="AP31" s="295">
        <f t="shared" si="130"/>
        <v>0</v>
      </c>
      <c r="AQ31" s="295">
        <f t="shared" si="130"/>
        <v>0</v>
      </c>
      <c r="AR31" s="295">
        <f t="shared" si="130"/>
        <v>0</v>
      </c>
      <c r="AS31" s="295">
        <f t="shared" si="130"/>
        <v>0</v>
      </c>
      <c r="AT31" s="295">
        <f t="shared" si="130"/>
        <v>0</v>
      </c>
      <c r="AU31" s="295">
        <f t="shared" si="130"/>
        <v>0</v>
      </c>
      <c r="AV31" s="295">
        <f t="shared" si="130"/>
        <v>0</v>
      </c>
      <c r="AW31" s="295">
        <f t="shared" si="130"/>
        <v>0</v>
      </c>
      <c r="AX31" s="295">
        <f t="shared" si="130"/>
        <v>0</v>
      </c>
      <c r="AY31" s="295">
        <f t="shared" si="130"/>
        <v>0</v>
      </c>
      <c r="AZ31" s="295">
        <f t="shared" si="130"/>
        <v>0</v>
      </c>
      <c r="BA31" s="295">
        <f t="shared" si="130"/>
        <v>0</v>
      </c>
      <c r="BB31" s="295">
        <f t="shared" si="130"/>
        <v>0</v>
      </c>
      <c r="BC31" s="295">
        <f t="shared" si="130"/>
        <v>0</v>
      </c>
      <c r="BD31" s="295">
        <f t="shared" si="130"/>
        <v>0</v>
      </c>
      <c r="BE31" s="295">
        <f t="shared" si="130"/>
        <v>0</v>
      </c>
      <c r="BF31" s="295">
        <f t="shared" si="130"/>
        <v>0</v>
      </c>
      <c r="BG31" s="295">
        <f t="shared" si="130"/>
        <v>0</v>
      </c>
      <c r="BH31" s="295">
        <f t="shared" si="130"/>
        <v>0</v>
      </c>
      <c r="BI31" s="295">
        <f t="shared" si="130"/>
        <v>0</v>
      </c>
      <c r="BJ31" s="295">
        <f t="shared" si="130"/>
        <v>0</v>
      </c>
      <c r="BK31" s="295">
        <f t="shared" si="130"/>
        <v>0</v>
      </c>
      <c r="BL31" s="295">
        <f t="shared" si="130"/>
        <v>0</v>
      </c>
      <c r="BM31" s="295">
        <f t="shared" si="130"/>
        <v>0</v>
      </c>
      <c r="BN31" s="295">
        <f t="shared" si="130"/>
        <v>0</v>
      </c>
      <c r="BO31" s="295">
        <f t="shared" si="130"/>
        <v>0</v>
      </c>
      <c r="BP31" s="295">
        <f t="shared" si="130"/>
        <v>0</v>
      </c>
      <c r="BQ31" s="295">
        <f t="shared" ref="BQ31:DS31" si="131">+BQ20-BQ23+BQ24-BQ27+BQ18</f>
        <v>0</v>
      </c>
      <c r="BR31" s="295">
        <f t="shared" si="131"/>
        <v>0</v>
      </c>
      <c r="BS31" s="295">
        <f t="shared" si="131"/>
        <v>0</v>
      </c>
      <c r="BT31" s="295">
        <f t="shared" si="131"/>
        <v>0</v>
      </c>
      <c r="BU31" s="295">
        <f t="shared" si="131"/>
        <v>0</v>
      </c>
      <c r="BV31" s="295">
        <f t="shared" si="131"/>
        <v>0</v>
      </c>
      <c r="BW31" s="295">
        <f t="shared" si="131"/>
        <v>0</v>
      </c>
      <c r="BX31" s="295">
        <f t="shared" si="131"/>
        <v>0</v>
      </c>
      <c r="BY31" s="295">
        <f t="shared" si="131"/>
        <v>0</v>
      </c>
      <c r="BZ31" s="295">
        <f t="shared" si="131"/>
        <v>0</v>
      </c>
      <c r="CA31" s="295">
        <f t="shared" si="131"/>
        <v>0</v>
      </c>
      <c r="CB31" s="295">
        <f t="shared" si="131"/>
        <v>0</v>
      </c>
      <c r="CC31" s="295">
        <f t="shared" si="131"/>
        <v>0</v>
      </c>
      <c r="CD31" s="295">
        <f t="shared" si="131"/>
        <v>0</v>
      </c>
      <c r="CE31" s="295">
        <f t="shared" si="131"/>
        <v>0</v>
      </c>
      <c r="CF31" s="295">
        <f t="shared" si="131"/>
        <v>0</v>
      </c>
      <c r="CG31" s="295">
        <f t="shared" si="131"/>
        <v>0</v>
      </c>
      <c r="CH31" s="295">
        <f t="shared" si="131"/>
        <v>0</v>
      </c>
      <c r="CI31" s="295">
        <f t="shared" si="131"/>
        <v>0</v>
      </c>
      <c r="CJ31" s="295">
        <f t="shared" si="131"/>
        <v>0</v>
      </c>
      <c r="CK31" s="295">
        <f t="shared" si="131"/>
        <v>0</v>
      </c>
      <c r="CL31" s="295">
        <f t="shared" si="131"/>
        <v>0</v>
      </c>
      <c r="CM31" s="295">
        <f t="shared" si="131"/>
        <v>0</v>
      </c>
      <c r="CN31" s="295">
        <f t="shared" si="131"/>
        <v>0</v>
      </c>
      <c r="CO31" s="295">
        <f t="shared" si="131"/>
        <v>0</v>
      </c>
      <c r="CP31" s="295">
        <f t="shared" si="131"/>
        <v>0</v>
      </c>
      <c r="CQ31" s="295">
        <f t="shared" si="131"/>
        <v>0</v>
      </c>
      <c r="CR31" s="295">
        <f t="shared" si="131"/>
        <v>0</v>
      </c>
      <c r="CS31" s="295">
        <f t="shared" si="131"/>
        <v>0</v>
      </c>
      <c r="CT31" s="295">
        <f t="shared" si="131"/>
        <v>0</v>
      </c>
      <c r="CU31" s="295">
        <f t="shared" si="131"/>
        <v>0</v>
      </c>
      <c r="CV31" s="295">
        <f t="shared" si="131"/>
        <v>0</v>
      </c>
      <c r="CW31" s="295">
        <f t="shared" si="131"/>
        <v>0</v>
      </c>
      <c r="CX31" s="295">
        <f t="shared" si="131"/>
        <v>0</v>
      </c>
      <c r="CY31" s="295">
        <f t="shared" si="131"/>
        <v>0</v>
      </c>
      <c r="CZ31" s="295">
        <f t="shared" si="131"/>
        <v>0</v>
      </c>
      <c r="DA31" s="295">
        <f t="shared" si="131"/>
        <v>0</v>
      </c>
      <c r="DB31" s="295">
        <f t="shared" si="131"/>
        <v>0</v>
      </c>
      <c r="DC31" s="295">
        <f t="shared" si="131"/>
        <v>0</v>
      </c>
      <c r="DD31" s="295">
        <f t="shared" si="131"/>
        <v>0</v>
      </c>
      <c r="DE31" s="295">
        <f t="shared" si="131"/>
        <v>0</v>
      </c>
      <c r="DF31" s="295">
        <f t="shared" si="131"/>
        <v>0</v>
      </c>
      <c r="DG31" s="295">
        <f t="shared" si="131"/>
        <v>0</v>
      </c>
      <c r="DH31" s="295">
        <f t="shared" si="131"/>
        <v>0</v>
      </c>
      <c r="DI31" s="295">
        <f t="shared" si="131"/>
        <v>0</v>
      </c>
      <c r="DJ31" s="295">
        <f t="shared" si="131"/>
        <v>0</v>
      </c>
      <c r="DK31" s="295">
        <f t="shared" si="131"/>
        <v>0</v>
      </c>
      <c r="DL31" s="295">
        <f t="shared" si="131"/>
        <v>0</v>
      </c>
      <c r="DM31" s="295">
        <f t="shared" si="131"/>
        <v>0</v>
      </c>
      <c r="DN31" s="295">
        <f t="shared" si="131"/>
        <v>0</v>
      </c>
      <c r="DO31" s="295">
        <f t="shared" si="131"/>
        <v>0</v>
      </c>
      <c r="DP31" s="295">
        <f t="shared" si="131"/>
        <v>0</v>
      </c>
      <c r="DQ31" s="295">
        <f t="shared" si="131"/>
        <v>0</v>
      </c>
      <c r="DR31" s="295">
        <f t="shared" si="131"/>
        <v>0</v>
      </c>
      <c r="DS31" s="295">
        <f t="shared" si="131"/>
        <v>0</v>
      </c>
    </row>
    <row r="32" thickTop="1" thickBot="1" ht="15.5">
      <c r="A32" s="325"/>
      <c r="B32" s="3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  <c r="AJ32" s="144"/>
      <c r="AK32" s="144"/>
      <c r="AL32" s="144"/>
      <c r="AM32" s="144"/>
      <c r="AN32" s="144"/>
      <c r="AO32" s="144"/>
      <c r="AP32" s="144"/>
      <c r="AQ32" s="144"/>
      <c r="AR32" s="144"/>
      <c r="AS32" s="144"/>
      <c r="AT32" s="144"/>
      <c r="AU32" s="144"/>
      <c r="AV32" s="144"/>
      <c r="AW32" s="144"/>
      <c r="AX32" s="144"/>
      <c r="AY32" s="144"/>
      <c r="AZ32" s="144"/>
      <c r="BA32" s="144"/>
      <c r="BB32" s="144"/>
      <c r="BC32" s="144"/>
      <c r="BD32" s="144"/>
      <c r="BE32" s="144"/>
      <c r="BF32" s="144"/>
      <c r="BG32" s="144"/>
      <c r="BH32" s="144"/>
      <c r="BI32" s="144"/>
      <c r="BJ32" s="144"/>
      <c r="BK32" s="144"/>
      <c r="BL32" s="144"/>
      <c r="BM32" s="144"/>
      <c r="BN32" s="144"/>
      <c r="BO32" s="144"/>
      <c r="BP32" s="144"/>
      <c r="BQ32" s="144"/>
      <c r="BR32" s="144"/>
      <c r="BS32" s="144"/>
      <c r="BT32" s="144"/>
      <c r="BU32" s="144"/>
      <c r="BV32" s="144"/>
      <c r="BW32" s="144"/>
      <c r="BX32" s="144"/>
      <c r="BY32" s="144"/>
      <c r="BZ32" s="144"/>
      <c r="CA32" s="144"/>
      <c r="CB32" s="144"/>
      <c r="CC32" s="144"/>
      <c r="CD32" s="144"/>
      <c r="CE32" s="144"/>
      <c r="CF32" s="144"/>
      <c r="CG32" s="144"/>
      <c r="CH32" s="144"/>
      <c r="CI32" s="144"/>
      <c r="CJ32" s="144"/>
      <c r="CK32" s="144"/>
      <c r="CL32" s="144"/>
      <c r="CM32" s="144"/>
      <c r="CN32" s="144"/>
      <c r="CO32" s="144"/>
      <c r="CP32" s="144"/>
      <c r="CQ32" s="144"/>
      <c r="CR32" s="144"/>
      <c r="CS32" s="144"/>
      <c r="CT32" s="144"/>
      <c r="CU32" s="144"/>
      <c r="CV32" s="144"/>
      <c r="CW32" s="144"/>
      <c r="CX32" s="144"/>
      <c r="CY32" s="144"/>
      <c r="CZ32" s="144"/>
      <c r="DA32" s="144"/>
      <c r="DB32" s="144"/>
      <c r="DC32" s="144"/>
      <c r="DD32" s="144"/>
      <c r="DE32" s="144"/>
      <c r="DF32" s="144"/>
      <c r="DG32" s="144"/>
      <c r="DH32" s="144"/>
      <c r="DI32" s="144"/>
      <c r="DJ32" s="144"/>
      <c r="DK32" s="144"/>
      <c r="DL32" s="144"/>
      <c r="DM32" s="144"/>
      <c r="DN32" s="144"/>
      <c r="DO32" s="144"/>
      <c r="DP32" s="144"/>
      <c r="DQ32" s="144"/>
      <c r="DR32" s="144"/>
      <c r="DS32" s="144"/>
    </row>
    <row r="33" thickTop="1" thickBot="1" s="7" customFormat="1" ht="15.5">
      <c r="A33" s="328" t="s">
        <v>1320</v>
      </c>
      <c r="B33" s="328"/>
      <c r="C33" s="329">
        <f>+SUMIF(Attivo!L100:L104,"Continuità",Attivo!K100:K104)</f>
        <v>0</v>
      </c>
      <c r="D33" s="329">
        <f>+C33-'CE-mese'!C42</f>
        <v>0</v>
      </c>
      <c r="E33" s="329">
        <f>+D33-'CE-mese'!D42</f>
        <v>0</v>
      </c>
      <c r="F33" s="329">
        <f>+E33-'CE-mese'!E42</f>
        <v>0</v>
      </c>
      <c r="G33" s="329">
        <f>+F33-'CE-mese'!F42</f>
        <v>0</v>
      </c>
      <c r="H33" s="329">
        <f>+G33-'CE-mese'!G42</f>
        <v>0</v>
      </c>
      <c r="I33" s="329">
        <f>+H33-'CE-mese'!H42</f>
        <v>0</v>
      </c>
      <c r="J33" s="329">
        <f>+I33-'CE-mese'!I42</f>
        <v>0</v>
      </c>
      <c r="K33" s="329">
        <f>+J33-'CE-mese'!J42</f>
        <v>0</v>
      </c>
      <c r="L33" s="329">
        <f>+K33-'CE-mese'!K42</f>
        <v>0</v>
      </c>
      <c r="M33" s="329">
        <f>+L33-'CE-mese'!L42</f>
        <v>0</v>
      </c>
      <c r="N33" s="329">
        <f>+M33-'CE-mese'!M42</f>
        <v>0</v>
      </c>
      <c r="O33" s="329">
        <f>+N33-'CE-mese'!N42</f>
        <v>0</v>
      </c>
      <c r="P33" s="329">
        <f>+O33-'CE-mese'!O42</f>
        <v>0</v>
      </c>
      <c r="Q33" s="329">
        <f>+P33-'CE-mese'!P42</f>
        <v>0</v>
      </c>
      <c r="R33" s="329">
        <f>+Q33-'CE-mese'!Q42</f>
        <v>0</v>
      </c>
      <c r="S33" s="329">
        <f>+R33-'CE-mese'!R42</f>
        <v>0</v>
      </c>
      <c r="T33" s="329">
        <f>+S33-'CE-mese'!S42</f>
        <v>0</v>
      </c>
      <c r="U33" s="329">
        <f>+T33-'CE-mese'!T42</f>
        <v>0</v>
      </c>
      <c r="V33" s="329">
        <f>+U33-'CE-mese'!U42</f>
        <v>0</v>
      </c>
      <c r="W33" s="329">
        <f>+V33-'CE-mese'!V42</f>
        <v>0</v>
      </c>
      <c r="X33" s="329">
        <f>+W33-'CE-mese'!W42</f>
        <v>0</v>
      </c>
      <c r="Y33" s="329">
        <f>+X33-'CE-mese'!X42</f>
        <v>0</v>
      </c>
      <c r="Z33" s="329">
        <f>+Y33-'CE-mese'!Y42</f>
        <v>0</v>
      </c>
      <c r="AA33" s="329">
        <f>+Z33-'CE-mese'!Z42</f>
        <v>0</v>
      </c>
      <c r="AB33" s="329">
        <f>+AA33-'CE-mese'!AA42</f>
        <v>0</v>
      </c>
      <c r="AC33" s="329">
        <f>+AB33-'CE-mese'!AB42</f>
        <v>0</v>
      </c>
      <c r="AD33" s="329">
        <f>+AC33-'CE-mese'!AC42</f>
        <v>0</v>
      </c>
      <c r="AE33" s="329">
        <f>+AD33-'CE-mese'!AD42</f>
        <v>0</v>
      </c>
      <c r="AF33" s="329">
        <f>+AE33-'CE-mese'!AE42</f>
        <v>0</v>
      </c>
      <c r="AG33" s="329">
        <f>+AF33-'CE-mese'!AF42</f>
        <v>0</v>
      </c>
      <c r="AH33" s="329">
        <f>+AG33-'CE-mese'!AG42</f>
        <v>0</v>
      </c>
      <c r="AI33" s="329">
        <f>+AH33-'CE-mese'!AH42</f>
        <v>0</v>
      </c>
      <c r="AJ33" s="329">
        <f>+AI33-'CE-mese'!AI42</f>
        <v>0</v>
      </c>
      <c r="AK33" s="329">
        <f>+AJ33-'CE-mese'!AJ42</f>
        <v>0</v>
      </c>
      <c r="AL33" s="329">
        <f>+AK33-'CE-mese'!AK42</f>
        <v>0</v>
      </c>
      <c r="AM33" s="329">
        <f>+AL33-'CE-mese'!AL42</f>
        <v>0</v>
      </c>
      <c r="AN33" s="329">
        <f>+AM33-'CE-mese'!AM42</f>
        <v>0</v>
      </c>
      <c r="AO33" s="329">
        <f>+AN33-'CE-mese'!AN42</f>
        <v>0</v>
      </c>
      <c r="AP33" s="329">
        <f>+AO33-'CE-mese'!AO42</f>
        <v>0</v>
      </c>
      <c r="AQ33" s="329">
        <f>+AP33-'CE-mese'!AP42</f>
        <v>0</v>
      </c>
      <c r="AR33" s="329">
        <f>+AQ33-'CE-mese'!AQ42</f>
        <v>0</v>
      </c>
      <c r="AS33" s="329">
        <f>+AR33-'CE-mese'!AR42</f>
        <v>0</v>
      </c>
      <c r="AT33" s="329">
        <f>+AS33-'CE-mese'!AS42</f>
        <v>0</v>
      </c>
      <c r="AU33" s="329">
        <f>+AT33-'CE-mese'!AT42</f>
        <v>0</v>
      </c>
      <c r="AV33" s="329">
        <f>+AU33-'CE-mese'!AU42</f>
        <v>0</v>
      </c>
      <c r="AW33" s="329">
        <f>+AV33-'CE-mese'!AV42</f>
        <v>0</v>
      </c>
      <c r="AX33" s="329">
        <f>+AW33-'CE-mese'!AW42</f>
        <v>0</v>
      </c>
      <c r="AY33" s="329">
        <f>+AX33-'CE-mese'!AX42</f>
        <v>0</v>
      </c>
      <c r="AZ33" s="329">
        <f>+AY33-'CE-mese'!AY42</f>
        <v>0</v>
      </c>
      <c r="BA33" s="329">
        <f>+AZ33-'CE-mese'!AZ42</f>
        <v>0</v>
      </c>
      <c r="BB33" s="329">
        <f>+BA33-'CE-mese'!BA42</f>
        <v>0</v>
      </c>
      <c r="BC33" s="329">
        <f>+BB33-'CE-mese'!BB42</f>
        <v>0</v>
      </c>
      <c r="BD33" s="329">
        <f>+BC33-'CE-mese'!BC42</f>
        <v>0</v>
      </c>
      <c r="BE33" s="329">
        <f>+BD33-'CE-mese'!BD42</f>
        <v>0</v>
      </c>
      <c r="BF33" s="329">
        <f>+BE33-'CE-mese'!BE42</f>
        <v>0</v>
      </c>
      <c r="BG33" s="329">
        <f>+BF33-'CE-mese'!BF42</f>
        <v>0</v>
      </c>
      <c r="BH33" s="329">
        <f>+BG33-'CE-mese'!BG42</f>
        <v>0</v>
      </c>
      <c r="BI33" s="329">
        <f>+BH33-'CE-mese'!BH42</f>
        <v>0</v>
      </c>
      <c r="BJ33" s="329">
        <f>+BI33-'CE-mese'!BI42</f>
        <v>0</v>
      </c>
      <c r="BK33" s="329">
        <f>+BJ33-'CE-mese'!BJ42</f>
        <v>0</v>
      </c>
      <c r="BL33" s="329">
        <f>+BK33-'CE-mese'!BK42</f>
        <v>0</v>
      </c>
      <c r="BM33" s="329">
        <f>+BL33-'CE-mese'!BL42</f>
        <v>0</v>
      </c>
      <c r="BN33" s="329">
        <f>+BM33-'CE-mese'!BM42</f>
        <v>0</v>
      </c>
      <c r="BO33" s="329">
        <f>+BN33-'CE-mese'!BN42</f>
        <v>0</v>
      </c>
      <c r="BP33" s="329">
        <f>+BO33-'CE-mese'!BO42</f>
        <v>0</v>
      </c>
      <c r="BQ33" s="329">
        <f>+BP33-'CE-mese'!BP42</f>
        <v>0</v>
      </c>
      <c r="BR33" s="329">
        <f>+BQ33-'CE-mese'!BQ42</f>
        <v>0</v>
      </c>
      <c r="BS33" s="329">
        <f>+BR33-'CE-mese'!BR42</f>
        <v>0</v>
      </c>
      <c r="BT33" s="329">
        <f>+BS33-'CE-mese'!BS42</f>
        <v>0</v>
      </c>
      <c r="BU33" s="329">
        <f>+BT33-'CE-mese'!BT42</f>
        <v>0</v>
      </c>
      <c r="BV33" s="329">
        <f>+BU33-'CE-mese'!BU42</f>
        <v>0</v>
      </c>
      <c r="BW33" s="329">
        <f>+BV33-'CE-mese'!BV42</f>
        <v>0</v>
      </c>
      <c r="BX33" s="329">
        <f>+BW33-'CE-mese'!BW42</f>
        <v>0</v>
      </c>
      <c r="BY33" s="329">
        <f>+BX33-'CE-mese'!BX42</f>
        <v>0</v>
      </c>
      <c r="BZ33" s="329">
        <f>+BY33-'CE-mese'!BY42</f>
        <v>0</v>
      </c>
      <c r="CA33" s="329">
        <f>+BZ33-'CE-mese'!BZ42</f>
        <v>0</v>
      </c>
      <c r="CB33" s="329">
        <f>+CA33-'CE-mese'!CA42</f>
        <v>0</v>
      </c>
      <c r="CC33" s="329">
        <f>+CB33-'CE-mese'!CB42</f>
        <v>0</v>
      </c>
      <c r="CD33" s="329">
        <f>+CC33-'CE-mese'!CC42</f>
        <v>0</v>
      </c>
      <c r="CE33" s="329">
        <f>+CD33-'CE-mese'!CD42</f>
        <v>0</v>
      </c>
      <c r="CF33" s="329">
        <f>+CE33-'CE-mese'!CE42</f>
        <v>0</v>
      </c>
      <c r="CG33" s="329">
        <f>+CF33-'CE-mese'!CF42</f>
        <v>0</v>
      </c>
      <c r="CH33" s="329">
        <f>+CG33-'CE-mese'!CG42</f>
        <v>0</v>
      </c>
      <c r="CI33" s="329">
        <f>+CH33-'CE-mese'!CH42</f>
        <v>0</v>
      </c>
      <c r="CJ33" s="329">
        <f>+CI33-'CE-mese'!CI42</f>
        <v>0</v>
      </c>
      <c r="CK33" s="329">
        <f>+CJ33-'CE-mese'!CJ42</f>
        <v>0</v>
      </c>
      <c r="CL33" s="329">
        <f>+CK33-'CE-mese'!CK42</f>
        <v>0</v>
      </c>
      <c r="CM33" s="329">
        <f>+CL33-'CE-mese'!CL42</f>
        <v>0</v>
      </c>
      <c r="CN33" s="329">
        <f>+CM33-'CE-mese'!CM42</f>
        <v>0</v>
      </c>
      <c r="CO33" s="329">
        <f>+CN33-'CE-mese'!CN42</f>
        <v>0</v>
      </c>
      <c r="CP33" s="329">
        <f>+CO33-'CE-mese'!CO42</f>
        <v>0</v>
      </c>
      <c r="CQ33" s="329">
        <f>+CP33-'CE-mese'!CP42</f>
        <v>0</v>
      </c>
      <c r="CR33" s="329">
        <f>+CQ33-'CE-mese'!CQ42</f>
        <v>0</v>
      </c>
      <c r="CS33" s="329">
        <f>+CR33-'CE-mese'!CR42</f>
        <v>0</v>
      </c>
      <c r="CT33" s="329">
        <f>+CS33-'CE-mese'!CS42</f>
        <v>0</v>
      </c>
      <c r="CU33" s="329">
        <f>+CT33-'CE-mese'!CT42</f>
        <v>0</v>
      </c>
      <c r="CV33" s="329">
        <f>+CU33-'CE-mese'!CU42</f>
        <v>0</v>
      </c>
      <c r="CW33" s="329">
        <f>+CV33-'CE-mese'!CV42</f>
        <v>0</v>
      </c>
      <c r="CX33" s="329">
        <f>+CW33-'CE-mese'!CW42</f>
        <v>0</v>
      </c>
      <c r="CY33" s="329">
        <f>+CX33-'CE-mese'!CX42</f>
        <v>0</v>
      </c>
      <c r="CZ33" s="329">
        <f>+CY33-'CE-mese'!CY42</f>
        <v>0</v>
      </c>
      <c r="DA33" s="329">
        <f>+CZ33-'CE-mese'!CZ42</f>
        <v>0</v>
      </c>
      <c r="DB33" s="329">
        <f>+DA33-'CE-mese'!DA42</f>
        <v>0</v>
      </c>
      <c r="DC33" s="329">
        <f>+DB33-'CE-mese'!DB42</f>
        <v>0</v>
      </c>
      <c r="DD33" s="329">
        <f>+DC33-'CE-mese'!DC42</f>
        <v>0</v>
      </c>
      <c r="DE33" s="329">
        <f>+DD33-'CE-mese'!DD42</f>
        <v>0</v>
      </c>
      <c r="DF33" s="329">
        <f>+DE33-'CE-mese'!DE42</f>
        <v>0</v>
      </c>
      <c r="DG33" s="329">
        <f>+DF33-'CE-mese'!DF42</f>
        <v>0</v>
      </c>
      <c r="DH33" s="329">
        <f>+DG33-'CE-mese'!DG42</f>
        <v>0</v>
      </c>
      <c r="DI33" s="329">
        <f>+DH33-'CE-mese'!DH42</f>
        <v>0</v>
      </c>
      <c r="DJ33" s="329">
        <f>+DI33-'CE-mese'!DI42</f>
        <v>0</v>
      </c>
      <c r="DK33" s="329">
        <f>+DJ33-'CE-mese'!DJ42</f>
        <v>0</v>
      </c>
      <c r="DL33" s="329">
        <f>+DK33-'CE-mese'!DK42</f>
        <v>0</v>
      </c>
      <c r="DM33" s="329">
        <f>+DL33-'CE-mese'!DL42</f>
        <v>0</v>
      </c>
      <c r="DN33" s="329">
        <f>+DM33-'CE-mese'!DM42</f>
        <v>0</v>
      </c>
      <c r="DO33" s="329">
        <f>+DN33-'CE-mese'!DN42</f>
        <v>0</v>
      </c>
      <c r="DP33" s="329">
        <f>+DO33-'CE-mese'!DO42</f>
        <v>0</v>
      </c>
      <c r="DQ33" s="329">
        <f>+DP33-'CE-mese'!DP42</f>
        <v>0</v>
      </c>
      <c r="DR33" s="329">
        <f>+DQ33-'CE-mese'!DQ42</f>
        <v>0</v>
      </c>
      <c r="DS33" s="329">
        <f>+DR33-'CE-mese'!DR42</f>
        <v>0</v>
      </c>
    </row>
    <row r="34" thickTop="1" thickBot="1" ht="22">
      <c r="A34" s="150" t="s">
        <v>981</v>
      </c>
      <c r="B34" s="298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4"/>
      <c r="AM34" s="144"/>
      <c r="AN34" s="144"/>
      <c r="AO34" s="144"/>
      <c r="AP34" s="144"/>
      <c r="AQ34" s="144"/>
      <c r="AR34" s="144"/>
      <c r="AS34" s="144"/>
      <c r="AT34" s="144"/>
      <c r="AU34" s="144"/>
      <c r="AV34" s="144"/>
      <c r="AW34" s="144"/>
      <c r="AX34" s="144"/>
      <c r="AY34" s="144"/>
      <c r="AZ34" s="144"/>
      <c r="BA34" s="144"/>
      <c r="BB34" s="144"/>
      <c r="BC34" s="144"/>
      <c r="BD34" s="144"/>
      <c r="BE34" s="144"/>
      <c r="BF34" s="144"/>
      <c r="BG34" s="144"/>
      <c r="BH34" s="144"/>
      <c r="BI34" s="144"/>
      <c r="BJ34" s="144"/>
      <c r="BK34" s="144"/>
      <c r="BL34" s="144"/>
      <c r="BM34" s="144"/>
      <c r="BN34" s="144"/>
      <c r="BO34" s="144"/>
      <c r="BP34" s="144"/>
      <c r="BQ34" s="144"/>
      <c r="BR34" s="144"/>
      <c r="BS34" s="144"/>
      <c r="BT34" s="144"/>
      <c r="BU34" s="144"/>
      <c r="BV34" s="144"/>
      <c r="BW34" s="144"/>
      <c r="BX34" s="144"/>
      <c r="BY34" s="144"/>
      <c r="BZ34" s="144"/>
      <c r="CA34" s="144"/>
      <c r="CB34" s="144"/>
      <c r="CC34" s="144"/>
      <c r="CD34" s="144"/>
      <c r="CE34" s="144"/>
      <c r="CF34" s="144"/>
      <c r="CG34" s="144"/>
      <c r="CH34" s="144"/>
      <c r="CI34" s="144"/>
      <c r="CJ34" s="144"/>
      <c r="CK34" s="144"/>
      <c r="CL34" s="144"/>
      <c r="CM34" s="144"/>
      <c r="CN34" s="144"/>
      <c r="CO34" s="144"/>
      <c r="CP34" s="144"/>
      <c r="CQ34" s="144"/>
      <c r="CR34" s="144"/>
      <c r="CS34" s="144"/>
      <c r="CT34" s="144"/>
      <c r="CU34" s="144"/>
      <c r="CV34" s="144"/>
      <c r="CW34" s="144"/>
      <c r="CX34" s="144"/>
      <c r="CY34" s="144"/>
      <c r="CZ34" s="144"/>
      <c r="DA34" s="144"/>
      <c r="DB34" s="144"/>
      <c r="DC34" s="144"/>
      <c r="DD34" s="144"/>
      <c r="DE34" s="144"/>
      <c r="DF34" s="144"/>
      <c r="DG34" s="144"/>
      <c r="DH34" s="144"/>
      <c r="DI34" s="144"/>
      <c r="DJ34" s="144"/>
      <c r="DK34" s="144"/>
      <c r="DL34" s="144"/>
      <c r="DM34" s="144"/>
      <c r="DN34" s="144"/>
      <c r="DO34" s="144"/>
      <c r="DP34" s="144"/>
      <c r="DQ34" s="144"/>
      <c r="DR34" s="144"/>
      <c r="DS34" s="144"/>
    </row>
    <row r="35" thickTop="1" thickBot="1" ht="15.5">
      <c r="A35" s="330" t="s">
        <v>1321</v>
      </c>
      <c r="B35" s="330"/>
      <c r="C35" s="331">
        <f>+SUM(C36:C38)</f>
        <v>0</v>
      </c>
      <c r="D35" s="331">
        <f>+SUM(D36:D38)</f>
        <v>0</v>
      </c>
      <c r="E35" s="331">
        <f>+SUM(E36:E38)</f>
        <v>0</v>
      </c>
      <c r="F35" s="331">
        <f t="shared" ref="F35:BQ35" si="132">+SUM(F36:F38)</f>
        <v>0</v>
      </c>
      <c r="G35" s="331">
        <f t="shared" si="132"/>
        <v>0</v>
      </c>
      <c r="H35" s="331">
        <f t="shared" si="132"/>
        <v>0</v>
      </c>
      <c r="I35" s="331">
        <f t="shared" si="132"/>
        <v>0</v>
      </c>
      <c r="J35" s="331">
        <f t="shared" si="132"/>
        <v>0</v>
      </c>
      <c r="K35" s="331">
        <f t="shared" si="132"/>
        <v>0</v>
      </c>
      <c r="L35" s="331">
        <f t="shared" si="132"/>
        <v>0</v>
      </c>
      <c r="M35" s="331">
        <f t="shared" si="132"/>
        <v>0</v>
      </c>
      <c r="N35" s="331">
        <f t="shared" si="132"/>
        <v>0</v>
      </c>
      <c r="O35" s="331">
        <f t="shared" si="132"/>
        <v>0</v>
      </c>
      <c r="P35" s="331">
        <f t="shared" si="132"/>
        <v>0</v>
      </c>
      <c r="Q35" s="331">
        <f t="shared" si="132"/>
        <v>0</v>
      </c>
      <c r="R35" s="331">
        <f t="shared" si="132"/>
        <v>0</v>
      </c>
      <c r="S35" s="331">
        <f t="shared" si="132"/>
        <v>0</v>
      </c>
      <c r="T35" s="331">
        <f t="shared" si="132"/>
        <v>0</v>
      </c>
      <c r="U35" s="331">
        <f t="shared" si="132"/>
        <v>0</v>
      </c>
      <c r="V35" s="331">
        <f t="shared" si="132"/>
        <v>0</v>
      </c>
      <c r="W35" s="331">
        <f t="shared" si="132"/>
        <v>0</v>
      </c>
      <c r="X35" s="331">
        <f t="shared" si="132"/>
        <v>0</v>
      </c>
      <c r="Y35" s="331">
        <f t="shared" si="132"/>
        <v>0</v>
      </c>
      <c r="Z35" s="331">
        <f t="shared" si="132"/>
        <v>0</v>
      </c>
      <c r="AA35" s="331">
        <f t="shared" si="132"/>
        <v>0</v>
      </c>
      <c r="AB35" s="331">
        <f t="shared" si="132"/>
        <v>0</v>
      </c>
      <c r="AC35" s="331">
        <f t="shared" si="132"/>
        <v>0</v>
      </c>
      <c r="AD35" s="331">
        <f t="shared" si="132"/>
        <v>0</v>
      </c>
      <c r="AE35" s="331">
        <f t="shared" si="132"/>
        <v>0</v>
      </c>
      <c r="AF35" s="331">
        <f t="shared" si="132"/>
        <v>0</v>
      </c>
      <c r="AG35" s="331">
        <f t="shared" si="132"/>
        <v>0</v>
      </c>
      <c r="AH35" s="331">
        <f t="shared" si="132"/>
        <v>0</v>
      </c>
      <c r="AI35" s="331">
        <f t="shared" si="132"/>
        <v>0</v>
      </c>
      <c r="AJ35" s="331">
        <f t="shared" si="132"/>
        <v>0</v>
      </c>
      <c r="AK35" s="331">
        <f t="shared" si="132"/>
        <v>0</v>
      </c>
      <c r="AL35" s="331">
        <f t="shared" si="132"/>
        <v>0</v>
      </c>
      <c r="AM35" s="331">
        <f t="shared" si="132"/>
        <v>0</v>
      </c>
      <c r="AN35" s="331">
        <f t="shared" si="132"/>
        <v>0</v>
      </c>
      <c r="AO35" s="331">
        <f t="shared" si="132"/>
        <v>0</v>
      </c>
      <c r="AP35" s="331">
        <f t="shared" si="132"/>
        <v>0</v>
      </c>
      <c r="AQ35" s="331">
        <f t="shared" si="132"/>
        <v>0</v>
      </c>
      <c r="AR35" s="331">
        <f t="shared" si="132"/>
        <v>0</v>
      </c>
      <c r="AS35" s="331">
        <f t="shared" si="132"/>
        <v>0</v>
      </c>
      <c r="AT35" s="331">
        <f t="shared" si="132"/>
        <v>0</v>
      </c>
      <c r="AU35" s="331">
        <f t="shared" si="132"/>
        <v>0</v>
      </c>
      <c r="AV35" s="331">
        <f t="shared" si="132"/>
        <v>0</v>
      </c>
      <c r="AW35" s="331">
        <f t="shared" si="132"/>
        <v>0</v>
      </c>
      <c r="AX35" s="331">
        <f t="shared" si="132"/>
        <v>0</v>
      </c>
      <c r="AY35" s="331">
        <f t="shared" si="132"/>
        <v>0</v>
      </c>
      <c r="AZ35" s="331">
        <f t="shared" si="132"/>
        <v>0</v>
      </c>
      <c r="BA35" s="331">
        <f t="shared" si="132"/>
        <v>0</v>
      </c>
      <c r="BB35" s="331">
        <f t="shared" si="132"/>
        <v>0</v>
      </c>
      <c r="BC35" s="331">
        <f t="shared" si="132"/>
        <v>0</v>
      </c>
      <c r="BD35" s="331">
        <f t="shared" si="132"/>
        <v>0</v>
      </c>
      <c r="BE35" s="331">
        <f t="shared" si="132"/>
        <v>0</v>
      </c>
      <c r="BF35" s="331">
        <f t="shared" si="132"/>
        <v>0</v>
      </c>
      <c r="BG35" s="331">
        <f t="shared" si="132"/>
        <v>0</v>
      </c>
      <c r="BH35" s="331">
        <f t="shared" si="132"/>
        <v>0</v>
      </c>
      <c r="BI35" s="331">
        <f t="shared" si="132"/>
        <v>0</v>
      </c>
      <c r="BJ35" s="331">
        <f t="shared" si="132"/>
        <v>0</v>
      </c>
      <c r="BK35" s="331">
        <f t="shared" si="132"/>
        <v>0</v>
      </c>
      <c r="BL35" s="331">
        <f t="shared" si="132"/>
        <v>0</v>
      </c>
      <c r="BM35" s="331">
        <f t="shared" si="132"/>
        <v>0</v>
      </c>
      <c r="BN35" s="331">
        <f t="shared" si="132"/>
        <v>0</v>
      </c>
      <c r="BO35" s="331">
        <f t="shared" si="132"/>
        <v>0</v>
      </c>
      <c r="BP35" s="331">
        <f t="shared" si="132"/>
        <v>0</v>
      </c>
      <c r="BQ35" s="331">
        <f t="shared" si="132"/>
        <v>0</v>
      </c>
      <c r="BR35" s="331">
        <f t="shared" ref="BR35:DS35" si="133">+SUM(BR36:BR38)</f>
        <v>0</v>
      </c>
      <c r="BS35" s="331">
        <f t="shared" si="133"/>
        <v>0</v>
      </c>
      <c r="BT35" s="331">
        <f t="shared" si="133"/>
        <v>0</v>
      </c>
      <c r="BU35" s="331">
        <f t="shared" si="133"/>
        <v>0</v>
      </c>
      <c r="BV35" s="331">
        <f t="shared" si="133"/>
        <v>0</v>
      </c>
      <c r="BW35" s="331">
        <f t="shared" si="133"/>
        <v>0</v>
      </c>
      <c r="BX35" s="331">
        <f t="shared" si="133"/>
        <v>0</v>
      </c>
      <c r="BY35" s="331">
        <f t="shared" si="133"/>
        <v>0</v>
      </c>
      <c r="BZ35" s="331">
        <f t="shared" si="133"/>
        <v>0</v>
      </c>
      <c r="CA35" s="331">
        <f t="shared" si="133"/>
        <v>0</v>
      </c>
      <c r="CB35" s="331">
        <f t="shared" si="133"/>
        <v>0</v>
      </c>
      <c r="CC35" s="331">
        <f t="shared" si="133"/>
        <v>0</v>
      </c>
      <c r="CD35" s="331">
        <f t="shared" si="133"/>
        <v>0</v>
      </c>
      <c r="CE35" s="331">
        <f t="shared" si="133"/>
        <v>0</v>
      </c>
      <c r="CF35" s="331">
        <f t="shared" si="133"/>
        <v>0</v>
      </c>
      <c r="CG35" s="331">
        <f t="shared" si="133"/>
        <v>0</v>
      </c>
      <c r="CH35" s="331">
        <f t="shared" si="133"/>
        <v>0</v>
      </c>
      <c r="CI35" s="331">
        <f t="shared" si="133"/>
        <v>0</v>
      </c>
      <c r="CJ35" s="331">
        <f t="shared" si="133"/>
        <v>0</v>
      </c>
      <c r="CK35" s="331">
        <f t="shared" si="133"/>
        <v>0</v>
      </c>
      <c r="CL35" s="331">
        <f t="shared" si="133"/>
        <v>0</v>
      </c>
      <c r="CM35" s="331">
        <f t="shared" si="133"/>
        <v>0</v>
      </c>
      <c r="CN35" s="331">
        <f t="shared" si="133"/>
        <v>0</v>
      </c>
      <c r="CO35" s="331">
        <f t="shared" si="133"/>
        <v>0</v>
      </c>
      <c r="CP35" s="331">
        <f t="shared" si="133"/>
        <v>0</v>
      </c>
      <c r="CQ35" s="331">
        <f t="shared" si="133"/>
        <v>0</v>
      </c>
      <c r="CR35" s="331">
        <f t="shared" si="133"/>
        <v>0</v>
      </c>
      <c r="CS35" s="331">
        <f t="shared" si="133"/>
        <v>0</v>
      </c>
      <c r="CT35" s="331">
        <f t="shared" si="133"/>
        <v>0</v>
      </c>
      <c r="CU35" s="331">
        <f t="shared" si="133"/>
        <v>0</v>
      </c>
      <c r="CV35" s="331">
        <f t="shared" si="133"/>
        <v>0</v>
      </c>
      <c r="CW35" s="331">
        <f t="shared" si="133"/>
        <v>0</v>
      </c>
      <c r="CX35" s="331">
        <f t="shared" si="133"/>
        <v>0</v>
      </c>
      <c r="CY35" s="331">
        <f t="shared" si="133"/>
        <v>0</v>
      </c>
      <c r="CZ35" s="331">
        <f t="shared" si="133"/>
        <v>0</v>
      </c>
      <c r="DA35" s="331">
        <f t="shared" si="133"/>
        <v>0</v>
      </c>
      <c r="DB35" s="331">
        <f t="shared" si="133"/>
        <v>0</v>
      </c>
      <c r="DC35" s="331">
        <f t="shared" si="133"/>
        <v>0</v>
      </c>
      <c r="DD35" s="331">
        <f t="shared" si="133"/>
        <v>0</v>
      </c>
      <c r="DE35" s="331">
        <f t="shared" si="133"/>
        <v>0</v>
      </c>
      <c r="DF35" s="331">
        <f t="shared" si="133"/>
        <v>0</v>
      </c>
      <c r="DG35" s="331">
        <f t="shared" si="133"/>
        <v>0</v>
      </c>
      <c r="DH35" s="331">
        <f t="shared" si="133"/>
        <v>0</v>
      </c>
      <c r="DI35" s="331">
        <f t="shared" si="133"/>
        <v>0</v>
      </c>
      <c r="DJ35" s="331">
        <f t="shared" si="133"/>
        <v>0</v>
      </c>
      <c r="DK35" s="331">
        <f t="shared" si="133"/>
        <v>0</v>
      </c>
      <c r="DL35" s="331">
        <f t="shared" si="133"/>
        <v>0</v>
      </c>
      <c r="DM35" s="331">
        <f t="shared" si="133"/>
        <v>0</v>
      </c>
      <c r="DN35" s="331">
        <f t="shared" si="133"/>
        <v>0</v>
      </c>
      <c r="DO35" s="331">
        <f t="shared" si="133"/>
        <v>0</v>
      </c>
      <c r="DP35" s="331">
        <f t="shared" si="133"/>
        <v>0</v>
      </c>
      <c r="DQ35" s="331">
        <f t="shared" si="133"/>
        <v>0</v>
      </c>
      <c r="DR35" s="331">
        <f t="shared" si="133"/>
        <v>0</v>
      </c>
      <c r="DS35" s="331">
        <f t="shared" si="133"/>
        <v>0</v>
      </c>
    </row>
    <row r="36" thickTop="1">
      <c r="A36" s="335" t="s">
        <v>1322</v>
      </c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  <c r="AK36" s="144"/>
      <c r="AL36" s="144"/>
      <c r="AM36" s="144"/>
      <c r="AN36" s="144"/>
      <c r="AO36" s="144"/>
      <c r="AP36" s="144"/>
      <c r="AQ36" s="144"/>
      <c r="AR36" s="144"/>
      <c r="AS36" s="144"/>
      <c r="AT36" s="144"/>
      <c r="AU36" s="144"/>
      <c r="AV36" s="144"/>
      <c r="AW36" s="144"/>
      <c r="AX36" s="144"/>
      <c r="AY36" s="144"/>
      <c r="AZ36" s="144"/>
      <c r="BA36" s="144"/>
      <c r="BB36" s="144"/>
      <c r="BC36" s="144"/>
      <c r="BD36" s="144"/>
      <c r="BE36" s="144"/>
      <c r="BF36" s="144"/>
      <c r="BG36" s="144"/>
      <c r="BH36" s="144"/>
      <c r="BI36" s="144"/>
      <c r="BJ36" s="144"/>
      <c r="BK36" s="144"/>
      <c r="BL36" s="144"/>
      <c r="BM36" s="144"/>
      <c r="BN36" s="144"/>
      <c r="BO36" s="144"/>
      <c r="BP36" s="144"/>
      <c r="BQ36" s="144"/>
      <c r="BR36" s="144"/>
      <c r="BS36" s="144"/>
      <c r="BT36" s="144"/>
      <c r="BU36" s="144"/>
      <c r="BV36" s="144"/>
      <c r="BW36" s="144"/>
      <c r="BX36" s="144"/>
      <c r="BY36" s="144"/>
      <c r="BZ36" s="144"/>
      <c r="CA36" s="144"/>
      <c r="CB36" s="144"/>
      <c r="CC36" s="144"/>
      <c r="CD36" s="144"/>
      <c r="CE36" s="144"/>
      <c r="CF36" s="144"/>
      <c r="CG36" s="144"/>
      <c r="CH36" s="144"/>
      <c r="CI36" s="144"/>
      <c r="CJ36" s="144"/>
      <c r="CK36" s="144"/>
      <c r="CL36" s="144"/>
      <c r="CM36" s="144"/>
      <c r="CN36" s="144"/>
      <c r="CO36" s="144"/>
      <c r="CP36" s="144"/>
      <c r="CQ36" s="144"/>
      <c r="CR36" s="144"/>
      <c r="CS36" s="144"/>
      <c r="CT36" s="144"/>
      <c r="CU36" s="144"/>
      <c r="CV36" s="144"/>
      <c r="CW36" s="144"/>
      <c r="CX36" s="144"/>
      <c r="CY36" s="144"/>
      <c r="CZ36" s="144"/>
      <c r="DA36" s="144"/>
      <c r="DB36" s="144"/>
      <c r="DC36" s="144"/>
      <c r="DD36" s="144"/>
      <c r="DE36" s="144"/>
      <c r="DF36" s="144"/>
      <c r="DG36" s="144"/>
      <c r="DH36" s="144"/>
      <c r="DI36" s="144"/>
      <c r="DJ36" s="144"/>
      <c r="DK36" s="144"/>
      <c r="DL36" s="144"/>
      <c r="DM36" s="144"/>
      <c r="DN36" s="144"/>
      <c r="DO36" s="144"/>
      <c r="DP36" s="144"/>
      <c r="DQ36" s="144"/>
      <c r="DR36" s="144"/>
      <c r="DS36" s="144"/>
    </row>
    <row r="37" ht="14.5">
      <c r="A37" s="335" t="s">
        <v>1323</v>
      </c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44"/>
      <c r="V37" s="144"/>
      <c r="W37" s="144"/>
      <c r="X37" s="144"/>
      <c r="Y37" s="144"/>
      <c r="Z37" s="144"/>
      <c r="AA37" s="144"/>
      <c r="AB37" s="144"/>
      <c r="AC37" s="144"/>
      <c r="AD37" s="144"/>
      <c r="AE37" s="144"/>
      <c r="AF37" s="144"/>
      <c r="AG37" s="144"/>
      <c r="AH37" s="144"/>
      <c r="AI37" s="144"/>
      <c r="AJ37" s="144"/>
      <c r="AK37" s="144"/>
      <c r="AL37" s="144"/>
      <c r="AM37" s="144"/>
      <c r="AN37" s="144"/>
      <c r="AO37" s="144"/>
      <c r="AP37" s="144"/>
      <c r="AQ37" s="144"/>
      <c r="AR37" s="144"/>
      <c r="AS37" s="144"/>
      <c r="AT37" s="144"/>
      <c r="AU37" s="144"/>
      <c r="AV37" s="144"/>
      <c r="AW37" s="144"/>
      <c r="AX37" s="144"/>
      <c r="AY37" s="144"/>
      <c r="AZ37" s="144"/>
      <c r="BA37" s="144"/>
      <c r="BB37" s="144"/>
      <c r="BC37" s="144"/>
      <c r="BD37" s="144"/>
      <c r="BE37" s="144"/>
      <c r="BF37" s="144"/>
      <c r="BG37" s="144"/>
      <c r="BH37" s="144"/>
      <c r="BI37" s="144"/>
      <c r="BJ37" s="144"/>
      <c r="BK37" s="144"/>
      <c r="BL37" s="144"/>
      <c r="BM37" s="144"/>
      <c r="BN37" s="144"/>
      <c r="BO37" s="144"/>
      <c r="BP37" s="144"/>
      <c r="BQ37" s="144"/>
      <c r="BR37" s="144"/>
      <c r="BS37" s="144"/>
      <c r="BT37" s="144"/>
      <c r="BU37" s="144"/>
      <c r="BV37" s="144"/>
      <c r="BW37" s="144"/>
      <c r="BX37" s="144"/>
      <c r="BY37" s="144"/>
      <c r="BZ37" s="144"/>
      <c r="CA37" s="144"/>
      <c r="CB37" s="144"/>
      <c r="CC37" s="144"/>
      <c r="CD37" s="144"/>
      <c r="CE37" s="144"/>
      <c r="CF37" s="144"/>
      <c r="CG37" s="144"/>
      <c r="CH37" s="144"/>
      <c r="CI37" s="144"/>
      <c r="CJ37" s="144"/>
      <c r="CK37" s="144"/>
      <c r="CL37" s="144"/>
      <c r="CM37" s="144"/>
      <c r="CN37" s="144"/>
      <c r="CO37" s="144"/>
      <c r="CP37" s="144"/>
      <c r="CQ37" s="144"/>
      <c r="CR37" s="144"/>
      <c r="CS37" s="144"/>
      <c r="CT37" s="144"/>
      <c r="CU37" s="144"/>
      <c r="CV37" s="144"/>
      <c r="CW37" s="144"/>
      <c r="CX37" s="144"/>
      <c r="CY37" s="144"/>
      <c r="CZ37" s="144"/>
      <c r="DA37" s="144"/>
      <c r="DB37" s="144"/>
      <c r="DC37" s="144"/>
      <c r="DD37" s="144"/>
      <c r="DE37" s="144"/>
      <c r="DF37" s="144"/>
      <c r="DG37" s="144"/>
      <c r="DH37" s="144"/>
      <c r="DI37" s="144"/>
      <c r="DJ37" s="144"/>
      <c r="DK37" s="144"/>
      <c r="DL37" s="144"/>
      <c r="DM37" s="144"/>
      <c r="DN37" s="144"/>
      <c r="DO37" s="144"/>
      <c r="DP37" s="144"/>
      <c r="DQ37" s="144"/>
      <c r="DR37" s="144"/>
      <c r="DS37" s="144"/>
    </row>
    <row r="38" thickBot="1">
      <c r="A38" s="335" t="s">
        <v>1324</v>
      </c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44"/>
      <c r="V38" s="144"/>
      <c r="W38" s="144"/>
      <c r="X38" s="144"/>
      <c r="Y38" s="144"/>
      <c r="Z38" s="144"/>
      <c r="AA38" s="144"/>
      <c r="AB38" s="144"/>
      <c r="AC38" s="144"/>
      <c r="AD38" s="144"/>
      <c r="AE38" s="144"/>
      <c r="AF38" s="144"/>
      <c r="AG38" s="144"/>
      <c r="AH38" s="144"/>
      <c r="AI38" s="144"/>
      <c r="AJ38" s="144"/>
      <c r="AK38" s="144"/>
      <c r="AL38" s="144"/>
      <c r="AM38" s="144"/>
      <c r="AN38" s="144"/>
      <c r="AO38" s="144"/>
      <c r="AP38" s="144"/>
      <c r="AQ38" s="144"/>
      <c r="AR38" s="144"/>
      <c r="AS38" s="144"/>
      <c r="AT38" s="144"/>
      <c r="AU38" s="144"/>
      <c r="AV38" s="144"/>
      <c r="AW38" s="144"/>
      <c r="AX38" s="144"/>
      <c r="AY38" s="144"/>
      <c r="AZ38" s="144"/>
      <c r="BA38" s="144"/>
      <c r="BB38" s="144"/>
      <c r="BC38" s="144"/>
      <c r="BD38" s="144"/>
      <c r="BE38" s="144"/>
      <c r="BF38" s="144"/>
      <c r="BG38" s="144"/>
      <c r="BH38" s="144"/>
      <c r="BI38" s="144"/>
      <c r="BJ38" s="144"/>
      <c r="BK38" s="144"/>
      <c r="BL38" s="144"/>
      <c r="BM38" s="144"/>
      <c r="BN38" s="144"/>
      <c r="BO38" s="144"/>
      <c r="BP38" s="144"/>
      <c r="BQ38" s="144"/>
      <c r="BR38" s="144"/>
      <c r="BS38" s="144"/>
      <c r="BT38" s="144"/>
      <c r="BU38" s="144"/>
      <c r="BV38" s="144"/>
      <c r="BW38" s="144"/>
      <c r="BX38" s="144"/>
      <c r="BY38" s="144"/>
      <c r="BZ38" s="144"/>
      <c r="CA38" s="144"/>
      <c r="CB38" s="144"/>
      <c r="CC38" s="144"/>
      <c r="CD38" s="144"/>
      <c r="CE38" s="144"/>
      <c r="CF38" s="144"/>
      <c r="CG38" s="144"/>
      <c r="CH38" s="144"/>
      <c r="CI38" s="144"/>
      <c r="CJ38" s="144"/>
      <c r="CK38" s="144"/>
      <c r="CL38" s="144"/>
      <c r="CM38" s="144"/>
      <c r="CN38" s="144"/>
      <c r="CO38" s="144"/>
      <c r="CP38" s="144"/>
      <c r="CQ38" s="144"/>
      <c r="CR38" s="144"/>
      <c r="CS38" s="144"/>
      <c r="CT38" s="144"/>
      <c r="CU38" s="144"/>
      <c r="CV38" s="144"/>
      <c r="CW38" s="144"/>
      <c r="CX38" s="144"/>
      <c r="CY38" s="144"/>
      <c r="CZ38" s="144"/>
      <c r="DA38" s="144"/>
      <c r="DB38" s="144"/>
      <c r="DC38" s="144"/>
      <c r="DD38" s="144"/>
      <c r="DE38" s="144"/>
      <c r="DF38" s="144"/>
      <c r="DG38" s="144"/>
      <c r="DH38" s="144"/>
      <c r="DI38" s="144"/>
      <c r="DJ38" s="144"/>
      <c r="DK38" s="144"/>
      <c r="DL38" s="144"/>
      <c r="DM38" s="144"/>
      <c r="DN38" s="144"/>
      <c r="DO38" s="144"/>
      <c r="DP38" s="144"/>
      <c r="DQ38" s="144"/>
      <c r="DR38" s="144"/>
      <c r="DS38" s="144"/>
    </row>
    <row r="39" thickTop="1" thickBot="1" ht="15.5">
      <c r="A39" s="330" t="s">
        <v>1325</v>
      </c>
      <c r="B39" s="330"/>
      <c r="C39" s="331">
        <f>+SUM(C40:C42)</f>
        <v>0</v>
      </c>
      <c r="D39" s="331">
        <f>+SUM(D40:D42)</f>
        <v>0</v>
      </c>
      <c r="E39" s="331">
        <f>+SUM(E40:E42)</f>
        <v>0</v>
      </c>
      <c r="F39" s="331">
        <f t="shared" ref="F39:BQ39" si="134">+SUM(F40:F42)</f>
        <v>0</v>
      </c>
      <c r="G39" s="331">
        <f t="shared" si="134"/>
        <v>0</v>
      </c>
      <c r="H39" s="331">
        <f t="shared" si="134"/>
        <v>0</v>
      </c>
      <c r="I39" s="331">
        <f t="shared" si="134"/>
        <v>0</v>
      </c>
      <c r="J39" s="331">
        <f t="shared" si="134"/>
        <v>0</v>
      </c>
      <c r="K39" s="331">
        <f t="shared" si="134"/>
        <v>0</v>
      </c>
      <c r="L39" s="331">
        <f t="shared" si="134"/>
        <v>0</v>
      </c>
      <c r="M39" s="331">
        <f t="shared" si="134"/>
        <v>0</v>
      </c>
      <c r="N39" s="331">
        <f t="shared" si="134"/>
        <v>0</v>
      </c>
      <c r="O39" s="331">
        <f t="shared" si="134"/>
        <v>0</v>
      </c>
      <c r="P39" s="331">
        <f t="shared" si="134"/>
        <v>0</v>
      </c>
      <c r="Q39" s="331">
        <f t="shared" si="134"/>
        <v>0</v>
      </c>
      <c r="R39" s="331">
        <f t="shared" si="134"/>
        <v>0</v>
      </c>
      <c r="S39" s="331">
        <f t="shared" si="134"/>
        <v>0</v>
      </c>
      <c r="T39" s="331">
        <f t="shared" si="134"/>
        <v>0</v>
      </c>
      <c r="U39" s="331">
        <f t="shared" si="134"/>
        <v>0</v>
      </c>
      <c r="V39" s="331">
        <f t="shared" si="134"/>
        <v>0</v>
      </c>
      <c r="W39" s="331">
        <f t="shared" si="134"/>
        <v>0</v>
      </c>
      <c r="X39" s="331">
        <f t="shared" si="134"/>
        <v>0</v>
      </c>
      <c r="Y39" s="331">
        <f t="shared" si="134"/>
        <v>0</v>
      </c>
      <c r="Z39" s="331">
        <f t="shared" si="134"/>
        <v>0</v>
      </c>
      <c r="AA39" s="331">
        <f t="shared" si="134"/>
        <v>0</v>
      </c>
      <c r="AB39" s="331">
        <f t="shared" si="134"/>
        <v>0</v>
      </c>
      <c r="AC39" s="331">
        <f t="shared" si="134"/>
        <v>0</v>
      </c>
      <c r="AD39" s="331">
        <f t="shared" si="134"/>
        <v>0</v>
      </c>
      <c r="AE39" s="331">
        <f t="shared" si="134"/>
        <v>0</v>
      </c>
      <c r="AF39" s="331">
        <f t="shared" si="134"/>
        <v>0</v>
      </c>
      <c r="AG39" s="331">
        <f t="shared" si="134"/>
        <v>0</v>
      </c>
      <c r="AH39" s="331">
        <f t="shared" si="134"/>
        <v>0</v>
      </c>
      <c r="AI39" s="331">
        <f t="shared" si="134"/>
        <v>0</v>
      </c>
      <c r="AJ39" s="331">
        <f t="shared" si="134"/>
        <v>0</v>
      </c>
      <c r="AK39" s="331">
        <f t="shared" si="134"/>
        <v>0</v>
      </c>
      <c r="AL39" s="331">
        <f t="shared" si="134"/>
        <v>0</v>
      </c>
      <c r="AM39" s="331">
        <f t="shared" si="134"/>
        <v>0</v>
      </c>
      <c r="AN39" s="331">
        <f t="shared" si="134"/>
        <v>0</v>
      </c>
      <c r="AO39" s="331">
        <f t="shared" si="134"/>
        <v>0</v>
      </c>
      <c r="AP39" s="331">
        <f t="shared" si="134"/>
        <v>0</v>
      </c>
      <c r="AQ39" s="331">
        <f t="shared" si="134"/>
        <v>0</v>
      </c>
      <c r="AR39" s="331">
        <f t="shared" si="134"/>
        <v>0</v>
      </c>
      <c r="AS39" s="331">
        <f t="shared" si="134"/>
        <v>0</v>
      </c>
      <c r="AT39" s="331">
        <f t="shared" si="134"/>
        <v>0</v>
      </c>
      <c r="AU39" s="331">
        <f t="shared" si="134"/>
        <v>0</v>
      </c>
      <c r="AV39" s="331">
        <f t="shared" si="134"/>
        <v>0</v>
      </c>
      <c r="AW39" s="331">
        <f t="shared" si="134"/>
        <v>0</v>
      </c>
      <c r="AX39" s="331">
        <f t="shared" si="134"/>
        <v>0</v>
      </c>
      <c r="AY39" s="331">
        <f t="shared" si="134"/>
        <v>0</v>
      </c>
      <c r="AZ39" s="331">
        <f t="shared" si="134"/>
        <v>0</v>
      </c>
      <c r="BA39" s="331">
        <f t="shared" si="134"/>
        <v>0</v>
      </c>
      <c r="BB39" s="331">
        <f t="shared" si="134"/>
        <v>0</v>
      </c>
      <c r="BC39" s="331">
        <f t="shared" si="134"/>
        <v>0</v>
      </c>
      <c r="BD39" s="331">
        <f t="shared" si="134"/>
        <v>0</v>
      </c>
      <c r="BE39" s="331">
        <f t="shared" si="134"/>
        <v>0</v>
      </c>
      <c r="BF39" s="331">
        <f t="shared" si="134"/>
        <v>0</v>
      </c>
      <c r="BG39" s="331">
        <f t="shared" si="134"/>
        <v>0</v>
      </c>
      <c r="BH39" s="331">
        <f t="shared" si="134"/>
        <v>0</v>
      </c>
      <c r="BI39" s="331">
        <f t="shared" si="134"/>
        <v>0</v>
      </c>
      <c r="BJ39" s="331">
        <f t="shared" si="134"/>
        <v>0</v>
      </c>
      <c r="BK39" s="331">
        <f t="shared" si="134"/>
        <v>0</v>
      </c>
      <c r="BL39" s="331">
        <f t="shared" si="134"/>
        <v>0</v>
      </c>
      <c r="BM39" s="331">
        <f t="shared" si="134"/>
        <v>0</v>
      </c>
      <c r="BN39" s="331">
        <f t="shared" si="134"/>
        <v>0</v>
      </c>
      <c r="BO39" s="331">
        <f t="shared" si="134"/>
        <v>0</v>
      </c>
      <c r="BP39" s="331">
        <f t="shared" si="134"/>
        <v>0</v>
      </c>
      <c r="BQ39" s="331">
        <f t="shared" si="134"/>
        <v>0</v>
      </c>
      <c r="BR39" s="331">
        <f t="shared" ref="BR39:DS39" si="135">+SUM(BR40:BR42)</f>
        <v>0</v>
      </c>
      <c r="BS39" s="331">
        <f t="shared" si="135"/>
        <v>0</v>
      </c>
      <c r="BT39" s="331">
        <f t="shared" si="135"/>
        <v>0</v>
      </c>
      <c r="BU39" s="331">
        <f t="shared" si="135"/>
        <v>0</v>
      </c>
      <c r="BV39" s="331">
        <f t="shared" si="135"/>
        <v>0</v>
      </c>
      <c r="BW39" s="331">
        <f t="shared" si="135"/>
        <v>0</v>
      </c>
      <c r="BX39" s="331">
        <f t="shared" si="135"/>
        <v>0</v>
      </c>
      <c r="BY39" s="331">
        <f t="shared" si="135"/>
        <v>0</v>
      </c>
      <c r="BZ39" s="331">
        <f t="shared" si="135"/>
        <v>0</v>
      </c>
      <c r="CA39" s="331">
        <f t="shared" si="135"/>
        <v>0</v>
      </c>
      <c r="CB39" s="331">
        <f t="shared" si="135"/>
        <v>0</v>
      </c>
      <c r="CC39" s="331">
        <f t="shared" si="135"/>
        <v>0</v>
      </c>
      <c r="CD39" s="331">
        <f t="shared" si="135"/>
        <v>0</v>
      </c>
      <c r="CE39" s="331">
        <f t="shared" si="135"/>
        <v>0</v>
      </c>
      <c r="CF39" s="331">
        <f t="shared" si="135"/>
        <v>0</v>
      </c>
      <c r="CG39" s="331">
        <f t="shared" si="135"/>
        <v>0</v>
      </c>
      <c r="CH39" s="331">
        <f t="shared" si="135"/>
        <v>0</v>
      </c>
      <c r="CI39" s="331">
        <f t="shared" si="135"/>
        <v>0</v>
      </c>
      <c r="CJ39" s="331">
        <f t="shared" si="135"/>
        <v>0</v>
      </c>
      <c r="CK39" s="331">
        <f t="shared" si="135"/>
        <v>0</v>
      </c>
      <c r="CL39" s="331">
        <f t="shared" si="135"/>
        <v>0</v>
      </c>
      <c r="CM39" s="331">
        <f t="shared" si="135"/>
        <v>0</v>
      </c>
      <c r="CN39" s="331">
        <f t="shared" si="135"/>
        <v>0</v>
      </c>
      <c r="CO39" s="331">
        <f t="shared" si="135"/>
        <v>0</v>
      </c>
      <c r="CP39" s="331">
        <f t="shared" si="135"/>
        <v>0</v>
      </c>
      <c r="CQ39" s="331">
        <f t="shared" si="135"/>
        <v>0</v>
      </c>
      <c r="CR39" s="331">
        <f t="shared" si="135"/>
        <v>0</v>
      </c>
      <c r="CS39" s="331">
        <f t="shared" si="135"/>
        <v>0</v>
      </c>
      <c r="CT39" s="331">
        <f t="shared" si="135"/>
        <v>0</v>
      </c>
      <c r="CU39" s="331">
        <f t="shared" si="135"/>
        <v>0</v>
      </c>
      <c r="CV39" s="331">
        <f t="shared" si="135"/>
        <v>0</v>
      </c>
      <c r="CW39" s="331">
        <f t="shared" si="135"/>
        <v>0</v>
      </c>
      <c r="CX39" s="331">
        <f t="shared" si="135"/>
        <v>0</v>
      </c>
      <c r="CY39" s="331">
        <f t="shared" si="135"/>
        <v>0</v>
      </c>
      <c r="CZ39" s="331">
        <f t="shared" si="135"/>
        <v>0</v>
      </c>
      <c r="DA39" s="331">
        <f t="shared" si="135"/>
        <v>0</v>
      </c>
      <c r="DB39" s="331">
        <f t="shared" si="135"/>
        <v>0</v>
      </c>
      <c r="DC39" s="331">
        <f t="shared" si="135"/>
        <v>0</v>
      </c>
      <c r="DD39" s="331">
        <f t="shared" si="135"/>
        <v>0</v>
      </c>
      <c r="DE39" s="331">
        <f t="shared" si="135"/>
        <v>0</v>
      </c>
      <c r="DF39" s="331">
        <f t="shared" si="135"/>
        <v>0</v>
      </c>
      <c r="DG39" s="331">
        <f t="shared" si="135"/>
        <v>0</v>
      </c>
      <c r="DH39" s="331">
        <f t="shared" si="135"/>
        <v>0</v>
      </c>
      <c r="DI39" s="331">
        <f t="shared" si="135"/>
        <v>0</v>
      </c>
      <c r="DJ39" s="331">
        <f t="shared" si="135"/>
        <v>0</v>
      </c>
      <c r="DK39" s="331">
        <f t="shared" si="135"/>
        <v>0</v>
      </c>
      <c r="DL39" s="331">
        <f t="shared" si="135"/>
        <v>0</v>
      </c>
      <c r="DM39" s="331">
        <f t="shared" si="135"/>
        <v>0</v>
      </c>
      <c r="DN39" s="331">
        <f t="shared" si="135"/>
        <v>0</v>
      </c>
      <c r="DO39" s="331">
        <f t="shared" si="135"/>
        <v>0</v>
      </c>
      <c r="DP39" s="331">
        <f t="shared" si="135"/>
        <v>0</v>
      </c>
      <c r="DQ39" s="331">
        <f t="shared" si="135"/>
        <v>0</v>
      </c>
      <c r="DR39" s="331">
        <f t="shared" si="135"/>
        <v>0</v>
      </c>
      <c r="DS39" s="331">
        <f t="shared" si="135"/>
        <v>0</v>
      </c>
    </row>
    <row r="40" thickTop="1">
      <c r="A40" s="335" t="s">
        <v>1326</v>
      </c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44"/>
      <c r="U40" s="144"/>
      <c r="V40" s="144"/>
      <c r="W40" s="144"/>
      <c r="X40" s="144"/>
      <c r="Y40" s="144"/>
      <c r="Z40" s="144"/>
      <c r="AA40" s="144"/>
      <c r="AB40" s="144"/>
      <c r="AC40" s="144"/>
      <c r="AD40" s="144"/>
      <c r="AE40" s="144"/>
      <c r="AF40" s="144"/>
      <c r="AG40" s="144"/>
      <c r="AH40" s="144"/>
      <c r="AI40" s="144"/>
      <c r="AJ40" s="144"/>
      <c r="AK40" s="144"/>
      <c r="AL40" s="144"/>
      <c r="AM40" s="144"/>
      <c r="AN40" s="144"/>
      <c r="AO40" s="144"/>
      <c r="AP40" s="144"/>
      <c r="AQ40" s="144"/>
      <c r="AR40" s="144"/>
      <c r="AS40" s="144"/>
      <c r="AT40" s="144"/>
      <c r="AU40" s="144"/>
      <c r="AV40" s="144"/>
      <c r="AW40" s="144"/>
      <c r="AX40" s="144"/>
      <c r="AY40" s="144"/>
      <c r="AZ40" s="144"/>
      <c r="BA40" s="144"/>
      <c r="BB40" s="144"/>
      <c r="BC40" s="144"/>
      <c r="BD40" s="144"/>
      <c r="BE40" s="144"/>
      <c r="BF40" s="144"/>
      <c r="BG40" s="144"/>
      <c r="BH40" s="144"/>
      <c r="BI40" s="144"/>
      <c r="BJ40" s="144"/>
      <c r="BK40" s="144"/>
      <c r="BL40" s="144"/>
      <c r="BM40" s="144"/>
      <c r="BN40" s="144"/>
      <c r="BO40" s="144"/>
      <c r="BP40" s="144"/>
      <c r="BQ40" s="144"/>
      <c r="BR40" s="144"/>
      <c r="BS40" s="144"/>
      <c r="BT40" s="144"/>
      <c r="BU40" s="144"/>
      <c r="BV40" s="144"/>
      <c r="BW40" s="144"/>
      <c r="BX40" s="144"/>
      <c r="BY40" s="144"/>
      <c r="BZ40" s="144"/>
      <c r="CA40" s="144"/>
      <c r="CB40" s="144"/>
      <c r="CC40" s="144"/>
      <c r="CD40" s="144"/>
      <c r="CE40" s="144"/>
      <c r="CF40" s="144"/>
      <c r="CG40" s="144"/>
      <c r="CH40" s="144"/>
      <c r="CI40" s="144"/>
      <c r="CJ40" s="144"/>
      <c r="CK40" s="144"/>
      <c r="CL40" s="144"/>
      <c r="CM40" s="144"/>
      <c r="CN40" s="144"/>
      <c r="CO40" s="144"/>
      <c r="CP40" s="144"/>
      <c r="CQ40" s="144"/>
      <c r="CR40" s="144"/>
      <c r="CS40" s="144"/>
      <c r="CT40" s="144"/>
      <c r="CU40" s="144"/>
      <c r="CV40" s="144"/>
      <c r="CW40" s="144"/>
      <c r="CX40" s="144"/>
      <c r="CY40" s="144"/>
      <c r="CZ40" s="144"/>
      <c r="DA40" s="144"/>
      <c r="DB40" s="144"/>
      <c r="DC40" s="144"/>
      <c r="DD40" s="144"/>
      <c r="DE40" s="144"/>
      <c r="DF40" s="144"/>
      <c r="DG40" s="144"/>
      <c r="DH40" s="144"/>
      <c r="DI40" s="144"/>
      <c r="DJ40" s="144"/>
      <c r="DK40" s="144"/>
      <c r="DL40" s="144"/>
      <c r="DM40" s="144"/>
      <c r="DN40" s="144"/>
      <c r="DO40" s="144"/>
      <c r="DP40" s="144"/>
      <c r="DQ40" s="144"/>
      <c r="DR40" s="144"/>
      <c r="DS40" s="144"/>
    </row>
    <row r="41" ht="14.5">
      <c r="A41" s="335" t="s">
        <v>1327</v>
      </c>
      <c r="C41" s="144"/>
      <c r="D41" s="144"/>
      <c r="E41" s="144"/>
      <c r="F41" s="144"/>
      <c r="G41" s="144"/>
      <c r="H41" s="144"/>
      <c r="I41" s="144"/>
      <c r="J41" s="144"/>
      <c r="K41" s="144"/>
      <c r="L41" s="144"/>
      <c r="M41" s="144"/>
      <c r="N41" s="144"/>
      <c r="O41" s="144"/>
      <c r="P41" s="144"/>
      <c r="Q41" s="144"/>
      <c r="R41" s="144"/>
      <c r="S41" s="144"/>
      <c r="T41" s="144"/>
      <c r="U41" s="144"/>
      <c r="V41" s="144"/>
      <c r="W41" s="144"/>
      <c r="X41" s="144"/>
      <c r="Y41" s="144"/>
      <c r="Z41" s="144"/>
      <c r="AA41" s="144"/>
      <c r="AB41" s="144"/>
      <c r="AC41" s="144"/>
      <c r="AD41" s="144"/>
      <c r="AE41" s="144"/>
      <c r="AF41" s="144"/>
      <c r="AG41" s="144"/>
      <c r="AH41" s="144"/>
      <c r="AI41" s="144"/>
      <c r="AJ41" s="144"/>
      <c r="AK41" s="144"/>
      <c r="AL41" s="144"/>
      <c r="AM41" s="144"/>
      <c r="AN41" s="144"/>
      <c r="AO41" s="144"/>
      <c r="AP41" s="144"/>
      <c r="AQ41" s="144"/>
      <c r="AR41" s="144"/>
      <c r="AS41" s="144"/>
      <c r="AT41" s="144"/>
      <c r="AU41" s="144"/>
      <c r="AV41" s="144"/>
      <c r="AW41" s="144"/>
      <c r="AX41" s="144"/>
      <c r="AY41" s="144"/>
      <c r="AZ41" s="144"/>
      <c r="BA41" s="144"/>
      <c r="BB41" s="144"/>
      <c r="BC41" s="144"/>
      <c r="BD41" s="144"/>
      <c r="BE41" s="144"/>
      <c r="BF41" s="144"/>
      <c r="BG41" s="144"/>
      <c r="BH41" s="144"/>
      <c r="BI41" s="144"/>
      <c r="BJ41" s="144"/>
      <c r="BK41" s="144"/>
      <c r="BL41" s="144"/>
      <c r="BM41" s="144"/>
      <c r="BN41" s="144"/>
      <c r="BO41" s="144"/>
      <c r="BP41" s="144"/>
      <c r="BQ41" s="144"/>
      <c r="BR41" s="144"/>
      <c r="BS41" s="144"/>
      <c r="BT41" s="144"/>
      <c r="BU41" s="144"/>
      <c r="BV41" s="144"/>
      <c r="BW41" s="144"/>
      <c r="BX41" s="144"/>
      <c r="BY41" s="144"/>
      <c r="BZ41" s="144"/>
      <c r="CA41" s="144"/>
      <c r="CB41" s="144"/>
      <c r="CC41" s="144"/>
      <c r="CD41" s="144"/>
      <c r="CE41" s="144"/>
      <c r="CF41" s="144"/>
      <c r="CG41" s="144"/>
      <c r="CH41" s="144"/>
      <c r="CI41" s="144"/>
      <c r="CJ41" s="144"/>
      <c r="CK41" s="144"/>
      <c r="CL41" s="144"/>
      <c r="CM41" s="144"/>
      <c r="CN41" s="144"/>
      <c r="CO41" s="144"/>
      <c r="CP41" s="144"/>
      <c r="CQ41" s="144"/>
      <c r="CR41" s="144"/>
      <c r="CS41" s="144"/>
      <c r="CT41" s="144"/>
      <c r="CU41" s="144"/>
      <c r="CV41" s="144"/>
      <c r="CW41" s="144"/>
      <c r="CX41" s="144"/>
      <c r="CY41" s="144"/>
      <c r="CZ41" s="144"/>
      <c r="DA41" s="144"/>
      <c r="DB41" s="144"/>
      <c r="DC41" s="144"/>
      <c r="DD41" s="144"/>
      <c r="DE41" s="144"/>
      <c r="DF41" s="144"/>
      <c r="DG41" s="144"/>
      <c r="DH41" s="144"/>
      <c r="DI41" s="144"/>
      <c r="DJ41" s="144"/>
      <c r="DK41" s="144"/>
      <c r="DL41" s="144"/>
      <c r="DM41" s="144"/>
      <c r="DN41" s="144"/>
      <c r="DO41" s="144"/>
      <c r="DP41" s="144"/>
      <c r="DQ41" s="144"/>
      <c r="DR41" s="144"/>
      <c r="DS41" s="144"/>
    </row>
    <row r="42" thickBot="1">
      <c r="A42" s="335" t="s">
        <v>1328</v>
      </c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44"/>
      <c r="V42" s="144"/>
      <c r="W42" s="144"/>
      <c r="X42" s="144"/>
      <c r="Y42" s="144"/>
      <c r="Z42" s="144"/>
      <c r="AA42" s="144"/>
      <c r="AB42" s="144"/>
      <c r="AC42" s="144"/>
      <c r="AD42" s="144"/>
      <c r="AE42" s="144"/>
      <c r="AF42" s="144"/>
      <c r="AG42" s="144"/>
      <c r="AH42" s="144"/>
      <c r="AI42" s="144"/>
      <c r="AJ42" s="144"/>
      <c r="AK42" s="144"/>
      <c r="AL42" s="144"/>
      <c r="AM42" s="144"/>
      <c r="AN42" s="144"/>
      <c r="AO42" s="144"/>
      <c r="AP42" s="144"/>
      <c r="AQ42" s="144"/>
      <c r="AR42" s="144"/>
      <c r="AS42" s="144"/>
      <c r="AT42" s="144"/>
      <c r="AU42" s="144"/>
      <c r="AV42" s="144"/>
      <c r="AW42" s="144"/>
      <c r="AX42" s="144"/>
      <c r="AY42" s="144"/>
      <c r="AZ42" s="144"/>
      <c r="BA42" s="144"/>
      <c r="BB42" s="144"/>
      <c r="BC42" s="144"/>
      <c r="BD42" s="144"/>
      <c r="BE42" s="144"/>
      <c r="BF42" s="144"/>
      <c r="BG42" s="144"/>
      <c r="BH42" s="144"/>
      <c r="BI42" s="144"/>
      <c r="BJ42" s="144"/>
      <c r="BK42" s="144"/>
      <c r="BL42" s="144"/>
      <c r="BM42" s="144"/>
      <c r="BN42" s="144"/>
      <c r="BO42" s="144"/>
      <c r="BP42" s="144"/>
      <c r="BQ42" s="144"/>
      <c r="BR42" s="144"/>
      <c r="BS42" s="144"/>
      <c r="BT42" s="144"/>
      <c r="BU42" s="144"/>
      <c r="BV42" s="144"/>
      <c r="BW42" s="144"/>
      <c r="BX42" s="144"/>
      <c r="BY42" s="144"/>
      <c r="BZ42" s="144"/>
      <c r="CA42" s="144"/>
      <c r="CB42" s="144"/>
      <c r="CC42" s="144"/>
      <c r="CD42" s="144"/>
      <c r="CE42" s="144"/>
      <c r="CF42" s="144"/>
      <c r="CG42" s="144"/>
      <c r="CH42" s="144"/>
      <c r="CI42" s="144"/>
      <c r="CJ42" s="144"/>
      <c r="CK42" s="144"/>
      <c r="CL42" s="144"/>
      <c r="CM42" s="144"/>
      <c r="CN42" s="144"/>
      <c r="CO42" s="144"/>
      <c r="CP42" s="144"/>
      <c r="CQ42" s="144"/>
      <c r="CR42" s="144"/>
      <c r="CS42" s="144"/>
      <c r="CT42" s="144"/>
      <c r="CU42" s="144"/>
      <c r="CV42" s="144"/>
      <c r="CW42" s="144"/>
      <c r="CX42" s="144"/>
      <c r="CY42" s="144"/>
      <c r="CZ42" s="144"/>
      <c r="DA42" s="144"/>
      <c r="DB42" s="144"/>
      <c r="DC42" s="144"/>
      <c r="DD42" s="144"/>
      <c r="DE42" s="144"/>
      <c r="DF42" s="144"/>
      <c r="DG42" s="144"/>
      <c r="DH42" s="144"/>
      <c r="DI42" s="144"/>
      <c r="DJ42" s="144"/>
      <c r="DK42" s="144"/>
      <c r="DL42" s="144"/>
      <c r="DM42" s="144"/>
      <c r="DN42" s="144"/>
      <c r="DO42" s="144"/>
      <c r="DP42" s="144"/>
      <c r="DQ42" s="144"/>
      <c r="DR42" s="144"/>
      <c r="DS42" s="144"/>
    </row>
    <row r="43" thickTop="1" thickBot="1" ht="18.75" customHeight="1">
      <c r="A43" s="293" t="s">
        <v>1329</v>
      </c>
      <c r="B43" s="294"/>
      <c r="C43" s="295">
        <f>+C35-C39+C33</f>
        <v>0</v>
      </c>
      <c r="D43" s="295">
        <f t="shared" ref="D43:BO43" si="136">+D35-D39+D33</f>
        <v>0</v>
      </c>
      <c r="E43" s="295">
        <f t="shared" si="136"/>
        <v>0</v>
      </c>
      <c r="F43" s="295">
        <f t="shared" si="136"/>
        <v>0</v>
      </c>
      <c r="G43" s="295">
        <f t="shared" si="136"/>
        <v>0</v>
      </c>
      <c r="H43" s="295">
        <f t="shared" si="136"/>
        <v>0</v>
      </c>
      <c r="I43" s="295">
        <f t="shared" si="136"/>
        <v>0</v>
      </c>
      <c r="J43" s="295">
        <f t="shared" si="136"/>
        <v>0</v>
      </c>
      <c r="K43" s="295">
        <f t="shared" si="136"/>
        <v>0</v>
      </c>
      <c r="L43" s="295">
        <f t="shared" si="136"/>
        <v>0</v>
      </c>
      <c r="M43" s="295">
        <f t="shared" si="136"/>
        <v>0</v>
      </c>
      <c r="N43" s="295">
        <f t="shared" si="136"/>
        <v>0</v>
      </c>
      <c r="O43" s="295">
        <f t="shared" si="136"/>
        <v>0</v>
      </c>
      <c r="P43" s="295">
        <f t="shared" si="136"/>
        <v>0</v>
      </c>
      <c r="Q43" s="295">
        <f t="shared" si="136"/>
        <v>0</v>
      </c>
      <c r="R43" s="295">
        <f t="shared" si="136"/>
        <v>0</v>
      </c>
      <c r="S43" s="295">
        <f t="shared" si="136"/>
        <v>0</v>
      </c>
      <c r="T43" s="295">
        <f t="shared" si="136"/>
        <v>0</v>
      </c>
      <c r="U43" s="295">
        <f t="shared" si="136"/>
        <v>0</v>
      </c>
      <c r="V43" s="295">
        <f t="shared" si="136"/>
        <v>0</v>
      </c>
      <c r="W43" s="295">
        <f t="shared" si="136"/>
        <v>0</v>
      </c>
      <c r="X43" s="295">
        <f t="shared" si="136"/>
        <v>0</v>
      </c>
      <c r="Y43" s="295">
        <f t="shared" si="136"/>
        <v>0</v>
      </c>
      <c r="Z43" s="295">
        <f t="shared" si="136"/>
        <v>0</v>
      </c>
      <c r="AA43" s="295">
        <f t="shared" si="136"/>
        <v>0</v>
      </c>
      <c r="AB43" s="295">
        <f t="shared" si="136"/>
        <v>0</v>
      </c>
      <c r="AC43" s="295">
        <f t="shared" si="136"/>
        <v>0</v>
      </c>
      <c r="AD43" s="295">
        <f t="shared" si="136"/>
        <v>0</v>
      </c>
      <c r="AE43" s="295">
        <f t="shared" si="136"/>
        <v>0</v>
      </c>
      <c r="AF43" s="295">
        <f t="shared" si="136"/>
        <v>0</v>
      </c>
      <c r="AG43" s="295">
        <f t="shared" si="136"/>
        <v>0</v>
      </c>
      <c r="AH43" s="295">
        <f t="shared" si="136"/>
        <v>0</v>
      </c>
      <c r="AI43" s="295">
        <f t="shared" si="136"/>
        <v>0</v>
      </c>
      <c r="AJ43" s="295">
        <f t="shared" si="136"/>
        <v>0</v>
      </c>
      <c r="AK43" s="295">
        <f t="shared" si="136"/>
        <v>0</v>
      </c>
      <c r="AL43" s="295">
        <f t="shared" si="136"/>
        <v>0</v>
      </c>
      <c r="AM43" s="295">
        <f t="shared" si="136"/>
        <v>0</v>
      </c>
      <c r="AN43" s="295">
        <f t="shared" si="136"/>
        <v>0</v>
      </c>
      <c r="AO43" s="295">
        <f t="shared" si="136"/>
        <v>0</v>
      </c>
      <c r="AP43" s="295">
        <f t="shared" si="136"/>
        <v>0</v>
      </c>
      <c r="AQ43" s="295">
        <f t="shared" si="136"/>
        <v>0</v>
      </c>
      <c r="AR43" s="295">
        <f t="shared" si="136"/>
        <v>0</v>
      </c>
      <c r="AS43" s="295">
        <f t="shared" si="136"/>
        <v>0</v>
      </c>
      <c r="AT43" s="295">
        <f t="shared" si="136"/>
        <v>0</v>
      </c>
      <c r="AU43" s="295">
        <f t="shared" si="136"/>
        <v>0</v>
      </c>
      <c r="AV43" s="295">
        <f t="shared" si="136"/>
        <v>0</v>
      </c>
      <c r="AW43" s="295">
        <f t="shared" si="136"/>
        <v>0</v>
      </c>
      <c r="AX43" s="295">
        <f t="shared" si="136"/>
        <v>0</v>
      </c>
      <c r="AY43" s="295">
        <f t="shared" si="136"/>
        <v>0</v>
      </c>
      <c r="AZ43" s="295">
        <f t="shared" si="136"/>
        <v>0</v>
      </c>
      <c r="BA43" s="295">
        <f t="shared" si="136"/>
        <v>0</v>
      </c>
      <c r="BB43" s="295">
        <f t="shared" si="136"/>
        <v>0</v>
      </c>
      <c r="BC43" s="295">
        <f t="shared" si="136"/>
        <v>0</v>
      </c>
      <c r="BD43" s="295">
        <f t="shared" si="136"/>
        <v>0</v>
      </c>
      <c r="BE43" s="295">
        <f t="shared" si="136"/>
        <v>0</v>
      </c>
      <c r="BF43" s="295">
        <f t="shared" si="136"/>
        <v>0</v>
      </c>
      <c r="BG43" s="295">
        <f t="shared" si="136"/>
        <v>0</v>
      </c>
      <c r="BH43" s="295">
        <f t="shared" si="136"/>
        <v>0</v>
      </c>
      <c r="BI43" s="295">
        <f t="shared" si="136"/>
        <v>0</v>
      </c>
      <c r="BJ43" s="295">
        <f t="shared" si="136"/>
        <v>0</v>
      </c>
      <c r="BK43" s="295">
        <f t="shared" si="136"/>
        <v>0</v>
      </c>
      <c r="BL43" s="295">
        <f t="shared" si="136"/>
        <v>0</v>
      </c>
      <c r="BM43" s="295">
        <f t="shared" si="136"/>
        <v>0</v>
      </c>
      <c r="BN43" s="295">
        <f t="shared" si="136"/>
        <v>0</v>
      </c>
      <c r="BO43" s="295">
        <f t="shared" si="136"/>
        <v>0</v>
      </c>
      <c r="BP43" s="295">
        <f t="shared" ref="BP43:DS43" si="137">+BP35-BP39+BP33</f>
        <v>0</v>
      </c>
      <c r="BQ43" s="295">
        <f t="shared" si="137"/>
        <v>0</v>
      </c>
      <c r="BR43" s="295">
        <f t="shared" si="137"/>
        <v>0</v>
      </c>
      <c r="BS43" s="295">
        <f t="shared" si="137"/>
        <v>0</v>
      </c>
      <c r="BT43" s="295">
        <f t="shared" si="137"/>
        <v>0</v>
      </c>
      <c r="BU43" s="295">
        <f t="shared" si="137"/>
        <v>0</v>
      </c>
      <c r="BV43" s="295">
        <f t="shared" si="137"/>
        <v>0</v>
      </c>
      <c r="BW43" s="295">
        <f t="shared" si="137"/>
        <v>0</v>
      </c>
      <c r="BX43" s="295">
        <f t="shared" si="137"/>
        <v>0</v>
      </c>
      <c r="BY43" s="295">
        <f t="shared" si="137"/>
        <v>0</v>
      </c>
      <c r="BZ43" s="295">
        <f t="shared" si="137"/>
        <v>0</v>
      </c>
      <c r="CA43" s="295">
        <f t="shared" si="137"/>
        <v>0</v>
      </c>
      <c r="CB43" s="295">
        <f t="shared" si="137"/>
        <v>0</v>
      </c>
      <c r="CC43" s="295">
        <f t="shared" si="137"/>
        <v>0</v>
      </c>
      <c r="CD43" s="295">
        <f t="shared" si="137"/>
        <v>0</v>
      </c>
      <c r="CE43" s="295">
        <f t="shared" si="137"/>
        <v>0</v>
      </c>
      <c r="CF43" s="295">
        <f t="shared" si="137"/>
        <v>0</v>
      </c>
      <c r="CG43" s="295">
        <f t="shared" si="137"/>
        <v>0</v>
      </c>
      <c r="CH43" s="295">
        <f t="shared" si="137"/>
        <v>0</v>
      </c>
      <c r="CI43" s="295">
        <f t="shared" si="137"/>
        <v>0</v>
      </c>
      <c r="CJ43" s="295">
        <f t="shared" si="137"/>
        <v>0</v>
      </c>
      <c r="CK43" s="295">
        <f t="shared" si="137"/>
        <v>0</v>
      </c>
      <c r="CL43" s="295">
        <f t="shared" si="137"/>
        <v>0</v>
      </c>
      <c r="CM43" s="295">
        <f t="shared" si="137"/>
        <v>0</v>
      </c>
      <c r="CN43" s="295">
        <f t="shared" si="137"/>
        <v>0</v>
      </c>
      <c r="CO43" s="295">
        <f t="shared" si="137"/>
        <v>0</v>
      </c>
      <c r="CP43" s="295">
        <f t="shared" si="137"/>
        <v>0</v>
      </c>
      <c r="CQ43" s="295">
        <f t="shared" si="137"/>
        <v>0</v>
      </c>
      <c r="CR43" s="295">
        <f t="shared" si="137"/>
        <v>0</v>
      </c>
      <c r="CS43" s="295">
        <f t="shared" si="137"/>
        <v>0</v>
      </c>
      <c r="CT43" s="295">
        <f t="shared" si="137"/>
        <v>0</v>
      </c>
      <c r="CU43" s="295">
        <f t="shared" si="137"/>
        <v>0</v>
      </c>
      <c r="CV43" s="295">
        <f t="shared" si="137"/>
        <v>0</v>
      </c>
      <c r="CW43" s="295">
        <f t="shared" si="137"/>
        <v>0</v>
      </c>
      <c r="CX43" s="295">
        <f t="shared" si="137"/>
        <v>0</v>
      </c>
      <c r="CY43" s="295">
        <f t="shared" si="137"/>
        <v>0</v>
      </c>
      <c r="CZ43" s="295">
        <f t="shared" si="137"/>
        <v>0</v>
      </c>
      <c r="DA43" s="295">
        <f t="shared" si="137"/>
        <v>0</v>
      </c>
      <c r="DB43" s="295">
        <f t="shared" si="137"/>
        <v>0</v>
      </c>
      <c r="DC43" s="295">
        <f t="shared" si="137"/>
        <v>0</v>
      </c>
      <c r="DD43" s="295">
        <f t="shared" si="137"/>
        <v>0</v>
      </c>
      <c r="DE43" s="295">
        <f t="shared" si="137"/>
        <v>0</v>
      </c>
      <c r="DF43" s="295">
        <f t="shared" si="137"/>
        <v>0</v>
      </c>
      <c r="DG43" s="295">
        <f t="shared" si="137"/>
        <v>0</v>
      </c>
      <c r="DH43" s="295">
        <f t="shared" si="137"/>
        <v>0</v>
      </c>
      <c r="DI43" s="295">
        <f t="shared" si="137"/>
        <v>0</v>
      </c>
      <c r="DJ43" s="295">
        <f t="shared" si="137"/>
        <v>0</v>
      </c>
      <c r="DK43" s="295">
        <f t="shared" si="137"/>
        <v>0</v>
      </c>
      <c r="DL43" s="295">
        <f t="shared" si="137"/>
        <v>0</v>
      </c>
      <c r="DM43" s="295">
        <f t="shared" si="137"/>
        <v>0</v>
      </c>
      <c r="DN43" s="295">
        <f t="shared" si="137"/>
        <v>0</v>
      </c>
      <c r="DO43" s="295">
        <f t="shared" si="137"/>
        <v>0</v>
      </c>
      <c r="DP43" s="295">
        <f t="shared" si="137"/>
        <v>0</v>
      </c>
      <c r="DQ43" s="295">
        <f t="shared" si="137"/>
        <v>0</v>
      </c>
      <c r="DR43" s="295">
        <f t="shared" si="137"/>
        <v>0</v>
      </c>
      <c r="DS43" s="295">
        <f t="shared" si="137"/>
        <v>0</v>
      </c>
    </row>
    <row r="44" thickTop="1" thickBot="1" ht="15.5">
      <c r="A44" s="325"/>
      <c r="B44" s="336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  <c r="AK44" s="144"/>
      <c r="AL44" s="144"/>
      <c r="AM44" s="144"/>
      <c r="AN44" s="144"/>
      <c r="AO44" s="144"/>
      <c r="AP44" s="144"/>
      <c r="AQ44" s="144"/>
      <c r="AR44" s="144"/>
      <c r="AS44" s="144"/>
      <c r="AT44" s="144"/>
      <c r="AU44" s="144"/>
      <c r="AV44" s="144"/>
      <c r="AW44" s="144"/>
      <c r="AX44" s="144"/>
      <c r="AY44" s="144"/>
      <c r="AZ44" s="144"/>
      <c r="BA44" s="144"/>
      <c r="BB44" s="144"/>
      <c r="BC44" s="144"/>
      <c r="BD44" s="144"/>
      <c r="BE44" s="144"/>
      <c r="BF44" s="144"/>
      <c r="BG44" s="144"/>
      <c r="BH44" s="144"/>
      <c r="BI44" s="144"/>
      <c r="BJ44" s="144"/>
      <c r="BK44" s="144"/>
      <c r="BL44" s="144"/>
      <c r="BM44" s="144"/>
      <c r="BN44" s="144"/>
      <c r="BO44" s="144"/>
      <c r="BP44" s="144"/>
      <c r="BQ44" s="144"/>
      <c r="BR44" s="144"/>
      <c r="BS44" s="144"/>
      <c r="BT44" s="144"/>
      <c r="BU44" s="144"/>
      <c r="BV44" s="144"/>
      <c r="BW44" s="144"/>
      <c r="BX44" s="144"/>
      <c r="BY44" s="144"/>
      <c r="BZ44" s="144"/>
      <c r="CA44" s="144"/>
      <c r="CB44" s="144"/>
      <c r="CC44" s="144"/>
      <c r="CD44" s="144"/>
      <c r="CE44" s="144"/>
      <c r="CF44" s="144"/>
      <c r="CG44" s="144"/>
      <c r="CH44" s="144"/>
      <c r="CI44" s="144"/>
      <c r="CJ44" s="144"/>
      <c r="CK44" s="144"/>
      <c r="CL44" s="144"/>
      <c r="CM44" s="144"/>
      <c r="CN44" s="144"/>
      <c r="CO44" s="144"/>
      <c r="CP44" s="144"/>
      <c r="CQ44" s="144"/>
      <c r="CR44" s="144"/>
      <c r="CS44" s="144"/>
      <c r="CT44" s="144"/>
      <c r="CU44" s="144"/>
      <c r="CV44" s="144"/>
      <c r="CW44" s="144"/>
      <c r="CX44" s="144"/>
      <c r="CY44" s="144"/>
      <c r="CZ44" s="144"/>
      <c r="DA44" s="144"/>
      <c r="DB44" s="144"/>
      <c r="DC44" s="144"/>
      <c r="DD44" s="144"/>
      <c r="DE44" s="144"/>
      <c r="DF44" s="144"/>
      <c r="DG44" s="144"/>
      <c r="DH44" s="144"/>
      <c r="DI44" s="144"/>
      <c r="DJ44" s="144"/>
      <c r="DK44" s="144"/>
      <c r="DL44" s="144"/>
      <c r="DM44" s="144"/>
      <c r="DN44" s="144"/>
      <c r="DO44" s="144"/>
      <c r="DP44" s="144"/>
      <c r="DQ44" s="144"/>
      <c r="DR44" s="144"/>
      <c r="DS44" s="144"/>
    </row>
    <row r="45" thickTop="1" thickBot="1" s="7" customFormat="1" ht="15.5">
      <c r="A45" s="328" t="s">
        <v>1330</v>
      </c>
      <c r="B45" s="328"/>
      <c r="C45" s="329">
        <f>+SUMIF(Attivo!L115:L120,"Continuità",Attivo!K115:K120)</f>
        <v>0</v>
      </c>
      <c r="D45" s="329">
        <f>+C45</f>
        <v>0</v>
      </c>
      <c r="E45" s="329">
        <f t="shared" ref="E45:BP45" si="138">+D45</f>
        <v>0</v>
      </c>
      <c r="F45" s="329">
        <f t="shared" si="138"/>
        <v>0</v>
      </c>
      <c r="G45" s="329">
        <f t="shared" si="138"/>
        <v>0</v>
      </c>
      <c r="H45" s="329">
        <f t="shared" si="138"/>
        <v>0</v>
      </c>
      <c r="I45" s="329">
        <f t="shared" si="138"/>
        <v>0</v>
      </c>
      <c r="J45" s="329">
        <f t="shared" si="138"/>
        <v>0</v>
      </c>
      <c r="K45" s="329">
        <f t="shared" si="138"/>
        <v>0</v>
      </c>
      <c r="L45" s="329">
        <f t="shared" si="138"/>
        <v>0</v>
      </c>
      <c r="M45" s="329">
        <f t="shared" si="138"/>
        <v>0</v>
      </c>
      <c r="N45" s="329">
        <f t="shared" si="138"/>
        <v>0</v>
      </c>
      <c r="O45" s="329">
        <f t="shared" si="138"/>
        <v>0</v>
      </c>
      <c r="P45" s="329">
        <f t="shared" si="138"/>
        <v>0</v>
      </c>
      <c r="Q45" s="329">
        <f t="shared" si="138"/>
        <v>0</v>
      </c>
      <c r="R45" s="329">
        <f t="shared" si="138"/>
        <v>0</v>
      </c>
      <c r="S45" s="329">
        <f t="shared" si="138"/>
        <v>0</v>
      </c>
      <c r="T45" s="329">
        <f t="shared" si="138"/>
        <v>0</v>
      </c>
      <c r="U45" s="329">
        <f t="shared" si="138"/>
        <v>0</v>
      </c>
      <c r="V45" s="329">
        <f t="shared" si="138"/>
        <v>0</v>
      </c>
      <c r="W45" s="329">
        <f t="shared" si="138"/>
        <v>0</v>
      </c>
      <c r="X45" s="329">
        <f t="shared" si="138"/>
        <v>0</v>
      </c>
      <c r="Y45" s="329">
        <f t="shared" si="138"/>
        <v>0</v>
      </c>
      <c r="Z45" s="329">
        <f t="shared" si="138"/>
        <v>0</v>
      </c>
      <c r="AA45" s="329">
        <f t="shared" si="138"/>
        <v>0</v>
      </c>
      <c r="AB45" s="329">
        <f t="shared" si="138"/>
        <v>0</v>
      </c>
      <c r="AC45" s="329">
        <f t="shared" si="138"/>
        <v>0</v>
      </c>
      <c r="AD45" s="329">
        <f t="shared" si="138"/>
        <v>0</v>
      </c>
      <c r="AE45" s="329">
        <f t="shared" si="138"/>
        <v>0</v>
      </c>
      <c r="AF45" s="329">
        <f t="shared" si="138"/>
        <v>0</v>
      </c>
      <c r="AG45" s="329">
        <f t="shared" si="138"/>
        <v>0</v>
      </c>
      <c r="AH45" s="329">
        <f t="shared" si="138"/>
        <v>0</v>
      </c>
      <c r="AI45" s="329">
        <f t="shared" si="138"/>
        <v>0</v>
      </c>
      <c r="AJ45" s="329">
        <f t="shared" si="138"/>
        <v>0</v>
      </c>
      <c r="AK45" s="329">
        <f t="shared" si="138"/>
        <v>0</v>
      </c>
      <c r="AL45" s="329">
        <f t="shared" si="138"/>
        <v>0</v>
      </c>
      <c r="AM45" s="329">
        <f t="shared" si="138"/>
        <v>0</v>
      </c>
      <c r="AN45" s="329">
        <f t="shared" si="138"/>
        <v>0</v>
      </c>
      <c r="AO45" s="329">
        <f t="shared" si="138"/>
        <v>0</v>
      </c>
      <c r="AP45" s="329">
        <f t="shared" si="138"/>
        <v>0</v>
      </c>
      <c r="AQ45" s="329">
        <f t="shared" si="138"/>
        <v>0</v>
      </c>
      <c r="AR45" s="329">
        <f t="shared" si="138"/>
        <v>0</v>
      </c>
      <c r="AS45" s="329">
        <f t="shared" si="138"/>
        <v>0</v>
      </c>
      <c r="AT45" s="329">
        <f t="shared" si="138"/>
        <v>0</v>
      </c>
      <c r="AU45" s="329">
        <f t="shared" si="138"/>
        <v>0</v>
      </c>
      <c r="AV45" s="329">
        <f t="shared" si="138"/>
        <v>0</v>
      </c>
      <c r="AW45" s="329">
        <f t="shared" si="138"/>
        <v>0</v>
      </c>
      <c r="AX45" s="329">
        <f t="shared" si="138"/>
        <v>0</v>
      </c>
      <c r="AY45" s="329">
        <f t="shared" si="138"/>
        <v>0</v>
      </c>
      <c r="AZ45" s="329">
        <f t="shared" si="138"/>
        <v>0</v>
      </c>
      <c r="BA45" s="329">
        <f t="shared" si="138"/>
        <v>0</v>
      </c>
      <c r="BB45" s="329">
        <f t="shared" si="138"/>
        <v>0</v>
      </c>
      <c r="BC45" s="329">
        <f t="shared" si="138"/>
        <v>0</v>
      </c>
      <c r="BD45" s="329">
        <f t="shared" si="138"/>
        <v>0</v>
      </c>
      <c r="BE45" s="329">
        <f t="shared" si="138"/>
        <v>0</v>
      </c>
      <c r="BF45" s="329">
        <f t="shared" si="138"/>
        <v>0</v>
      </c>
      <c r="BG45" s="329">
        <f t="shared" si="138"/>
        <v>0</v>
      </c>
      <c r="BH45" s="329">
        <f t="shared" si="138"/>
        <v>0</v>
      </c>
      <c r="BI45" s="329">
        <f t="shared" si="138"/>
        <v>0</v>
      </c>
      <c r="BJ45" s="329">
        <f t="shared" si="138"/>
        <v>0</v>
      </c>
      <c r="BK45" s="329">
        <f t="shared" si="138"/>
        <v>0</v>
      </c>
      <c r="BL45" s="329">
        <f t="shared" si="138"/>
        <v>0</v>
      </c>
      <c r="BM45" s="329">
        <f t="shared" si="138"/>
        <v>0</v>
      </c>
      <c r="BN45" s="329">
        <f t="shared" si="138"/>
        <v>0</v>
      </c>
      <c r="BO45" s="329">
        <f t="shared" si="138"/>
        <v>0</v>
      </c>
      <c r="BP45" s="329">
        <f t="shared" si="138"/>
        <v>0</v>
      </c>
      <c r="BQ45" s="329">
        <f t="shared" ref="BQ45:DS45" si="139">+BP45</f>
        <v>0</v>
      </c>
      <c r="BR45" s="329">
        <f t="shared" si="139"/>
        <v>0</v>
      </c>
      <c r="BS45" s="329">
        <f t="shared" si="139"/>
        <v>0</v>
      </c>
      <c r="BT45" s="329">
        <f t="shared" si="139"/>
        <v>0</v>
      </c>
      <c r="BU45" s="329">
        <f t="shared" si="139"/>
        <v>0</v>
      </c>
      <c r="BV45" s="329">
        <f t="shared" si="139"/>
        <v>0</v>
      </c>
      <c r="BW45" s="329">
        <f t="shared" si="139"/>
        <v>0</v>
      </c>
      <c r="BX45" s="329">
        <f t="shared" si="139"/>
        <v>0</v>
      </c>
      <c r="BY45" s="329">
        <f t="shared" si="139"/>
        <v>0</v>
      </c>
      <c r="BZ45" s="329">
        <f t="shared" si="139"/>
        <v>0</v>
      </c>
      <c r="CA45" s="329">
        <f t="shared" si="139"/>
        <v>0</v>
      </c>
      <c r="CB45" s="329">
        <f t="shared" si="139"/>
        <v>0</v>
      </c>
      <c r="CC45" s="329">
        <f t="shared" si="139"/>
        <v>0</v>
      </c>
      <c r="CD45" s="329">
        <f t="shared" si="139"/>
        <v>0</v>
      </c>
      <c r="CE45" s="329">
        <f t="shared" si="139"/>
        <v>0</v>
      </c>
      <c r="CF45" s="329">
        <f t="shared" si="139"/>
        <v>0</v>
      </c>
      <c r="CG45" s="329">
        <f t="shared" si="139"/>
        <v>0</v>
      </c>
      <c r="CH45" s="329">
        <f t="shared" si="139"/>
        <v>0</v>
      </c>
      <c r="CI45" s="329">
        <f t="shared" si="139"/>
        <v>0</v>
      </c>
      <c r="CJ45" s="329">
        <f t="shared" si="139"/>
        <v>0</v>
      </c>
      <c r="CK45" s="329">
        <f t="shared" si="139"/>
        <v>0</v>
      </c>
      <c r="CL45" s="329">
        <f t="shared" si="139"/>
        <v>0</v>
      </c>
      <c r="CM45" s="329">
        <f t="shared" si="139"/>
        <v>0</v>
      </c>
      <c r="CN45" s="329">
        <f t="shared" si="139"/>
        <v>0</v>
      </c>
      <c r="CO45" s="329">
        <f t="shared" si="139"/>
        <v>0</v>
      </c>
      <c r="CP45" s="329">
        <f t="shared" si="139"/>
        <v>0</v>
      </c>
      <c r="CQ45" s="329">
        <f t="shared" si="139"/>
        <v>0</v>
      </c>
      <c r="CR45" s="329">
        <f t="shared" si="139"/>
        <v>0</v>
      </c>
      <c r="CS45" s="329">
        <f t="shared" si="139"/>
        <v>0</v>
      </c>
      <c r="CT45" s="329">
        <f t="shared" si="139"/>
        <v>0</v>
      </c>
      <c r="CU45" s="329">
        <f t="shared" si="139"/>
        <v>0</v>
      </c>
      <c r="CV45" s="329">
        <f t="shared" si="139"/>
        <v>0</v>
      </c>
      <c r="CW45" s="329">
        <f t="shared" si="139"/>
        <v>0</v>
      </c>
      <c r="CX45" s="329">
        <f t="shared" si="139"/>
        <v>0</v>
      </c>
      <c r="CY45" s="329">
        <f t="shared" si="139"/>
        <v>0</v>
      </c>
      <c r="CZ45" s="329">
        <f t="shared" si="139"/>
        <v>0</v>
      </c>
      <c r="DA45" s="329">
        <f t="shared" si="139"/>
        <v>0</v>
      </c>
      <c r="DB45" s="329">
        <f t="shared" si="139"/>
        <v>0</v>
      </c>
      <c r="DC45" s="329">
        <f t="shared" si="139"/>
        <v>0</v>
      </c>
      <c r="DD45" s="329">
        <f t="shared" si="139"/>
        <v>0</v>
      </c>
      <c r="DE45" s="329">
        <f t="shared" si="139"/>
        <v>0</v>
      </c>
      <c r="DF45" s="329">
        <f t="shared" si="139"/>
        <v>0</v>
      </c>
      <c r="DG45" s="329">
        <f t="shared" si="139"/>
        <v>0</v>
      </c>
      <c r="DH45" s="329">
        <f t="shared" si="139"/>
        <v>0</v>
      </c>
      <c r="DI45" s="329">
        <f t="shared" si="139"/>
        <v>0</v>
      </c>
      <c r="DJ45" s="329">
        <f t="shared" si="139"/>
        <v>0</v>
      </c>
      <c r="DK45" s="329">
        <f t="shared" si="139"/>
        <v>0</v>
      </c>
      <c r="DL45" s="329">
        <f t="shared" si="139"/>
        <v>0</v>
      </c>
      <c r="DM45" s="329">
        <f t="shared" si="139"/>
        <v>0</v>
      </c>
      <c r="DN45" s="329">
        <f t="shared" si="139"/>
        <v>0</v>
      </c>
      <c r="DO45" s="329">
        <f t="shared" si="139"/>
        <v>0</v>
      </c>
      <c r="DP45" s="329">
        <f t="shared" si="139"/>
        <v>0</v>
      </c>
      <c r="DQ45" s="329">
        <f t="shared" si="139"/>
        <v>0</v>
      </c>
      <c r="DR45" s="329">
        <f t="shared" si="139"/>
        <v>0</v>
      </c>
      <c r="DS45" s="329">
        <f t="shared" si="139"/>
        <v>0</v>
      </c>
    </row>
    <row r="46" thickTop="1" thickBot="1" ht="15.5">
      <c r="A46" s="319" t="s">
        <v>1331</v>
      </c>
      <c r="B46" s="326"/>
      <c r="C46" s="144"/>
      <c r="D46" s="144"/>
      <c r="E46" s="144"/>
      <c r="F46" s="144"/>
      <c r="G46" s="144"/>
      <c r="H46" s="144"/>
      <c r="I46" s="144"/>
      <c r="J46" s="144"/>
      <c r="K46" s="144"/>
      <c r="L46" s="144"/>
      <c r="M46" s="144"/>
      <c r="N46" s="144"/>
      <c r="O46" s="144"/>
      <c r="P46" s="144"/>
      <c r="Q46" s="144"/>
      <c r="R46" s="144"/>
      <c r="S46" s="144"/>
      <c r="T46" s="144"/>
      <c r="U46" s="144"/>
      <c r="V46" s="144"/>
      <c r="W46" s="144"/>
      <c r="X46" s="144"/>
      <c r="Y46" s="144"/>
      <c r="Z46" s="144"/>
      <c r="AA46" s="144"/>
      <c r="AB46" s="144"/>
      <c r="AC46" s="144"/>
      <c r="AD46" s="144"/>
      <c r="AE46" s="144"/>
      <c r="AF46" s="144"/>
      <c r="AG46" s="144"/>
      <c r="AH46" s="144"/>
      <c r="AI46" s="144"/>
      <c r="AJ46" s="144"/>
      <c r="AK46" s="144"/>
      <c r="AL46" s="144"/>
      <c r="AM46" s="144"/>
      <c r="AN46" s="144"/>
      <c r="AO46" s="144"/>
      <c r="AP46" s="144"/>
      <c r="AQ46" s="144"/>
      <c r="AR46" s="144"/>
      <c r="AS46" s="144"/>
      <c r="AT46" s="144"/>
      <c r="AU46" s="144"/>
      <c r="AV46" s="144"/>
      <c r="AW46" s="144"/>
      <c r="AX46" s="144"/>
      <c r="AY46" s="144"/>
      <c r="AZ46" s="144"/>
      <c r="BA46" s="144"/>
      <c r="BB46" s="144"/>
      <c r="BC46" s="144"/>
      <c r="BD46" s="144"/>
      <c r="BE46" s="144"/>
      <c r="BF46" s="144"/>
      <c r="BG46" s="144"/>
      <c r="BH46" s="144"/>
      <c r="BI46" s="144"/>
      <c r="BJ46" s="144"/>
      <c r="BK46" s="144"/>
      <c r="BL46" s="144"/>
      <c r="BM46" s="144"/>
      <c r="BN46" s="144"/>
      <c r="BO46" s="144"/>
      <c r="BP46" s="144"/>
      <c r="BQ46" s="144"/>
      <c r="BR46" s="144"/>
      <c r="BS46" s="144"/>
      <c r="BT46" s="144"/>
      <c r="BU46" s="144"/>
      <c r="BV46" s="144"/>
      <c r="BW46" s="144"/>
      <c r="BX46" s="144"/>
      <c r="BY46" s="144"/>
      <c r="BZ46" s="144"/>
      <c r="CA46" s="144"/>
      <c r="CB46" s="144"/>
      <c r="CC46" s="144"/>
      <c r="CD46" s="144"/>
      <c r="CE46" s="144"/>
      <c r="CF46" s="144"/>
      <c r="CG46" s="144"/>
      <c r="CH46" s="144"/>
      <c r="CI46" s="144"/>
      <c r="CJ46" s="144"/>
      <c r="CK46" s="144"/>
      <c r="CL46" s="144"/>
      <c r="CM46" s="144"/>
      <c r="CN46" s="144"/>
      <c r="CO46" s="144"/>
      <c r="CP46" s="144"/>
      <c r="CQ46" s="144"/>
      <c r="CR46" s="144"/>
      <c r="CS46" s="144"/>
      <c r="CT46" s="144"/>
      <c r="CU46" s="144"/>
      <c r="CV46" s="144"/>
      <c r="CW46" s="144"/>
      <c r="CX46" s="144"/>
      <c r="CY46" s="144"/>
      <c r="CZ46" s="144"/>
      <c r="DA46" s="144"/>
      <c r="DB46" s="144"/>
      <c r="DC46" s="144"/>
      <c r="DD46" s="144"/>
      <c r="DE46" s="144"/>
      <c r="DF46" s="144"/>
      <c r="DG46" s="144"/>
      <c r="DH46" s="144"/>
      <c r="DI46" s="144"/>
      <c r="DJ46" s="144"/>
      <c r="DK46" s="144"/>
      <c r="DL46" s="144"/>
      <c r="DM46" s="144"/>
      <c r="DN46" s="144"/>
      <c r="DO46" s="144"/>
      <c r="DP46" s="144"/>
      <c r="DQ46" s="144"/>
      <c r="DR46" s="144"/>
      <c r="DS46" s="144"/>
    </row>
    <row r="47" thickTop="1" thickBot="1" ht="18.75" customHeight="1">
      <c r="A47" s="293" t="s">
        <v>1332</v>
      </c>
      <c r="B47" s="294"/>
      <c r="C47" s="295"/>
      <c r="D47" s="295">
        <f>+'Imm fin'!F25+C47</f>
        <v>0</v>
      </c>
      <c r="E47" s="295">
        <f>+'Imm fin'!G25+D47</f>
        <v>0</v>
      </c>
      <c r="F47" s="295">
        <f>+'Imm fin'!H25+E47</f>
        <v>0</v>
      </c>
      <c r="G47" s="295">
        <f>+'Imm fin'!I25+F47</f>
        <v>0</v>
      </c>
      <c r="H47" s="295">
        <f>+'Imm fin'!J25+G47</f>
        <v>0</v>
      </c>
      <c r="I47" s="295">
        <f>+'Imm fin'!K25+H47</f>
        <v>0</v>
      </c>
      <c r="J47" s="295">
        <f>+'Imm fin'!L25+I47</f>
        <v>0</v>
      </c>
      <c r="K47" s="295">
        <f>+'Imm fin'!M25+J47</f>
        <v>0</v>
      </c>
      <c r="L47" s="295">
        <f>+'Imm fin'!N25+K47</f>
        <v>0</v>
      </c>
      <c r="M47" s="295">
        <f>+'Imm fin'!O25+L47</f>
        <v>0</v>
      </c>
      <c r="N47" s="295">
        <f>+'Imm fin'!P25+M47</f>
        <v>0</v>
      </c>
      <c r="O47" s="295">
        <f>+'Imm fin'!Q25+N47</f>
        <v>0</v>
      </c>
      <c r="P47" s="295">
        <f>+'Imm fin'!R25+O47</f>
        <v>0</v>
      </c>
      <c r="Q47" s="295">
        <f>+'Imm fin'!S25+P47</f>
        <v>0</v>
      </c>
      <c r="R47" s="295">
        <f>+'Imm fin'!T25+Q47</f>
        <v>0</v>
      </c>
      <c r="S47" s="295">
        <f>+'Imm fin'!U25+R47</f>
        <v>0</v>
      </c>
      <c r="T47" s="295">
        <f>+'Imm fin'!V25+S47</f>
        <v>0</v>
      </c>
      <c r="U47" s="295">
        <f>+'Imm fin'!W25+T47</f>
        <v>0</v>
      </c>
      <c r="V47" s="295">
        <f>+'Imm fin'!X25+U47</f>
        <v>0</v>
      </c>
      <c r="W47" s="295">
        <f>+'Imm fin'!Y25+V47</f>
        <v>0</v>
      </c>
      <c r="X47" s="295">
        <f>+'Imm fin'!Z25+W47</f>
        <v>0</v>
      </c>
      <c r="Y47" s="295">
        <f>+'Imm fin'!AA25+X47</f>
        <v>0</v>
      </c>
      <c r="Z47" s="295">
        <f>+'Imm fin'!AB25+Y47</f>
        <v>0</v>
      </c>
      <c r="AA47" s="295">
        <f>+'Imm fin'!AC25+Z47</f>
        <v>0</v>
      </c>
      <c r="AB47" s="295">
        <f>+'Imm fin'!AD25+AA47</f>
        <v>0</v>
      </c>
      <c r="AC47" s="295">
        <f>+'Imm fin'!AE25+AB47</f>
        <v>0</v>
      </c>
      <c r="AD47" s="295">
        <f>+'Imm fin'!AF25+AC47</f>
        <v>0</v>
      </c>
      <c r="AE47" s="295">
        <f>+'Imm fin'!AG25+AD47</f>
        <v>0</v>
      </c>
      <c r="AF47" s="295">
        <f>+'Imm fin'!AH25+AE47</f>
        <v>0</v>
      </c>
      <c r="AG47" s="295">
        <f>+'Imm fin'!AI25+AF47</f>
        <v>0</v>
      </c>
      <c r="AH47" s="295">
        <f>+'Imm fin'!AJ25+AG47</f>
        <v>0</v>
      </c>
      <c r="AI47" s="295">
        <f>+'Imm fin'!AK25+AH47</f>
        <v>0</v>
      </c>
      <c r="AJ47" s="295">
        <f>+'Imm fin'!AL25+AI47</f>
        <v>0</v>
      </c>
      <c r="AK47" s="295">
        <f>+'Imm fin'!AM25+AJ47</f>
        <v>0</v>
      </c>
      <c r="AL47" s="295">
        <f>+'Imm fin'!AN25+AK47</f>
        <v>0</v>
      </c>
      <c r="AM47" s="295">
        <f>+'Imm fin'!AO25+AL47</f>
        <v>0</v>
      </c>
      <c r="AN47" s="295">
        <f>+'Imm fin'!AP25+AM47</f>
        <v>0</v>
      </c>
      <c r="AO47" s="295">
        <f>+'Imm fin'!AQ25+AN47</f>
        <v>0</v>
      </c>
      <c r="AP47" s="295">
        <f>+'Imm fin'!AR25+AO47</f>
        <v>0</v>
      </c>
      <c r="AQ47" s="295">
        <f>+'Imm fin'!AS25+AP47</f>
        <v>0</v>
      </c>
      <c r="AR47" s="295">
        <f>+'Imm fin'!AT25+AQ47</f>
        <v>0</v>
      </c>
      <c r="AS47" s="295">
        <f>+'Imm fin'!AU25+AR47</f>
        <v>0</v>
      </c>
      <c r="AT47" s="295">
        <f>+'Imm fin'!AV25+AS47</f>
        <v>0</v>
      </c>
      <c r="AU47" s="295">
        <f>+'Imm fin'!AW25+AT47</f>
        <v>0</v>
      </c>
      <c r="AV47" s="295">
        <f>+'Imm fin'!AX25+AU47</f>
        <v>0</v>
      </c>
      <c r="AW47" s="295">
        <f>+'Imm fin'!AY25+AV47</f>
        <v>0</v>
      </c>
      <c r="AX47" s="295">
        <f>+'Imm fin'!AZ25+AW47</f>
        <v>0</v>
      </c>
      <c r="AY47" s="295">
        <f>+'Imm fin'!BA25+AX47</f>
        <v>0</v>
      </c>
      <c r="AZ47" s="295">
        <f>+'Imm fin'!BB25+AY47</f>
        <v>0</v>
      </c>
      <c r="BA47" s="295">
        <f>+'Imm fin'!BC25+AZ47</f>
        <v>0</v>
      </c>
      <c r="BB47" s="295">
        <f>+'Imm fin'!BD25+BA47</f>
        <v>0</v>
      </c>
      <c r="BC47" s="295">
        <f>+'Imm fin'!BE25+BB47</f>
        <v>0</v>
      </c>
      <c r="BD47" s="295">
        <f>+'Imm fin'!BF25+BC47</f>
        <v>0</v>
      </c>
      <c r="BE47" s="295">
        <f>+'Imm fin'!BG25+BD47</f>
        <v>0</v>
      </c>
      <c r="BF47" s="295">
        <f>+'Imm fin'!BH25+BE47</f>
        <v>0</v>
      </c>
      <c r="BG47" s="295">
        <f>+'Imm fin'!BI25+BF47</f>
        <v>0</v>
      </c>
      <c r="BH47" s="295">
        <f>+'Imm fin'!BJ25+BG47</f>
        <v>0</v>
      </c>
      <c r="BI47" s="295">
        <f>+'Imm fin'!BK25+BH47</f>
        <v>0</v>
      </c>
      <c r="BJ47" s="295">
        <f>+'Imm fin'!BL25+BI47</f>
        <v>0</v>
      </c>
      <c r="BK47" s="295">
        <f>+'Imm fin'!BM25+BJ47</f>
        <v>0</v>
      </c>
      <c r="BL47" s="295">
        <f>+'Imm fin'!BN25+BK47</f>
        <v>0</v>
      </c>
      <c r="BM47" s="295">
        <f>+'Imm fin'!BO25+BL47</f>
        <v>0</v>
      </c>
      <c r="BN47" s="295">
        <f>+'Imm fin'!BP25+BM47</f>
        <v>0</v>
      </c>
      <c r="BO47" s="295">
        <f>+'Imm fin'!BQ25+BN47</f>
        <v>0</v>
      </c>
      <c r="BP47" s="295">
        <f>+'Imm fin'!BR25+BO47</f>
        <v>0</v>
      </c>
      <c r="BQ47" s="295">
        <f>+'Imm fin'!BS25+BP47</f>
        <v>0</v>
      </c>
      <c r="BR47" s="295">
        <f>+'Imm fin'!BT25+BQ47</f>
        <v>0</v>
      </c>
      <c r="BS47" s="295">
        <f>+'Imm fin'!BU25+BR47</f>
        <v>0</v>
      </c>
      <c r="BT47" s="295">
        <f>+'Imm fin'!BV25+BS47</f>
        <v>0</v>
      </c>
      <c r="BU47" s="295">
        <f>+'Imm fin'!BW25+BT47</f>
        <v>0</v>
      </c>
      <c r="BV47" s="295">
        <f>+'Imm fin'!BX25+BU47</f>
        <v>0</v>
      </c>
      <c r="BW47" s="295">
        <f>+'Imm fin'!BY25+BV47</f>
        <v>0</v>
      </c>
      <c r="BX47" s="295">
        <f>+'Imm fin'!BZ25+BW47</f>
        <v>0</v>
      </c>
      <c r="BY47" s="295">
        <f>+'Imm fin'!CA25+BX47</f>
        <v>0</v>
      </c>
      <c r="BZ47" s="295">
        <f>+'Imm fin'!CB25+BY47</f>
        <v>0</v>
      </c>
      <c r="CA47" s="295">
        <f>+'Imm fin'!CC25+BZ47</f>
        <v>0</v>
      </c>
      <c r="CB47" s="295">
        <f>+'Imm fin'!CD25+CA47</f>
        <v>0</v>
      </c>
      <c r="CC47" s="295">
        <f>+'Imm fin'!CE25+CB47</f>
        <v>0</v>
      </c>
      <c r="CD47" s="295">
        <f>+'Imm fin'!CF25+CC47</f>
        <v>0</v>
      </c>
      <c r="CE47" s="295">
        <f>+'Imm fin'!CG25+CD47</f>
        <v>0</v>
      </c>
      <c r="CF47" s="295">
        <f>+'Imm fin'!CH25+CE47</f>
        <v>0</v>
      </c>
      <c r="CG47" s="295">
        <f>+'Imm fin'!CI25+CF47</f>
        <v>0</v>
      </c>
      <c r="CH47" s="295">
        <f>+'Imm fin'!CJ25+CG47</f>
        <v>0</v>
      </c>
      <c r="CI47" s="295">
        <f>+'Imm fin'!CK25+CH47</f>
        <v>0</v>
      </c>
      <c r="CJ47" s="295">
        <f>+'Imm fin'!CL25+CI47</f>
        <v>0</v>
      </c>
      <c r="CK47" s="295">
        <f>+'Imm fin'!CM25+CJ47</f>
        <v>0</v>
      </c>
      <c r="CL47" s="295">
        <f>+'Imm fin'!CN25+CK47</f>
        <v>0</v>
      </c>
      <c r="CM47" s="295">
        <f>+'Imm fin'!CO25+CL47</f>
        <v>0</v>
      </c>
      <c r="CN47" s="295">
        <f>+'Imm fin'!CP25+CM47</f>
        <v>0</v>
      </c>
      <c r="CO47" s="295">
        <f>+'Imm fin'!CQ25+CN47</f>
        <v>0</v>
      </c>
      <c r="CP47" s="295">
        <f>+'Imm fin'!CR25+CO47</f>
        <v>0</v>
      </c>
      <c r="CQ47" s="295">
        <f>+'Imm fin'!CS25+CP47</f>
        <v>0</v>
      </c>
      <c r="CR47" s="295">
        <f>+'Imm fin'!CT25+CQ47</f>
        <v>0</v>
      </c>
      <c r="CS47" s="295">
        <f>+'Imm fin'!CU25+CR47</f>
        <v>0</v>
      </c>
      <c r="CT47" s="295">
        <f>+'Imm fin'!CV25+CS47</f>
        <v>0</v>
      </c>
      <c r="CU47" s="295">
        <f>+'Imm fin'!CW25+CT47</f>
        <v>0</v>
      </c>
      <c r="CV47" s="295">
        <f>+'Imm fin'!CX25+CU47</f>
        <v>0</v>
      </c>
      <c r="CW47" s="295">
        <f>+'Imm fin'!CY25+CV47</f>
        <v>0</v>
      </c>
      <c r="CX47" s="295">
        <f>+'Imm fin'!CZ25+CW47</f>
        <v>0</v>
      </c>
      <c r="CY47" s="295">
        <f>+'Imm fin'!DA25+CX47</f>
        <v>0</v>
      </c>
      <c r="CZ47" s="295">
        <f>+'Imm fin'!DB25+CY47</f>
        <v>0</v>
      </c>
      <c r="DA47" s="295">
        <f>+'Imm fin'!DC25+CZ47</f>
        <v>0</v>
      </c>
      <c r="DB47" s="295">
        <f>+'Imm fin'!DD25+DA47</f>
        <v>0</v>
      </c>
      <c r="DC47" s="295">
        <f>+'Imm fin'!DE25+DB47</f>
        <v>0</v>
      </c>
      <c r="DD47" s="295">
        <f>+'Imm fin'!DF25+DC47</f>
        <v>0</v>
      </c>
      <c r="DE47" s="295">
        <f>+'Imm fin'!DG25+DD47</f>
        <v>0</v>
      </c>
      <c r="DF47" s="295">
        <f>+'Imm fin'!DH25+DE47</f>
        <v>0</v>
      </c>
      <c r="DG47" s="295">
        <f>+'Imm fin'!DI25+DF47</f>
        <v>0</v>
      </c>
      <c r="DH47" s="295">
        <f>+'Imm fin'!DJ25+DG47</f>
        <v>0</v>
      </c>
      <c r="DI47" s="295">
        <f>+'Imm fin'!DK25+DH47</f>
        <v>0</v>
      </c>
      <c r="DJ47" s="295">
        <f>+'Imm fin'!DL25+DI47</f>
        <v>0</v>
      </c>
      <c r="DK47" s="295">
        <f>+'Imm fin'!DM25+DJ47</f>
        <v>0</v>
      </c>
      <c r="DL47" s="295">
        <f>+'Imm fin'!DN25+DK47</f>
        <v>0</v>
      </c>
      <c r="DM47" s="295">
        <f>+'Imm fin'!DO25+DL47</f>
        <v>0</v>
      </c>
      <c r="DN47" s="295">
        <f>+'Imm fin'!DP25+DM47</f>
        <v>0</v>
      </c>
      <c r="DO47" s="295">
        <f>+'Imm fin'!DQ25+DN47</f>
        <v>0</v>
      </c>
      <c r="DP47" s="295">
        <f>+'Imm fin'!DR25+DO47</f>
        <v>0</v>
      </c>
      <c r="DQ47" s="295">
        <f>+'Imm fin'!DS25+DP47</f>
        <v>0</v>
      </c>
      <c r="DR47" s="295">
        <f>+'Imm fin'!DT25+DQ47</f>
        <v>0</v>
      </c>
      <c r="DS47" s="295">
        <f>+'Imm fin'!DU25+DR47</f>
        <v>0</v>
      </c>
    </row>
    <row r="48" thickTop="1" thickBot="1" ht="22">
      <c r="A48" s="298"/>
      <c r="B48" s="3"/>
      <c r="C48" s="144"/>
      <c r="D48" s="144"/>
      <c r="E48" s="144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Q48" s="144"/>
      <c r="R48" s="144"/>
      <c r="S48" s="144"/>
      <c r="T48" s="144"/>
      <c r="U48" s="144"/>
      <c r="V48" s="144"/>
      <c r="W48" s="144"/>
      <c r="X48" s="144"/>
      <c r="Y48" s="144"/>
      <c r="Z48" s="144"/>
      <c r="AA48" s="144"/>
      <c r="AB48" s="144"/>
      <c r="AC48" s="144"/>
      <c r="AD48" s="144"/>
      <c r="AE48" s="144"/>
      <c r="AF48" s="144"/>
      <c r="AG48" s="144"/>
      <c r="AH48" s="144"/>
      <c r="AI48" s="144"/>
      <c r="AJ48" s="144"/>
      <c r="AK48" s="144"/>
      <c r="AL48" s="144"/>
      <c r="AM48" s="144"/>
      <c r="AN48" s="144"/>
      <c r="AO48" s="144"/>
      <c r="AP48" s="144"/>
      <c r="AQ48" s="144"/>
      <c r="AR48" s="144"/>
      <c r="AS48" s="144"/>
      <c r="AT48" s="144"/>
      <c r="AU48" s="144"/>
      <c r="AV48" s="144"/>
      <c r="AW48" s="144"/>
      <c r="AX48" s="144"/>
      <c r="AY48" s="144"/>
      <c r="AZ48" s="144"/>
      <c r="BA48" s="144"/>
      <c r="BB48" s="144"/>
      <c r="BC48" s="144"/>
      <c r="BD48" s="144"/>
      <c r="BE48" s="144"/>
      <c r="BF48" s="144"/>
      <c r="BG48" s="144"/>
      <c r="BH48" s="144"/>
      <c r="BI48" s="144"/>
      <c r="BJ48" s="144"/>
      <c r="BK48" s="144"/>
      <c r="BL48" s="144"/>
      <c r="BM48" s="144"/>
      <c r="BN48" s="144"/>
      <c r="BO48" s="144"/>
      <c r="BP48" s="144"/>
      <c r="BQ48" s="144"/>
      <c r="BR48" s="144"/>
      <c r="BS48" s="144"/>
      <c r="BT48" s="144"/>
      <c r="BU48" s="144"/>
      <c r="BV48" s="144"/>
      <c r="BW48" s="144"/>
      <c r="BX48" s="144"/>
      <c r="BY48" s="144"/>
      <c r="BZ48" s="144"/>
      <c r="CA48" s="144"/>
      <c r="CB48" s="144"/>
      <c r="CC48" s="144"/>
      <c r="CD48" s="144"/>
      <c r="CE48" s="144"/>
      <c r="CF48" s="144"/>
      <c r="CG48" s="144"/>
      <c r="CH48" s="144"/>
      <c r="CI48" s="144"/>
      <c r="CJ48" s="144"/>
      <c r="CK48" s="144"/>
      <c r="CL48" s="144"/>
      <c r="CM48" s="144"/>
      <c r="CN48" s="144"/>
      <c r="CO48" s="144"/>
      <c r="CP48" s="144"/>
      <c r="CQ48" s="144"/>
      <c r="CR48" s="144"/>
      <c r="CS48" s="144"/>
      <c r="CT48" s="144"/>
      <c r="CU48" s="144"/>
      <c r="CV48" s="144"/>
      <c r="CW48" s="144"/>
      <c r="CX48" s="144"/>
      <c r="CY48" s="144"/>
      <c r="CZ48" s="144"/>
      <c r="DA48" s="144"/>
      <c r="DB48" s="144"/>
      <c r="DC48" s="144"/>
      <c r="DD48" s="144"/>
      <c r="DE48" s="144"/>
      <c r="DF48" s="144"/>
      <c r="DG48" s="144"/>
      <c r="DH48" s="144"/>
      <c r="DI48" s="144"/>
      <c r="DJ48" s="144"/>
      <c r="DK48" s="144"/>
      <c r="DL48" s="144"/>
      <c r="DM48" s="144"/>
      <c r="DN48" s="144"/>
      <c r="DO48" s="144"/>
      <c r="DP48" s="144"/>
      <c r="DQ48" s="144"/>
      <c r="DR48" s="144"/>
      <c r="DS48" s="144"/>
    </row>
    <row r="49" thickTop="1" thickBot="1" ht="19.5">
      <c r="A49" s="299" t="s">
        <v>1333</v>
      </c>
      <c r="B49" s="300"/>
      <c r="C49" s="301">
        <f t="shared" ref="C49:AH49" si="140">+C43+C31+C16+C12+C5+C47</f>
        <v>0</v>
      </c>
      <c r="D49" s="301">
        <f t="shared" si="140"/>
        <v>0</v>
      </c>
      <c r="E49" s="301">
        <f t="shared" si="140"/>
        <v>0</v>
      </c>
      <c r="F49" s="301">
        <f t="shared" si="140"/>
        <v>0</v>
      </c>
      <c r="G49" s="301">
        <f t="shared" si="140"/>
        <v>0</v>
      </c>
      <c r="H49" s="301">
        <f t="shared" si="140"/>
        <v>0</v>
      </c>
      <c r="I49" s="301">
        <f t="shared" si="140"/>
        <v>0</v>
      </c>
      <c r="J49" s="301">
        <f t="shared" si="140"/>
        <v>0</v>
      </c>
      <c r="K49" s="301">
        <f t="shared" si="140"/>
        <v>0</v>
      </c>
      <c r="L49" s="301">
        <f t="shared" si="140"/>
        <v>0</v>
      </c>
      <c r="M49" s="301">
        <f t="shared" si="140"/>
        <v>0</v>
      </c>
      <c r="N49" s="301">
        <f t="shared" si="140"/>
        <v>0</v>
      </c>
      <c r="O49" s="301">
        <f t="shared" si="140"/>
        <v>0</v>
      </c>
      <c r="P49" s="301">
        <f t="shared" si="140"/>
        <v>0</v>
      </c>
      <c r="Q49" s="301">
        <f t="shared" si="140"/>
        <v>0</v>
      </c>
      <c r="R49" s="301">
        <f t="shared" si="140"/>
        <v>0</v>
      </c>
      <c r="S49" s="301">
        <f t="shared" si="140"/>
        <v>0</v>
      </c>
      <c r="T49" s="301">
        <f t="shared" si="140"/>
        <v>0</v>
      </c>
      <c r="U49" s="301">
        <f t="shared" si="140"/>
        <v>0</v>
      </c>
      <c r="V49" s="301">
        <f t="shared" si="140"/>
        <v>0</v>
      </c>
      <c r="W49" s="301">
        <f t="shared" si="140"/>
        <v>0</v>
      </c>
      <c r="X49" s="301">
        <f t="shared" si="140"/>
        <v>0</v>
      </c>
      <c r="Y49" s="301">
        <f t="shared" si="140"/>
        <v>0</v>
      </c>
      <c r="Z49" s="301">
        <f t="shared" si="140"/>
        <v>0</v>
      </c>
      <c r="AA49" s="301">
        <f t="shared" si="140"/>
        <v>0</v>
      </c>
      <c r="AB49" s="301">
        <f t="shared" si="140"/>
        <v>0</v>
      </c>
      <c r="AC49" s="301">
        <f t="shared" si="140"/>
        <v>0</v>
      </c>
      <c r="AD49" s="301">
        <f t="shared" si="140"/>
        <v>0</v>
      </c>
      <c r="AE49" s="301">
        <f t="shared" si="140"/>
        <v>0</v>
      </c>
      <c r="AF49" s="301">
        <f t="shared" si="140"/>
        <v>0</v>
      </c>
      <c r="AG49" s="301">
        <f t="shared" si="140"/>
        <v>0</v>
      </c>
      <c r="AH49" s="301">
        <f t="shared" si="140"/>
        <v>0</v>
      </c>
      <c r="AI49" s="301">
        <f t="shared" ref="AI49:BN49" si="141">+AI43+AI31+AI16+AI12+AI5+AI47</f>
        <v>0</v>
      </c>
      <c r="AJ49" s="301">
        <f t="shared" si="141"/>
        <v>0</v>
      </c>
      <c r="AK49" s="301">
        <f t="shared" si="141"/>
        <v>0</v>
      </c>
      <c r="AL49" s="301">
        <f t="shared" si="141"/>
        <v>0</v>
      </c>
      <c r="AM49" s="301">
        <f t="shared" si="141"/>
        <v>0</v>
      </c>
      <c r="AN49" s="301">
        <f t="shared" si="141"/>
        <v>0</v>
      </c>
      <c r="AO49" s="301">
        <f t="shared" si="141"/>
        <v>0</v>
      </c>
      <c r="AP49" s="301">
        <f t="shared" si="141"/>
        <v>0</v>
      </c>
      <c r="AQ49" s="301">
        <f t="shared" si="141"/>
        <v>0</v>
      </c>
      <c r="AR49" s="301">
        <f t="shared" si="141"/>
        <v>0</v>
      </c>
      <c r="AS49" s="301">
        <f t="shared" si="141"/>
        <v>0</v>
      </c>
      <c r="AT49" s="301">
        <f t="shared" si="141"/>
        <v>0</v>
      </c>
      <c r="AU49" s="301">
        <f t="shared" si="141"/>
        <v>0</v>
      </c>
      <c r="AV49" s="301">
        <f t="shared" si="141"/>
        <v>0</v>
      </c>
      <c r="AW49" s="301">
        <f t="shared" si="141"/>
        <v>0</v>
      </c>
      <c r="AX49" s="301">
        <f t="shared" si="141"/>
        <v>0</v>
      </c>
      <c r="AY49" s="301">
        <f t="shared" si="141"/>
        <v>0</v>
      </c>
      <c r="AZ49" s="301">
        <f t="shared" si="141"/>
        <v>0</v>
      </c>
      <c r="BA49" s="301">
        <f t="shared" si="141"/>
        <v>0</v>
      </c>
      <c r="BB49" s="301">
        <f t="shared" si="141"/>
        <v>0</v>
      </c>
      <c r="BC49" s="301">
        <f t="shared" si="141"/>
        <v>0</v>
      </c>
      <c r="BD49" s="301">
        <f t="shared" si="141"/>
        <v>0</v>
      </c>
      <c r="BE49" s="301">
        <f t="shared" si="141"/>
        <v>0</v>
      </c>
      <c r="BF49" s="301">
        <f t="shared" si="141"/>
        <v>0</v>
      </c>
      <c r="BG49" s="301">
        <f t="shared" si="141"/>
        <v>0</v>
      </c>
      <c r="BH49" s="301">
        <f t="shared" si="141"/>
        <v>0</v>
      </c>
      <c r="BI49" s="301">
        <f t="shared" si="141"/>
        <v>0</v>
      </c>
      <c r="BJ49" s="301">
        <f t="shared" si="141"/>
        <v>0</v>
      </c>
      <c r="BK49" s="301">
        <f t="shared" si="141"/>
        <v>0</v>
      </c>
      <c r="BL49" s="301">
        <f t="shared" si="141"/>
        <v>0</v>
      </c>
      <c r="BM49" s="301">
        <f t="shared" si="141"/>
        <v>0</v>
      </c>
      <c r="BN49" s="301">
        <f t="shared" si="141"/>
        <v>0</v>
      </c>
      <c r="BO49" s="301">
        <f t="shared" ref="BO49:CT49" si="142">+BO43+BO31+BO16+BO12+BO5+BO47</f>
        <v>0</v>
      </c>
      <c r="BP49" s="301">
        <f t="shared" si="142"/>
        <v>0</v>
      </c>
      <c r="BQ49" s="301">
        <f t="shared" si="142"/>
        <v>0</v>
      </c>
      <c r="BR49" s="301">
        <f t="shared" si="142"/>
        <v>0</v>
      </c>
      <c r="BS49" s="301">
        <f t="shared" si="142"/>
        <v>0</v>
      </c>
      <c r="BT49" s="301">
        <f t="shared" si="142"/>
        <v>0</v>
      </c>
      <c r="BU49" s="301">
        <f t="shared" si="142"/>
        <v>0</v>
      </c>
      <c r="BV49" s="301">
        <f t="shared" si="142"/>
        <v>0</v>
      </c>
      <c r="BW49" s="301">
        <f t="shared" si="142"/>
        <v>0</v>
      </c>
      <c r="BX49" s="301">
        <f t="shared" si="142"/>
        <v>0</v>
      </c>
      <c r="BY49" s="301">
        <f t="shared" si="142"/>
        <v>0</v>
      </c>
      <c r="BZ49" s="301">
        <f t="shared" si="142"/>
        <v>0</v>
      </c>
      <c r="CA49" s="301">
        <f t="shared" si="142"/>
        <v>0</v>
      </c>
      <c r="CB49" s="301">
        <f t="shared" si="142"/>
        <v>0</v>
      </c>
      <c r="CC49" s="301">
        <f t="shared" si="142"/>
        <v>0</v>
      </c>
      <c r="CD49" s="301">
        <f t="shared" si="142"/>
        <v>0</v>
      </c>
      <c r="CE49" s="301">
        <f t="shared" si="142"/>
        <v>0</v>
      </c>
      <c r="CF49" s="301">
        <f t="shared" si="142"/>
        <v>0</v>
      </c>
      <c r="CG49" s="301">
        <f t="shared" si="142"/>
        <v>0</v>
      </c>
      <c r="CH49" s="301">
        <f t="shared" si="142"/>
        <v>0</v>
      </c>
      <c r="CI49" s="301">
        <f t="shared" si="142"/>
        <v>0</v>
      </c>
      <c r="CJ49" s="301">
        <f t="shared" si="142"/>
        <v>0</v>
      </c>
      <c r="CK49" s="301">
        <f t="shared" si="142"/>
        <v>0</v>
      </c>
      <c r="CL49" s="301">
        <f t="shared" si="142"/>
        <v>0</v>
      </c>
      <c r="CM49" s="301">
        <f t="shared" si="142"/>
        <v>0</v>
      </c>
      <c r="CN49" s="301">
        <f t="shared" si="142"/>
        <v>0</v>
      </c>
      <c r="CO49" s="301">
        <f t="shared" si="142"/>
        <v>0</v>
      </c>
      <c r="CP49" s="301">
        <f t="shared" si="142"/>
        <v>0</v>
      </c>
      <c r="CQ49" s="301">
        <f t="shared" si="142"/>
        <v>0</v>
      </c>
      <c r="CR49" s="301">
        <f t="shared" si="142"/>
        <v>0</v>
      </c>
      <c r="CS49" s="301">
        <f t="shared" si="142"/>
        <v>0</v>
      </c>
      <c r="CT49" s="301">
        <f t="shared" si="142"/>
        <v>0</v>
      </c>
      <c r="CU49" s="301">
        <f t="shared" ref="CU49:DS49" si="143">+CU43+CU31+CU16+CU12+CU5+CU47</f>
        <v>0</v>
      </c>
      <c r="CV49" s="301">
        <f t="shared" si="143"/>
        <v>0</v>
      </c>
      <c r="CW49" s="301">
        <f t="shared" si="143"/>
        <v>0</v>
      </c>
      <c r="CX49" s="301">
        <f t="shared" si="143"/>
        <v>0</v>
      </c>
      <c r="CY49" s="301">
        <f t="shared" si="143"/>
        <v>0</v>
      </c>
      <c r="CZ49" s="301">
        <f t="shared" si="143"/>
        <v>0</v>
      </c>
      <c r="DA49" s="301">
        <f t="shared" si="143"/>
        <v>0</v>
      </c>
      <c r="DB49" s="301">
        <f t="shared" si="143"/>
        <v>0</v>
      </c>
      <c r="DC49" s="301">
        <f t="shared" si="143"/>
        <v>0</v>
      </c>
      <c r="DD49" s="301">
        <f t="shared" si="143"/>
        <v>0</v>
      </c>
      <c r="DE49" s="301">
        <f t="shared" si="143"/>
        <v>0</v>
      </c>
      <c r="DF49" s="301">
        <f t="shared" si="143"/>
        <v>0</v>
      </c>
      <c r="DG49" s="301">
        <f t="shared" si="143"/>
        <v>0</v>
      </c>
      <c r="DH49" s="301">
        <f t="shared" si="143"/>
        <v>0</v>
      </c>
      <c r="DI49" s="301">
        <f t="shared" si="143"/>
        <v>0</v>
      </c>
      <c r="DJ49" s="301">
        <f t="shared" si="143"/>
        <v>0</v>
      </c>
      <c r="DK49" s="301">
        <f t="shared" si="143"/>
        <v>0</v>
      </c>
      <c r="DL49" s="301">
        <f t="shared" si="143"/>
        <v>0</v>
      </c>
      <c r="DM49" s="301">
        <f t="shared" si="143"/>
        <v>0</v>
      </c>
      <c r="DN49" s="301">
        <f t="shared" si="143"/>
        <v>0</v>
      </c>
      <c r="DO49" s="301">
        <f t="shared" si="143"/>
        <v>0</v>
      </c>
      <c r="DP49" s="301">
        <f t="shared" si="143"/>
        <v>0</v>
      </c>
      <c r="DQ49" s="301">
        <f t="shared" si="143"/>
        <v>0</v>
      </c>
      <c r="DR49" s="301">
        <f t="shared" si="143"/>
        <v>0</v>
      </c>
      <c r="DS49" s="301">
        <f t="shared" si="143"/>
        <v>0</v>
      </c>
    </row>
    <row r="50" thickTop="1" thickBot="1" ht="22">
      <c r="A50" s="298"/>
      <c r="B50" s="298"/>
      <c r="C50" s="144"/>
      <c r="D50" s="144"/>
      <c r="E50" s="144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44"/>
      <c r="Q50" s="144"/>
      <c r="R50" s="144"/>
      <c r="S50" s="144"/>
      <c r="T50" s="144"/>
      <c r="U50" s="144"/>
      <c r="V50" s="144"/>
      <c r="W50" s="144"/>
      <c r="X50" s="144"/>
      <c r="Y50" s="144"/>
      <c r="Z50" s="144"/>
      <c r="AA50" s="144"/>
      <c r="AB50" s="144"/>
      <c r="AC50" s="144"/>
      <c r="AD50" s="144"/>
      <c r="AE50" s="144"/>
      <c r="AF50" s="144"/>
      <c r="AG50" s="144"/>
      <c r="AH50" s="144"/>
      <c r="AI50" s="144"/>
      <c r="AJ50" s="144"/>
      <c r="AK50" s="144"/>
      <c r="AL50" s="144"/>
      <c r="AM50" s="144"/>
      <c r="AN50" s="144"/>
      <c r="AO50" s="144"/>
      <c r="AP50" s="144"/>
      <c r="AQ50" s="144"/>
      <c r="AR50" s="144"/>
      <c r="AS50" s="144"/>
      <c r="AT50" s="144"/>
      <c r="AU50" s="144"/>
      <c r="AV50" s="144"/>
      <c r="AW50" s="144"/>
      <c r="AX50" s="144"/>
      <c r="AY50" s="144"/>
      <c r="AZ50" s="144"/>
      <c r="BA50" s="144"/>
      <c r="BB50" s="144"/>
      <c r="BC50" s="144"/>
      <c r="BD50" s="144"/>
      <c r="BE50" s="144"/>
      <c r="BF50" s="144"/>
      <c r="BG50" s="144"/>
      <c r="BH50" s="144"/>
      <c r="BI50" s="144"/>
      <c r="BJ50" s="144"/>
      <c r="BK50" s="144"/>
      <c r="BL50" s="144"/>
      <c r="BM50" s="144"/>
      <c r="BN50" s="144"/>
      <c r="BO50" s="144"/>
      <c r="BP50" s="144"/>
      <c r="BQ50" s="144"/>
      <c r="BR50" s="144"/>
      <c r="BS50" s="144"/>
      <c r="BT50" s="144"/>
      <c r="BU50" s="144"/>
      <c r="BV50" s="144"/>
      <c r="BW50" s="144"/>
      <c r="BX50" s="144"/>
      <c r="BY50" s="144"/>
      <c r="BZ50" s="144"/>
      <c r="CA50" s="144"/>
      <c r="CB50" s="144"/>
      <c r="CC50" s="144"/>
      <c r="CD50" s="144"/>
      <c r="CE50" s="144"/>
      <c r="CF50" s="144"/>
      <c r="CG50" s="144"/>
      <c r="CH50" s="144"/>
      <c r="CI50" s="144"/>
      <c r="CJ50" s="144"/>
      <c r="CK50" s="144"/>
      <c r="CL50" s="144"/>
      <c r="CM50" s="144"/>
      <c r="CN50" s="144"/>
      <c r="CO50" s="144"/>
      <c r="CP50" s="144"/>
      <c r="CQ50" s="144"/>
      <c r="CR50" s="144"/>
      <c r="CS50" s="144"/>
      <c r="CT50" s="144"/>
      <c r="CU50" s="144"/>
      <c r="CV50" s="144"/>
      <c r="CW50" s="144"/>
      <c r="CX50" s="144"/>
      <c r="CY50" s="144"/>
      <c r="CZ50" s="144"/>
      <c r="DA50" s="144"/>
      <c r="DB50" s="144"/>
      <c r="DC50" s="144"/>
      <c r="DD50" s="144"/>
      <c r="DE50" s="144"/>
      <c r="DF50" s="144"/>
      <c r="DG50" s="144"/>
      <c r="DH50" s="144"/>
      <c r="DI50" s="144"/>
      <c r="DJ50" s="144"/>
      <c r="DK50" s="144"/>
      <c r="DL50" s="144"/>
      <c r="DM50" s="144"/>
      <c r="DN50" s="144"/>
      <c r="DO50" s="144"/>
      <c r="DP50" s="144"/>
      <c r="DQ50" s="144"/>
      <c r="DR50" s="144"/>
      <c r="DS50" s="144"/>
    </row>
    <row r="51" thickTop="1" thickBot="1" ht="18.75" customHeight="1">
      <c r="A51" s="293" t="s">
        <v>977</v>
      </c>
      <c r="B51" s="294"/>
      <c r="C51" s="295"/>
      <c r="D51" s="295">
        <f>+IF('Banca-mese'!C45&lt;0,-'Banca-mese'!C45,0)</f>
        <v>0</v>
      </c>
      <c r="E51" s="295">
        <f>+IF('Banca-mese'!D45&lt;0,-'Banca-mese'!D45,0)</f>
        <v>0</v>
      </c>
      <c r="F51" s="295">
        <f>+IF('Banca-mese'!E45&lt;0,-'Banca-mese'!E45,0)</f>
        <v>0</v>
      </c>
      <c r="G51" s="295">
        <f>+IF('Banca-mese'!F45&lt;0,-'Banca-mese'!F45,0)</f>
        <v>0</v>
      </c>
      <c r="H51" s="295">
        <f>+IF('Banca-mese'!G45&lt;0,-'Banca-mese'!G45,0)</f>
        <v>0</v>
      </c>
      <c r="I51" s="295">
        <f>+IF('Banca-mese'!H45&lt;0,-'Banca-mese'!H45,0)</f>
        <v>0</v>
      </c>
      <c r="J51" s="295">
        <f>+IF('Banca-mese'!I45&lt;0,-'Banca-mese'!I45,0)</f>
        <v>0</v>
      </c>
      <c r="K51" s="295">
        <f>+IF('Banca-mese'!J45&lt;0,-'Banca-mese'!J45,0)</f>
        <v>0</v>
      </c>
      <c r="L51" s="295">
        <f>+IF('Banca-mese'!K45&lt;0,-'Banca-mese'!K45,0)</f>
        <v>0</v>
      </c>
      <c r="M51" s="295">
        <f>+IF('Banca-mese'!L45&lt;0,-'Banca-mese'!L45,0)</f>
        <v>0</v>
      </c>
      <c r="N51" s="295">
        <f>+IF('Banca-mese'!M45&lt;0,-'Banca-mese'!M45,0)</f>
        <v>0</v>
      </c>
      <c r="O51" s="295">
        <f>+IF('Banca-mese'!N45&lt;0,-'Banca-mese'!N45,0)</f>
        <v>0</v>
      </c>
      <c r="P51" s="295">
        <f>+IF('Banca-mese'!O45&lt;0,-'Banca-mese'!O45,0)</f>
        <v>0</v>
      </c>
      <c r="Q51" s="295">
        <f>+IF('Banca-mese'!P45&lt;0,-'Banca-mese'!P45,0)</f>
        <v>0</v>
      </c>
      <c r="R51" s="295">
        <f>+IF('Banca-mese'!Q45&lt;0,-'Banca-mese'!Q45,0)</f>
        <v>0</v>
      </c>
      <c r="S51" s="295">
        <f>+IF('Banca-mese'!R45&lt;0,-'Banca-mese'!R45,0)</f>
        <v>0</v>
      </c>
      <c r="T51" s="295">
        <f>+IF('Banca-mese'!S45&lt;0,-'Banca-mese'!S45,0)</f>
        <v>0</v>
      </c>
      <c r="U51" s="295">
        <f>+IF('Banca-mese'!T45&lt;0,-'Banca-mese'!T45,0)</f>
        <v>0</v>
      </c>
      <c r="V51" s="295">
        <f>+IF('Banca-mese'!U45&lt;0,-'Banca-mese'!U45,0)</f>
        <v>0</v>
      </c>
      <c r="W51" s="295">
        <f>+IF('Banca-mese'!V45&lt;0,-'Banca-mese'!V45,0)</f>
        <v>0</v>
      </c>
      <c r="X51" s="295">
        <f>+IF('Banca-mese'!W45&lt;0,-'Banca-mese'!W45,0)</f>
        <v>0</v>
      </c>
      <c r="Y51" s="295">
        <f>+IF('Banca-mese'!X45&lt;0,-'Banca-mese'!X45,0)</f>
        <v>0</v>
      </c>
      <c r="Z51" s="295">
        <f>+IF('Banca-mese'!Y45&lt;0,-'Banca-mese'!Y45,0)</f>
        <v>0</v>
      </c>
      <c r="AA51" s="295">
        <f>+IF('Banca-mese'!Z45&lt;0,-'Banca-mese'!Z45,0)</f>
        <v>0</v>
      </c>
      <c r="AB51" s="295">
        <f>+IF('Banca-mese'!AA45&lt;0,-'Banca-mese'!AA45,0)</f>
        <v>0</v>
      </c>
      <c r="AC51" s="295">
        <f>+IF('Banca-mese'!AB45&lt;0,-'Banca-mese'!AB45,0)</f>
        <v>0</v>
      </c>
      <c r="AD51" s="295">
        <f>+IF('Banca-mese'!AC45&lt;0,-'Banca-mese'!AC45,0)</f>
        <v>0</v>
      </c>
      <c r="AE51" s="295">
        <f>+IF('Banca-mese'!AD45&lt;0,-'Banca-mese'!AD45,0)</f>
        <v>0</v>
      </c>
      <c r="AF51" s="295">
        <f>+IF('Banca-mese'!AE45&lt;0,-'Banca-mese'!AE45,0)</f>
        <v>0</v>
      </c>
      <c r="AG51" s="295">
        <f>+IF('Banca-mese'!AF45&lt;0,-'Banca-mese'!AF45,0)</f>
        <v>0</v>
      </c>
      <c r="AH51" s="295">
        <f>+IF('Banca-mese'!AG45&lt;0,-'Banca-mese'!AG45,0)</f>
        <v>0</v>
      </c>
      <c r="AI51" s="295">
        <f>+IF('Banca-mese'!AH45&lt;0,-'Banca-mese'!AH45,0)</f>
        <v>0</v>
      </c>
      <c r="AJ51" s="295">
        <f>+IF('Banca-mese'!AI45&lt;0,-'Banca-mese'!AI45,0)</f>
        <v>0</v>
      </c>
      <c r="AK51" s="295">
        <f>+IF('Banca-mese'!AJ45&lt;0,-'Banca-mese'!AJ45,0)</f>
        <v>0</v>
      </c>
      <c r="AL51" s="295">
        <f>+IF('Banca-mese'!AK45&lt;0,-'Banca-mese'!AK45,0)</f>
        <v>0</v>
      </c>
      <c r="AM51" s="295">
        <f>+IF('Banca-mese'!AL45&lt;0,-'Banca-mese'!AL45,0)</f>
        <v>0</v>
      </c>
      <c r="AN51" s="295">
        <f>+IF('Banca-mese'!AM45&lt;0,-'Banca-mese'!AM45,0)</f>
        <v>0</v>
      </c>
      <c r="AO51" s="295">
        <f>+IF('Banca-mese'!AN45&lt;0,-'Banca-mese'!AN45,0)</f>
        <v>0</v>
      </c>
      <c r="AP51" s="295">
        <f>+IF('Banca-mese'!AO45&lt;0,-'Banca-mese'!AO45,0)</f>
        <v>0</v>
      </c>
      <c r="AQ51" s="295">
        <f>+IF('Banca-mese'!AP45&lt;0,-'Banca-mese'!AP45,0)</f>
        <v>0</v>
      </c>
      <c r="AR51" s="295">
        <f>+IF('Banca-mese'!AQ45&lt;0,-'Banca-mese'!AQ45,0)</f>
        <v>0</v>
      </c>
      <c r="AS51" s="295">
        <f>+IF('Banca-mese'!AR45&lt;0,-'Banca-mese'!AR45,0)</f>
        <v>0</v>
      </c>
      <c r="AT51" s="295">
        <f>+IF('Banca-mese'!AS45&lt;0,-'Banca-mese'!AS45,0)</f>
        <v>0</v>
      </c>
      <c r="AU51" s="295">
        <f>+IF('Banca-mese'!AT45&lt;0,-'Banca-mese'!AT45,0)</f>
        <v>0</v>
      </c>
      <c r="AV51" s="295">
        <f>+IF('Banca-mese'!AU45&lt;0,-'Banca-mese'!AU45,0)</f>
        <v>0</v>
      </c>
      <c r="AW51" s="295">
        <f>+IF('Banca-mese'!AV45&lt;0,-'Banca-mese'!AV45,0)</f>
        <v>0</v>
      </c>
      <c r="AX51" s="295">
        <f>+IF('Banca-mese'!AW45&lt;0,-'Banca-mese'!AW45,0)</f>
        <v>0</v>
      </c>
      <c r="AY51" s="295">
        <f>+IF('Banca-mese'!AX45&lt;0,-'Banca-mese'!AX45,0)</f>
        <v>0</v>
      </c>
      <c r="AZ51" s="295">
        <f>+IF('Banca-mese'!AY45&lt;0,-'Banca-mese'!AY45,0)</f>
        <v>0</v>
      </c>
      <c r="BA51" s="295">
        <f>+IF('Banca-mese'!AZ45&lt;0,-'Banca-mese'!AZ45,0)</f>
        <v>0</v>
      </c>
      <c r="BB51" s="295">
        <f>+IF('Banca-mese'!BA45&lt;0,-'Banca-mese'!BA45,0)</f>
        <v>0</v>
      </c>
      <c r="BC51" s="295">
        <f>+IF('Banca-mese'!BB45&lt;0,-'Banca-mese'!BB45,0)</f>
        <v>0</v>
      </c>
      <c r="BD51" s="295">
        <f>+IF('Banca-mese'!BC45&lt;0,-'Banca-mese'!BC45,0)</f>
        <v>0</v>
      </c>
      <c r="BE51" s="295">
        <f>+IF('Banca-mese'!BD45&lt;0,-'Banca-mese'!BD45,0)</f>
        <v>0</v>
      </c>
      <c r="BF51" s="295">
        <f>+IF('Banca-mese'!BE45&lt;0,-'Banca-mese'!BE45,0)</f>
        <v>0</v>
      </c>
      <c r="BG51" s="295">
        <f>+IF('Banca-mese'!BF45&lt;0,-'Banca-mese'!BF45,0)</f>
        <v>0</v>
      </c>
      <c r="BH51" s="295">
        <f>+IF('Banca-mese'!BG45&lt;0,-'Banca-mese'!BG45,0)</f>
        <v>0</v>
      </c>
      <c r="BI51" s="295">
        <f>+IF('Banca-mese'!BH45&lt;0,-'Banca-mese'!BH45,0)</f>
        <v>0</v>
      </c>
      <c r="BJ51" s="295">
        <f>+IF('Banca-mese'!BI45&lt;0,-'Banca-mese'!BI45,0)</f>
        <v>0</v>
      </c>
      <c r="BK51" s="295">
        <f>+IF('Banca-mese'!BJ45&lt;0,-'Banca-mese'!BJ45,0)</f>
        <v>0</v>
      </c>
      <c r="BL51" s="295">
        <f>+IF('Banca-mese'!BK45&lt;0,-'Banca-mese'!BK45,0)</f>
        <v>0</v>
      </c>
      <c r="BM51" s="295">
        <f>+IF('Banca-mese'!BL45&lt;0,-'Banca-mese'!BL45,0)</f>
        <v>0</v>
      </c>
      <c r="BN51" s="295">
        <f>+IF('Banca-mese'!BM45&lt;0,-'Banca-mese'!BM45,0)</f>
        <v>0</v>
      </c>
      <c r="BO51" s="295">
        <f>+IF('Banca-mese'!BN45&lt;0,-'Banca-mese'!BN45,0)</f>
        <v>0</v>
      </c>
      <c r="BP51" s="295">
        <f>+IF('Banca-mese'!BO45&lt;0,-'Banca-mese'!BO45,0)</f>
        <v>0</v>
      </c>
      <c r="BQ51" s="295">
        <f>+IF('Banca-mese'!BP45&lt;0,-'Banca-mese'!BP45,0)</f>
        <v>0</v>
      </c>
      <c r="BR51" s="295">
        <f>+IF('Banca-mese'!BQ45&lt;0,-'Banca-mese'!BQ45,0)</f>
        <v>0</v>
      </c>
      <c r="BS51" s="295">
        <f>+IF('Banca-mese'!BR45&lt;0,-'Banca-mese'!BR45,0)</f>
        <v>0</v>
      </c>
      <c r="BT51" s="295">
        <f>+IF('Banca-mese'!BS45&lt;0,-'Banca-mese'!BS45,0)</f>
        <v>0</v>
      </c>
      <c r="BU51" s="295">
        <f>+IF('Banca-mese'!BT45&lt;0,-'Banca-mese'!BT45,0)</f>
        <v>0</v>
      </c>
      <c r="BV51" s="295">
        <f>+IF('Banca-mese'!BU45&lt;0,-'Banca-mese'!BU45,0)</f>
        <v>0</v>
      </c>
      <c r="BW51" s="295">
        <f>+IF('Banca-mese'!BV45&lt;0,-'Banca-mese'!BV45,0)</f>
        <v>0</v>
      </c>
      <c r="BX51" s="295">
        <f>+IF('Banca-mese'!BW45&lt;0,-'Banca-mese'!BW45,0)</f>
        <v>0</v>
      </c>
      <c r="BY51" s="295">
        <f>+IF('Banca-mese'!BX45&lt;0,-'Banca-mese'!BX45,0)</f>
        <v>0</v>
      </c>
      <c r="BZ51" s="295">
        <f>+IF('Banca-mese'!BY45&lt;0,-'Banca-mese'!BY45,0)</f>
        <v>0</v>
      </c>
      <c r="CA51" s="295">
        <f>+IF('Banca-mese'!BZ45&lt;0,-'Banca-mese'!BZ45,0)</f>
        <v>0</v>
      </c>
      <c r="CB51" s="295">
        <f>+IF('Banca-mese'!CA45&lt;0,-'Banca-mese'!CA45,0)</f>
        <v>0</v>
      </c>
      <c r="CC51" s="295">
        <f>+IF('Banca-mese'!CB45&lt;0,-'Banca-mese'!CB45,0)</f>
        <v>0</v>
      </c>
      <c r="CD51" s="295">
        <f>+IF('Banca-mese'!CC45&lt;0,-'Banca-mese'!CC45,0)</f>
        <v>0</v>
      </c>
      <c r="CE51" s="295">
        <f>+IF('Banca-mese'!CD45&lt;0,-'Banca-mese'!CD45,0)</f>
        <v>0</v>
      </c>
      <c r="CF51" s="295">
        <f>+IF('Banca-mese'!CE45&lt;0,-'Banca-mese'!CE45,0)</f>
        <v>0</v>
      </c>
      <c r="CG51" s="295">
        <f>+IF('Banca-mese'!CF45&lt;0,-'Banca-mese'!CF45,0)</f>
        <v>0</v>
      </c>
      <c r="CH51" s="295">
        <f>+IF('Banca-mese'!CG45&lt;0,-'Banca-mese'!CG45,0)</f>
        <v>0</v>
      </c>
      <c r="CI51" s="295">
        <f>+IF('Banca-mese'!CH45&lt;0,-'Banca-mese'!CH45,0)</f>
        <v>0</v>
      </c>
      <c r="CJ51" s="295">
        <f>+IF('Banca-mese'!CI45&lt;0,-'Banca-mese'!CI45,0)</f>
        <v>0</v>
      </c>
      <c r="CK51" s="295">
        <f>+IF('Banca-mese'!CJ45&lt;0,-'Banca-mese'!CJ45,0)</f>
        <v>0</v>
      </c>
      <c r="CL51" s="295">
        <f>+IF('Banca-mese'!CK45&lt;0,-'Banca-mese'!CK45,0)</f>
        <v>0</v>
      </c>
      <c r="CM51" s="295">
        <f>+IF('Banca-mese'!CL45&lt;0,-'Banca-mese'!CL45,0)</f>
        <v>0</v>
      </c>
      <c r="CN51" s="295">
        <f>+IF('Banca-mese'!CM45&lt;0,-'Banca-mese'!CM45,0)</f>
        <v>0</v>
      </c>
      <c r="CO51" s="295">
        <f>+IF('Banca-mese'!CN45&lt;0,-'Banca-mese'!CN45,0)</f>
        <v>0</v>
      </c>
      <c r="CP51" s="295">
        <f>+IF('Banca-mese'!CO45&lt;0,-'Banca-mese'!CO45,0)</f>
        <v>0</v>
      </c>
      <c r="CQ51" s="295">
        <f>+IF('Banca-mese'!CP45&lt;0,-'Banca-mese'!CP45,0)</f>
        <v>0</v>
      </c>
      <c r="CR51" s="295">
        <f>+IF('Banca-mese'!CQ45&lt;0,-'Banca-mese'!CQ45,0)</f>
        <v>0</v>
      </c>
      <c r="CS51" s="295">
        <f>+IF('Banca-mese'!CR45&lt;0,-'Banca-mese'!CR45,0)</f>
        <v>0</v>
      </c>
      <c r="CT51" s="295">
        <f>+IF('Banca-mese'!CS45&lt;0,-'Banca-mese'!CS45,0)</f>
        <v>0</v>
      </c>
      <c r="CU51" s="295">
        <f>+IF('Banca-mese'!CT45&lt;0,-'Banca-mese'!CT45,0)</f>
        <v>0</v>
      </c>
      <c r="CV51" s="295">
        <f>+IF('Banca-mese'!CU45&lt;0,-'Banca-mese'!CU45,0)</f>
        <v>0</v>
      </c>
      <c r="CW51" s="295">
        <f>+IF('Banca-mese'!CV45&lt;0,-'Banca-mese'!CV45,0)</f>
        <v>0</v>
      </c>
      <c r="CX51" s="295">
        <f>+IF('Banca-mese'!CW45&lt;0,-'Banca-mese'!CW45,0)</f>
        <v>0</v>
      </c>
      <c r="CY51" s="295">
        <f>+IF('Banca-mese'!CX45&lt;0,-'Banca-mese'!CX45,0)</f>
        <v>0</v>
      </c>
      <c r="CZ51" s="295">
        <f>+IF('Banca-mese'!CY45&lt;0,-'Banca-mese'!CY45,0)</f>
        <v>0</v>
      </c>
      <c r="DA51" s="295">
        <f>+IF('Banca-mese'!CZ45&lt;0,-'Banca-mese'!CZ45,0)</f>
        <v>0</v>
      </c>
      <c r="DB51" s="295">
        <f>+IF('Banca-mese'!DA45&lt;0,-'Banca-mese'!DA45,0)</f>
        <v>0</v>
      </c>
      <c r="DC51" s="295">
        <f>+IF('Banca-mese'!DB45&lt;0,-'Banca-mese'!DB45,0)</f>
        <v>0</v>
      </c>
      <c r="DD51" s="295">
        <f>+IF('Banca-mese'!DC45&lt;0,-'Banca-mese'!DC45,0)</f>
        <v>0</v>
      </c>
      <c r="DE51" s="295">
        <f>+IF('Banca-mese'!DD45&lt;0,-'Banca-mese'!DD45,0)</f>
        <v>0</v>
      </c>
      <c r="DF51" s="295">
        <f>+IF('Banca-mese'!DE45&lt;0,-'Banca-mese'!DE45,0)</f>
        <v>0</v>
      </c>
      <c r="DG51" s="295">
        <f>+IF('Banca-mese'!DF45&lt;0,-'Banca-mese'!DF45,0)</f>
        <v>0</v>
      </c>
      <c r="DH51" s="295">
        <f>+IF('Banca-mese'!DG45&lt;0,-'Banca-mese'!DG45,0)</f>
        <v>0</v>
      </c>
      <c r="DI51" s="295">
        <f>+IF('Banca-mese'!DH45&lt;0,-'Banca-mese'!DH45,0)</f>
        <v>0</v>
      </c>
      <c r="DJ51" s="295">
        <f>+IF('Banca-mese'!DI45&lt;0,-'Banca-mese'!DI45,0)</f>
        <v>0</v>
      </c>
      <c r="DK51" s="295">
        <f>+IF('Banca-mese'!DJ45&lt;0,-'Banca-mese'!DJ45,0)</f>
        <v>0</v>
      </c>
      <c r="DL51" s="295">
        <f>+IF('Banca-mese'!DK45&lt;0,-'Banca-mese'!DK45,0)</f>
        <v>0</v>
      </c>
      <c r="DM51" s="295">
        <f>+IF('Banca-mese'!DL45&lt;0,-'Banca-mese'!DL45,0)</f>
        <v>0</v>
      </c>
      <c r="DN51" s="295">
        <f>+IF('Banca-mese'!DM45&lt;0,-'Banca-mese'!DM45,0)</f>
        <v>0</v>
      </c>
      <c r="DO51" s="295">
        <f>+IF('Banca-mese'!DN45&lt;0,-'Banca-mese'!DN45,0)</f>
        <v>0</v>
      </c>
      <c r="DP51" s="295">
        <f>+IF('Banca-mese'!DO45&lt;0,-'Banca-mese'!DO45,0)</f>
        <v>0</v>
      </c>
      <c r="DQ51" s="295">
        <f>+IF('Banca-mese'!DP45&lt;0,-'Banca-mese'!DP45,0)</f>
        <v>0</v>
      </c>
      <c r="DR51" s="295">
        <f>+IF('Banca-mese'!DQ45&lt;0,-'Banca-mese'!DQ45,0)</f>
        <v>0</v>
      </c>
      <c r="DS51" s="295">
        <f>+IF('Banca-mese'!DR45&lt;0,-'Banca-mese'!DR45,0)</f>
        <v>0</v>
      </c>
    </row>
    <row r="52" thickTop="1" thickBot="1" ht="19.5">
      <c r="A52" s="150" t="s">
        <v>13</v>
      </c>
      <c r="B52" s="337"/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44"/>
      <c r="U52" s="144"/>
      <c r="V52" s="144"/>
      <c r="W52" s="144"/>
      <c r="X52" s="144"/>
      <c r="Y52" s="144"/>
      <c r="Z52" s="144"/>
      <c r="AA52" s="144"/>
      <c r="AB52" s="144"/>
      <c r="AC52" s="144"/>
      <c r="AD52" s="144"/>
      <c r="AE52" s="144"/>
      <c r="AF52" s="144"/>
      <c r="AG52" s="144"/>
      <c r="AH52" s="144"/>
      <c r="AI52" s="144"/>
      <c r="AJ52" s="144"/>
      <c r="AK52" s="144"/>
      <c r="AL52" s="144"/>
      <c r="AM52" s="144"/>
      <c r="AN52" s="144"/>
      <c r="AO52" s="144"/>
      <c r="AP52" s="144"/>
      <c r="AQ52" s="144"/>
      <c r="AR52" s="144"/>
      <c r="AS52" s="144"/>
      <c r="AT52" s="144"/>
      <c r="AU52" s="144"/>
      <c r="AV52" s="144"/>
      <c r="AW52" s="144"/>
      <c r="AX52" s="144"/>
      <c r="AY52" s="144"/>
      <c r="AZ52" s="144"/>
      <c r="BA52" s="144"/>
      <c r="BB52" s="144"/>
      <c r="BC52" s="144"/>
      <c r="BD52" s="144"/>
      <c r="BE52" s="144"/>
      <c r="BF52" s="144"/>
      <c r="BG52" s="144"/>
      <c r="BH52" s="144"/>
      <c r="BI52" s="144"/>
      <c r="BJ52" s="144"/>
      <c r="BK52" s="144"/>
      <c r="BL52" s="144"/>
      <c r="BM52" s="144"/>
      <c r="BN52" s="144"/>
      <c r="BO52" s="144"/>
      <c r="BP52" s="144"/>
      <c r="BQ52" s="144"/>
      <c r="BR52" s="144"/>
      <c r="BS52" s="144"/>
      <c r="BT52" s="144"/>
      <c r="BU52" s="144"/>
      <c r="BV52" s="144"/>
      <c r="BW52" s="144"/>
      <c r="BX52" s="144"/>
      <c r="BY52" s="144"/>
      <c r="BZ52" s="144"/>
      <c r="CA52" s="144"/>
      <c r="CB52" s="144"/>
      <c r="CC52" s="144"/>
      <c r="CD52" s="144"/>
      <c r="CE52" s="144"/>
      <c r="CF52" s="144"/>
      <c r="CG52" s="144"/>
      <c r="CH52" s="144"/>
      <c r="CI52" s="144"/>
      <c r="CJ52" s="144"/>
      <c r="CK52" s="144"/>
      <c r="CL52" s="144"/>
      <c r="CM52" s="144"/>
      <c r="CN52" s="144"/>
      <c r="CO52" s="144"/>
      <c r="CP52" s="144"/>
      <c r="CQ52" s="144"/>
      <c r="CR52" s="144"/>
      <c r="CS52" s="144"/>
      <c r="CT52" s="144"/>
      <c r="CU52" s="144"/>
      <c r="CV52" s="144"/>
      <c r="CW52" s="144"/>
      <c r="CX52" s="144"/>
      <c r="CY52" s="144"/>
      <c r="CZ52" s="144"/>
      <c r="DA52" s="144"/>
      <c r="DB52" s="144"/>
      <c r="DC52" s="144"/>
      <c r="DD52" s="144"/>
      <c r="DE52" s="144"/>
      <c r="DF52" s="144"/>
      <c r="DG52" s="144"/>
      <c r="DH52" s="144"/>
      <c r="DI52" s="144"/>
      <c r="DJ52" s="144"/>
      <c r="DK52" s="144"/>
      <c r="DL52" s="144"/>
      <c r="DM52" s="144"/>
      <c r="DN52" s="144"/>
      <c r="DO52" s="144"/>
      <c r="DP52" s="144"/>
      <c r="DQ52" s="144"/>
      <c r="DR52" s="144"/>
      <c r="DS52" s="144"/>
    </row>
    <row r="53" thickTop="1" thickBot="1" ht="15.5">
      <c r="A53" s="330" t="s">
        <v>984</v>
      </c>
      <c r="B53" s="330"/>
      <c r="C53" s="331">
        <f>+C54+SUM(C58:C62)</f>
        <v>0</v>
      </c>
      <c r="D53" s="331">
        <f t="shared" ref="D53:F53" si="144">+D54+SUM(D58:D62)</f>
        <v>0</v>
      </c>
      <c r="E53" s="331">
        <f t="shared" si="144"/>
        <v>0</v>
      </c>
      <c r="F53" s="331">
        <f t="shared" si="144"/>
        <v>0</v>
      </c>
      <c r="G53" s="331">
        <f t="shared" ref="G53" si="145">+G54+SUM(G58:G62)</f>
        <v>0</v>
      </c>
      <c r="H53" s="331">
        <f t="shared" ref="H53:I53" si="146">+H54+SUM(H58:H62)</f>
        <v>0</v>
      </c>
      <c r="I53" s="331">
        <f t="shared" si="146"/>
        <v>0</v>
      </c>
      <c r="J53" s="331">
        <f t="shared" ref="J53" si="147">+J54+SUM(J58:J62)</f>
        <v>0</v>
      </c>
      <c r="K53" s="331">
        <f t="shared" ref="K53:L53" si="148">+K54+SUM(K58:K62)</f>
        <v>0</v>
      </c>
      <c r="L53" s="331">
        <f t="shared" si="148"/>
        <v>0</v>
      </c>
      <c r="M53" s="331">
        <f t="shared" ref="M53" si="149">+M54+SUM(M58:M62)</f>
        <v>0</v>
      </c>
      <c r="N53" s="331">
        <f t="shared" ref="N53:O53" si="150">+N54+SUM(N58:N62)</f>
        <v>0</v>
      </c>
      <c r="O53" s="331">
        <f t="shared" si="150"/>
        <v>0</v>
      </c>
      <c r="P53" s="331">
        <f t="shared" ref="P53" si="151">+P54+SUM(P58:P62)</f>
        <v>0</v>
      </c>
      <c r="Q53" s="331">
        <f t="shared" ref="Q53:R53" si="152">+Q54+SUM(Q58:Q62)</f>
        <v>0</v>
      </c>
      <c r="R53" s="331">
        <f t="shared" si="152"/>
        <v>0</v>
      </c>
      <c r="S53" s="331">
        <f t="shared" ref="S53" si="153">+S54+SUM(S58:S62)</f>
        <v>0</v>
      </c>
      <c r="T53" s="331">
        <f t="shared" ref="T53:U53" si="154">+T54+SUM(T58:T62)</f>
        <v>0</v>
      </c>
      <c r="U53" s="331">
        <f t="shared" si="154"/>
        <v>0</v>
      </c>
      <c r="V53" s="331">
        <f t="shared" ref="V53" si="155">+V54+SUM(V58:V62)</f>
        <v>0</v>
      </c>
      <c r="W53" s="331">
        <f t="shared" ref="W53:X53" si="156">+W54+SUM(W58:W62)</f>
        <v>0</v>
      </c>
      <c r="X53" s="331">
        <f t="shared" si="156"/>
        <v>0</v>
      </c>
      <c r="Y53" s="331">
        <f t="shared" ref="Y53" si="157">+Y54+SUM(Y58:Y62)</f>
        <v>0</v>
      </c>
      <c r="Z53" s="331">
        <f t="shared" ref="Z53:AA53" si="158">+Z54+SUM(Z58:Z62)</f>
        <v>0</v>
      </c>
      <c r="AA53" s="331">
        <f t="shared" si="158"/>
        <v>0</v>
      </c>
      <c r="AB53" s="331">
        <f t="shared" ref="AB53" si="159">+AB54+SUM(AB58:AB62)</f>
        <v>0</v>
      </c>
      <c r="AC53" s="331">
        <f t="shared" ref="AC53:AD53" si="160">+AC54+SUM(AC58:AC62)</f>
        <v>0</v>
      </c>
      <c r="AD53" s="331">
        <f t="shared" si="160"/>
        <v>0</v>
      </c>
      <c r="AE53" s="331">
        <f t="shared" ref="AE53" si="161">+AE54+SUM(AE58:AE62)</f>
        <v>0</v>
      </c>
      <c r="AF53" s="331">
        <f t="shared" ref="AF53:AG53" si="162">+AF54+SUM(AF58:AF62)</f>
        <v>0</v>
      </c>
      <c r="AG53" s="331">
        <f t="shared" si="162"/>
        <v>0</v>
      </c>
      <c r="AH53" s="331">
        <f t="shared" ref="AH53" si="163">+AH54+SUM(AH58:AH62)</f>
        <v>0</v>
      </c>
      <c r="AI53" s="331">
        <f t="shared" ref="AI53:AJ53" si="164">+AI54+SUM(AI58:AI62)</f>
        <v>0</v>
      </c>
      <c r="AJ53" s="331">
        <f t="shared" si="164"/>
        <v>0</v>
      </c>
      <c r="AK53" s="331">
        <f t="shared" ref="AK53" si="165">+AK54+SUM(AK58:AK62)</f>
        <v>0</v>
      </c>
      <c r="AL53" s="331">
        <f t="shared" ref="AL53:AM53" si="166">+AL54+SUM(AL58:AL62)</f>
        <v>0</v>
      </c>
      <c r="AM53" s="331">
        <f t="shared" si="166"/>
        <v>0</v>
      </c>
      <c r="AN53" s="331">
        <f t="shared" ref="AN53" si="167">+AN54+SUM(AN58:AN62)</f>
        <v>0</v>
      </c>
      <c r="AO53" s="331">
        <f t="shared" ref="AO53:AP53" si="168">+AO54+SUM(AO58:AO62)</f>
        <v>0</v>
      </c>
      <c r="AP53" s="331">
        <f t="shared" si="168"/>
        <v>0</v>
      </c>
      <c r="AQ53" s="331">
        <f t="shared" ref="AQ53" si="169">+AQ54+SUM(AQ58:AQ62)</f>
        <v>0</v>
      </c>
      <c r="AR53" s="331">
        <f t="shared" ref="AR53:AS53" si="170">+AR54+SUM(AR58:AR62)</f>
        <v>0</v>
      </c>
      <c r="AS53" s="331">
        <f t="shared" si="170"/>
        <v>0</v>
      </c>
      <c r="AT53" s="331">
        <f t="shared" ref="AT53" si="171">+AT54+SUM(AT58:AT62)</f>
        <v>0</v>
      </c>
      <c r="AU53" s="331">
        <f t="shared" ref="AU53:AV53" si="172">+AU54+SUM(AU58:AU62)</f>
        <v>0</v>
      </c>
      <c r="AV53" s="331">
        <f t="shared" si="172"/>
        <v>0</v>
      </c>
      <c r="AW53" s="331">
        <f t="shared" ref="AW53" si="173">+AW54+SUM(AW58:AW62)</f>
        <v>0</v>
      </c>
      <c r="AX53" s="331">
        <f t="shared" ref="AX53:AY53" si="174">+AX54+SUM(AX58:AX62)</f>
        <v>0</v>
      </c>
      <c r="AY53" s="331">
        <f t="shared" si="174"/>
        <v>0</v>
      </c>
      <c r="AZ53" s="331">
        <f t="shared" ref="AZ53" si="175">+AZ54+SUM(AZ58:AZ62)</f>
        <v>0</v>
      </c>
      <c r="BA53" s="331">
        <f t="shared" ref="BA53:BB53" si="176">+BA54+SUM(BA58:BA62)</f>
        <v>0</v>
      </c>
      <c r="BB53" s="331">
        <f t="shared" si="176"/>
        <v>0</v>
      </c>
      <c r="BC53" s="331">
        <f t="shared" ref="BC53" si="177">+BC54+SUM(BC58:BC62)</f>
        <v>0</v>
      </c>
      <c r="BD53" s="331">
        <f t="shared" ref="BD53:BE53" si="178">+BD54+SUM(BD58:BD62)</f>
        <v>0</v>
      </c>
      <c r="BE53" s="331">
        <f t="shared" si="178"/>
        <v>0</v>
      </c>
      <c r="BF53" s="331">
        <f t="shared" ref="BF53" si="179">+BF54+SUM(BF58:BF62)</f>
        <v>0</v>
      </c>
      <c r="BG53" s="331">
        <f t="shared" ref="BG53:BH53" si="180">+BG54+SUM(BG58:BG62)</f>
        <v>0</v>
      </c>
      <c r="BH53" s="331">
        <f t="shared" si="180"/>
        <v>0</v>
      </c>
      <c r="BI53" s="331">
        <f t="shared" ref="BI53" si="181">+BI54+SUM(BI58:BI62)</f>
        <v>0</v>
      </c>
      <c r="BJ53" s="331">
        <f t="shared" ref="BJ53:BK53" si="182">+BJ54+SUM(BJ58:BJ62)</f>
        <v>0</v>
      </c>
      <c r="BK53" s="331">
        <f t="shared" si="182"/>
        <v>0</v>
      </c>
      <c r="BL53" s="331">
        <f t="shared" ref="BL53" si="183">+BL54+SUM(BL58:BL62)</f>
        <v>0</v>
      </c>
      <c r="BM53" s="331">
        <f t="shared" ref="BM53:BN53" si="184">+BM54+SUM(BM58:BM62)</f>
        <v>0</v>
      </c>
      <c r="BN53" s="331">
        <f t="shared" si="184"/>
        <v>0</v>
      </c>
      <c r="BO53" s="331">
        <f t="shared" ref="BO53" si="185">+BO54+SUM(BO58:BO62)</f>
        <v>0</v>
      </c>
      <c r="BP53" s="331">
        <f t="shared" ref="BP53:BQ53" si="186">+BP54+SUM(BP58:BP62)</f>
        <v>0</v>
      </c>
      <c r="BQ53" s="331">
        <f t="shared" si="186"/>
        <v>0</v>
      </c>
      <c r="BR53" s="331">
        <f t="shared" ref="BR53" si="187">+BR54+SUM(BR58:BR62)</f>
        <v>0</v>
      </c>
      <c r="BS53" s="331">
        <f t="shared" ref="BS53:BT53" si="188">+BS54+SUM(BS58:BS62)</f>
        <v>0</v>
      </c>
      <c r="BT53" s="331">
        <f t="shared" si="188"/>
        <v>0</v>
      </c>
      <c r="BU53" s="331">
        <f t="shared" ref="BU53" si="189">+BU54+SUM(BU58:BU62)</f>
        <v>0</v>
      </c>
      <c r="BV53" s="331">
        <f t="shared" ref="BV53:BW53" si="190">+BV54+SUM(BV58:BV62)</f>
        <v>0</v>
      </c>
      <c r="BW53" s="331">
        <f t="shared" si="190"/>
        <v>0</v>
      </c>
      <c r="BX53" s="331">
        <f t="shared" ref="BX53" si="191">+BX54+SUM(BX58:BX62)</f>
        <v>0</v>
      </c>
      <c r="BY53" s="331">
        <f t="shared" ref="BY53:BZ53" si="192">+BY54+SUM(BY58:BY62)</f>
        <v>0</v>
      </c>
      <c r="BZ53" s="331">
        <f t="shared" si="192"/>
        <v>0</v>
      </c>
      <c r="CA53" s="331">
        <f t="shared" ref="CA53" si="193">+CA54+SUM(CA58:CA62)</f>
        <v>0</v>
      </c>
      <c r="CB53" s="331">
        <f t="shared" ref="CB53:CC53" si="194">+CB54+SUM(CB58:CB62)</f>
        <v>0</v>
      </c>
      <c r="CC53" s="331">
        <f t="shared" si="194"/>
        <v>0</v>
      </c>
      <c r="CD53" s="331">
        <f t="shared" ref="CD53" si="195">+CD54+SUM(CD58:CD62)</f>
        <v>0</v>
      </c>
      <c r="CE53" s="331">
        <f t="shared" ref="CE53:CF53" si="196">+CE54+SUM(CE58:CE62)</f>
        <v>0</v>
      </c>
      <c r="CF53" s="331">
        <f t="shared" si="196"/>
        <v>0</v>
      </c>
      <c r="CG53" s="331">
        <f t="shared" ref="CG53" si="197">+CG54+SUM(CG58:CG62)</f>
        <v>0</v>
      </c>
      <c r="CH53" s="331">
        <f t="shared" ref="CH53:CI53" si="198">+CH54+SUM(CH58:CH62)</f>
        <v>0</v>
      </c>
      <c r="CI53" s="331">
        <f t="shared" si="198"/>
        <v>0</v>
      </c>
      <c r="CJ53" s="331">
        <f t="shared" ref="CJ53" si="199">+CJ54+SUM(CJ58:CJ62)</f>
        <v>0</v>
      </c>
      <c r="CK53" s="331">
        <f t="shared" ref="CK53:CL53" si="200">+CK54+SUM(CK58:CK62)</f>
        <v>0</v>
      </c>
      <c r="CL53" s="331">
        <f t="shared" si="200"/>
        <v>0</v>
      </c>
      <c r="CM53" s="331">
        <f t="shared" ref="CM53" si="201">+CM54+SUM(CM58:CM62)</f>
        <v>0</v>
      </c>
      <c r="CN53" s="331">
        <f t="shared" ref="CN53:CO53" si="202">+CN54+SUM(CN58:CN62)</f>
        <v>0</v>
      </c>
      <c r="CO53" s="331">
        <f t="shared" si="202"/>
        <v>0</v>
      </c>
      <c r="CP53" s="331">
        <f t="shared" ref="CP53" si="203">+CP54+SUM(CP58:CP62)</f>
        <v>0</v>
      </c>
      <c r="CQ53" s="331">
        <f t="shared" ref="CQ53:CR53" si="204">+CQ54+SUM(CQ58:CQ62)</f>
        <v>0</v>
      </c>
      <c r="CR53" s="331">
        <f t="shared" si="204"/>
        <v>0</v>
      </c>
      <c r="CS53" s="331">
        <f t="shared" ref="CS53" si="205">+CS54+SUM(CS58:CS62)</f>
        <v>0</v>
      </c>
      <c r="CT53" s="331">
        <f t="shared" ref="CT53:CU53" si="206">+CT54+SUM(CT58:CT62)</f>
        <v>0</v>
      </c>
      <c r="CU53" s="331">
        <f t="shared" si="206"/>
        <v>0</v>
      </c>
      <c r="CV53" s="331">
        <f t="shared" ref="CV53" si="207">+CV54+SUM(CV58:CV62)</f>
        <v>0</v>
      </c>
      <c r="CW53" s="331">
        <f t="shared" ref="CW53:CX53" si="208">+CW54+SUM(CW58:CW62)</f>
        <v>0</v>
      </c>
      <c r="CX53" s="331">
        <f t="shared" si="208"/>
        <v>0</v>
      </c>
      <c r="CY53" s="331">
        <f t="shared" ref="CY53" si="209">+CY54+SUM(CY58:CY62)</f>
        <v>0</v>
      </c>
      <c r="CZ53" s="331">
        <f t="shared" ref="CZ53:DA53" si="210">+CZ54+SUM(CZ58:CZ62)</f>
        <v>0</v>
      </c>
      <c r="DA53" s="331">
        <f t="shared" si="210"/>
        <v>0</v>
      </c>
      <c r="DB53" s="331">
        <f t="shared" ref="DB53" si="211">+DB54+SUM(DB58:DB62)</f>
        <v>0</v>
      </c>
      <c r="DC53" s="331">
        <f t="shared" ref="DC53:DD53" si="212">+DC54+SUM(DC58:DC62)</f>
        <v>0</v>
      </c>
      <c r="DD53" s="331">
        <f t="shared" si="212"/>
        <v>0</v>
      </c>
      <c r="DE53" s="331">
        <f t="shared" ref="DE53" si="213">+DE54+SUM(DE58:DE62)</f>
        <v>0</v>
      </c>
      <c r="DF53" s="331">
        <f t="shared" ref="DF53:DG53" si="214">+DF54+SUM(DF58:DF62)</f>
        <v>0</v>
      </c>
      <c r="DG53" s="331">
        <f t="shared" si="214"/>
        <v>0</v>
      </c>
      <c r="DH53" s="331">
        <f t="shared" ref="DH53" si="215">+DH54+SUM(DH58:DH62)</f>
        <v>0</v>
      </c>
      <c r="DI53" s="331">
        <f t="shared" ref="DI53:DJ53" si="216">+DI54+SUM(DI58:DI62)</f>
        <v>0</v>
      </c>
      <c r="DJ53" s="331">
        <f t="shared" si="216"/>
        <v>0</v>
      </c>
      <c r="DK53" s="331">
        <f t="shared" ref="DK53" si="217">+DK54+SUM(DK58:DK62)</f>
        <v>0</v>
      </c>
      <c r="DL53" s="331">
        <f t="shared" ref="DL53:DM53" si="218">+DL54+SUM(DL58:DL62)</f>
        <v>0</v>
      </c>
      <c r="DM53" s="331">
        <f t="shared" si="218"/>
        <v>0</v>
      </c>
      <c r="DN53" s="331">
        <f t="shared" ref="DN53" si="219">+DN54+SUM(DN58:DN62)</f>
        <v>0</v>
      </c>
      <c r="DO53" s="331">
        <f t="shared" ref="DO53:DP53" si="220">+DO54+SUM(DO58:DO62)</f>
        <v>0</v>
      </c>
      <c r="DP53" s="331">
        <f t="shared" si="220"/>
        <v>0</v>
      </c>
      <c r="DQ53" s="331">
        <f t="shared" ref="DQ53" si="221">+DQ54+SUM(DQ58:DQ62)</f>
        <v>0</v>
      </c>
      <c r="DR53" s="331">
        <f t="shared" ref="DR53:DS53" si="222">+DR54+SUM(DR58:DR62)</f>
        <v>0</v>
      </c>
      <c r="DS53" s="331">
        <f t="shared" si="222"/>
        <v>0</v>
      </c>
    </row>
    <row r="54" thickTop="1" s="3" customFormat="1">
      <c r="A54" s="338" t="s">
        <v>828</v>
      </c>
      <c r="C54" s="100">
        <f>+C55+C56</f>
        <v>0</v>
      </c>
      <c r="D54" s="100">
        <f>+D55+D56</f>
        <v>0</v>
      </c>
      <c r="E54" s="100">
        <f t="shared" ref="E54:BJ54" si="223">+E55+E56</f>
        <v>0</v>
      </c>
      <c r="F54" s="100">
        <f t="shared" si="223"/>
        <v>0</v>
      </c>
      <c r="G54" s="100">
        <f t="shared" si="223"/>
        <v>0</v>
      </c>
      <c r="H54" s="100">
        <f t="shared" si="223"/>
        <v>0</v>
      </c>
      <c r="I54" s="100">
        <f t="shared" si="223"/>
        <v>0</v>
      </c>
      <c r="J54" s="100">
        <f t="shared" si="223"/>
        <v>0</v>
      </c>
      <c r="K54" s="100">
        <f t="shared" si="223"/>
        <v>0</v>
      </c>
      <c r="L54" s="100">
        <f t="shared" si="223"/>
        <v>0</v>
      </c>
      <c r="M54" s="100">
        <f t="shared" si="223"/>
        <v>0</v>
      </c>
      <c r="N54" s="100">
        <f t="shared" si="223"/>
        <v>0</v>
      </c>
      <c r="O54" s="100">
        <f t="shared" si="223"/>
        <v>0</v>
      </c>
      <c r="P54" s="100">
        <f t="shared" si="223"/>
        <v>0</v>
      </c>
      <c r="Q54" s="100">
        <f t="shared" si="223"/>
        <v>0</v>
      </c>
      <c r="R54" s="100">
        <f t="shared" si="223"/>
        <v>0</v>
      </c>
      <c r="S54" s="100">
        <f t="shared" si="223"/>
        <v>0</v>
      </c>
      <c r="T54" s="100">
        <f t="shared" si="223"/>
        <v>0</v>
      </c>
      <c r="U54" s="100">
        <f t="shared" si="223"/>
        <v>0</v>
      </c>
      <c r="V54" s="100">
        <f t="shared" si="223"/>
        <v>0</v>
      </c>
      <c r="W54" s="100">
        <f t="shared" si="223"/>
        <v>0</v>
      </c>
      <c r="X54" s="100">
        <f t="shared" si="223"/>
        <v>0</v>
      </c>
      <c r="Y54" s="100">
        <f t="shared" si="223"/>
        <v>0</v>
      </c>
      <c r="Z54" s="100">
        <f t="shared" si="223"/>
        <v>0</v>
      </c>
      <c r="AA54" s="100">
        <f t="shared" si="223"/>
        <v>0</v>
      </c>
      <c r="AB54" s="100">
        <f t="shared" si="223"/>
        <v>0</v>
      </c>
      <c r="AC54" s="100">
        <f t="shared" si="223"/>
        <v>0</v>
      </c>
      <c r="AD54" s="100">
        <f t="shared" si="223"/>
        <v>0</v>
      </c>
      <c r="AE54" s="100">
        <f t="shared" si="223"/>
        <v>0</v>
      </c>
      <c r="AF54" s="100">
        <f t="shared" si="223"/>
        <v>0</v>
      </c>
      <c r="AG54" s="100">
        <f t="shared" si="223"/>
        <v>0</v>
      </c>
      <c r="AH54" s="100">
        <f t="shared" si="223"/>
        <v>0</v>
      </c>
      <c r="AI54" s="100">
        <f t="shared" si="223"/>
        <v>0</v>
      </c>
      <c r="AJ54" s="100">
        <f t="shared" si="223"/>
        <v>0</v>
      </c>
      <c r="AK54" s="100">
        <f t="shared" si="223"/>
        <v>0</v>
      </c>
      <c r="AL54" s="100">
        <f t="shared" si="223"/>
        <v>0</v>
      </c>
      <c r="AM54" s="100">
        <f t="shared" si="223"/>
        <v>0</v>
      </c>
      <c r="AN54" s="100">
        <f t="shared" si="223"/>
        <v>0</v>
      </c>
      <c r="AO54" s="100">
        <f t="shared" si="223"/>
        <v>0</v>
      </c>
      <c r="AP54" s="100">
        <f t="shared" si="223"/>
        <v>0</v>
      </c>
      <c r="AQ54" s="100">
        <f t="shared" si="223"/>
        <v>0</v>
      </c>
      <c r="AR54" s="100">
        <f t="shared" si="223"/>
        <v>0</v>
      </c>
      <c r="AS54" s="100">
        <f t="shared" si="223"/>
        <v>0</v>
      </c>
      <c r="AT54" s="100">
        <f t="shared" si="223"/>
        <v>0</v>
      </c>
      <c r="AU54" s="100">
        <f t="shared" si="223"/>
        <v>0</v>
      </c>
      <c r="AV54" s="100">
        <f t="shared" si="223"/>
        <v>0</v>
      </c>
      <c r="AW54" s="100">
        <f t="shared" si="223"/>
        <v>0</v>
      </c>
      <c r="AX54" s="100">
        <f t="shared" si="223"/>
        <v>0</v>
      </c>
      <c r="AY54" s="100">
        <f t="shared" si="223"/>
        <v>0</v>
      </c>
      <c r="AZ54" s="100">
        <f t="shared" si="223"/>
        <v>0</v>
      </c>
      <c r="BA54" s="100">
        <f t="shared" si="223"/>
        <v>0</v>
      </c>
      <c r="BB54" s="100">
        <f t="shared" si="223"/>
        <v>0</v>
      </c>
      <c r="BC54" s="100">
        <f t="shared" si="223"/>
        <v>0</v>
      </c>
      <c r="BD54" s="100">
        <f t="shared" si="223"/>
        <v>0</v>
      </c>
      <c r="BE54" s="100">
        <f t="shared" si="223"/>
        <v>0</v>
      </c>
      <c r="BF54" s="100">
        <f t="shared" si="223"/>
        <v>0</v>
      </c>
      <c r="BG54" s="100">
        <f t="shared" si="223"/>
        <v>0</v>
      </c>
      <c r="BH54" s="100">
        <f t="shared" si="223"/>
        <v>0</v>
      </c>
      <c r="BI54" s="100">
        <f t="shared" si="223"/>
        <v>0</v>
      </c>
      <c r="BJ54" s="100">
        <f t="shared" si="223"/>
        <v>0</v>
      </c>
      <c r="BK54" s="100">
        <f t="shared" ref="BK54" si="224">+BK55+BK56</f>
        <v>0</v>
      </c>
      <c r="BL54" s="100">
        <f t="shared" ref="BL54" si="225">+BL55+BL56</f>
        <v>0</v>
      </c>
      <c r="BM54" s="100">
        <f t="shared" ref="BM54" si="226">+BM55+BM56</f>
        <v>0</v>
      </c>
      <c r="BN54" s="100">
        <f t="shared" ref="BN54" si="227">+BN55+BN56</f>
        <v>0</v>
      </c>
      <c r="BO54" s="100">
        <f t="shared" ref="BO54" si="228">+BO55+BO56</f>
        <v>0</v>
      </c>
      <c r="BP54" s="100">
        <f t="shared" ref="BP54" si="229">+BP55+BP56</f>
        <v>0</v>
      </c>
      <c r="BQ54" s="100">
        <f t="shared" ref="BQ54" si="230">+BQ55+BQ56</f>
        <v>0</v>
      </c>
      <c r="BR54" s="100">
        <f t="shared" ref="BR54" si="231">+BR55+BR56</f>
        <v>0</v>
      </c>
      <c r="BS54" s="100">
        <f t="shared" ref="BS54" si="232">+BS55+BS56</f>
        <v>0</v>
      </c>
      <c r="BT54" s="100">
        <f t="shared" ref="BT54" si="233">+BT55+BT56</f>
        <v>0</v>
      </c>
      <c r="BU54" s="100">
        <f t="shared" ref="BU54" si="234">+BU55+BU56</f>
        <v>0</v>
      </c>
      <c r="BV54" s="100">
        <f t="shared" ref="BV54" si="235">+BV55+BV56</f>
        <v>0</v>
      </c>
      <c r="BW54" s="100">
        <f t="shared" ref="BW54" si="236">+BW55+BW56</f>
        <v>0</v>
      </c>
      <c r="BX54" s="100">
        <f t="shared" ref="BX54" si="237">+BX55+BX56</f>
        <v>0</v>
      </c>
      <c r="BY54" s="100">
        <f t="shared" ref="BY54" si="238">+BY55+BY56</f>
        <v>0</v>
      </c>
      <c r="BZ54" s="100">
        <f t="shared" ref="BZ54" si="239">+BZ55+BZ56</f>
        <v>0</v>
      </c>
      <c r="CA54" s="100">
        <f t="shared" ref="CA54" si="240">+CA55+CA56</f>
        <v>0</v>
      </c>
      <c r="CB54" s="100">
        <f t="shared" ref="CB54" si="241">+CB55+CB56</f>
        <v>0</v>
      </c>
      <c r="CC54" s="100">
        <f t="shared" ref="CC54" si="242">+CC55+CC56</f>
        <v>0</v>
      </c>
      <c r="CD54" s="100">
        <f t="shared" ref="CD54" si="243">+CD55+CD56</f>
        <v>0</v>
      </c>
      <c r="CE54" s="100">
        <f t="shared" ref="CE54" si="244">+CE55+CE56</f>
        <v>0</v>
      </c>
      <c r="CF54" s="100">
        <f t="shared" ref="CF54" si="245">+CF55+CF56</f>
        <v>0</v>
      </c>
      <c r="CG54" s="100">
        <f t="shared" ref="CG54" si="246">+CG55+CG56</f>
        <v>0</v>
      </c>
      <c r="CH54" s="100">
        <f t="shared" ref="CH54" si="247">+CH55+CH56</f>
        <v>0</v>
      </c>
      <c r="CI54" s="100">
        <f t="shared" ref="CI54" si="248">+CI55+CI56</f>
        <v>0</v>
      </c>
      <c r="CJ54" s="100">
        <f t="shared" ref="CJ54" si="249">+CJ55+CJ56</f>
        <v>0</v>
      </c>
      <c r="CK54" s="100">
        <f t="shared" ref="CK54" si="250">+CK55+CK56</f>
        <v>0</v>
      </c>
      <c r="CL54" s="100">
        <f t="shared" ref="CL54" si="251">+CL55+CL56</f>
        <v>0</v>
      </c>
      <c r="CM54" s="100">
        <f t="shared" ref="CM54" si="252">+CM55+CM56</f>
        <v>0</v>
      </c>
      <c r="CN54" s="100">
        <f t="shared" ref="CN54" si="253">+CN55+CN56</f>
        <v>0</v>
      </c>
      <c r="CO54" s="100">
        <f t="shared" ref="CO54" si="254">+CO55+CO56</f>
        <v>0</v>
      </c>
      <c r="CP54" s="100">
        <f t="shared" ref="CP54" si="255">+CP55+CP56</f>
        <v>0</v>
      </c>
      <c r="CQ54" s="100">
        <f t="shared" ref="CQ54" si="256">+CQ55+CQ56</f>
        <v>0</v>
      </c>
      <c r="CR54" s="100">
        <f t="shared" ref="CR54" si="257">+CR55+CR56</f>
        <v>0</v>
      </c>
      <c r="CS54" s="100">
        <f t="shared" ref="CS54" si="258">+CS55+CS56</f>
        <v>0</v>
      </c>
      <c r="CT54" s="100">
        <f t="shared" ref="CT54" si="259">+CT55+CT56</f>
        <v>0</v>
      </c>
      <c r="CU54" s="100">
        <f t="shared" ref="CU54" si="260">+CU55+CU56</f>
        <v>0</v>
      </c>
      <c r="CV54" s="100">
        <f t="shared" ref="CV54" si="261">+CV55+CV56</f>
        <v>0</v>
      </c>
      <c r="CW54" s="100">
        <f t="shared" ref="CW54" si="262">+CW55+CW56</f>
        <v>0</v>
      </c>
      <c r="CX54" s="100">
        <f t="shared" ref="CX54" si="263">+CX55+CX56</f>
        <v>0</v>
      </c>
      <c r="CY54" s="100">
        <f t="shared" ref="CY54" si="264">+CY55+CY56</f>
        <v>0</v>
      </c>
      <c r="CZ54" s="100">
        <f t="shared" ref="CZ54" si="265">+CZ55+CZ56</f>
        <v>0</v>
      </c>
      <c r="DA54" s="100">
        <f t="shared" ref="DA54" si="266">+DA55+DA56</f>
        <v>0</v>
      </c>
      <c r="DB54" s="100">
        <f t="shared" ref="DB54" si="267">+DB55+DB56</f>
        <v>0</v>
      </c>
      <c r="DC54" s="100">
        <f t="shared" ref="DC54" si="268">+DC55+DC56</f>
        <v>0</v>
      </c>
      <c r="DD54" s="100">
        <f t="shared" ref="DD54" si="269">+DD55+DD56</f>
        <v>0</v>
      </c>
      <c r="DE54" s="100">
        <f t="shared" ref="DE54" si="270">+DE55+DE56</f>
        <v>0</v>
      </c>
      <c r="DF54" s="100">
        <f t="shared" ref="DF54" si="271">+DF55+DF56</f>
        <v>0</v>
      </c>
      <c r="DG54" s="100">
        <f t="shared" ref="DG54" si="272">+DG55+DG56</f>
        <v>0</v>
      </c>
      <c r="DH54" s="100">
        <f t="shared" ref="DH54" si="273">+DH55+DH56</f>
        <v>0</v>
      </c>
      <c r="DI54" s="100">
        <f t="shared" ref="DI54" si="274">+DI55+DI56</f>
        <v>0</v>
      </c>
      <c r="DJ54" s="100">
        <f t="shared" ref="DJ54" si="275">+DJ55+DJ56</f>
        <v>0</v>
      </c>
      <c r="DK54" s="100">
        <f t="shared" ref="DK54" si="276">+DK55+DK56</f>
        <v>0</v>
      </c>
      <c r="DL54" s="100">
        <f t="shared" ref="DL54" si="277">+DL55+DL56</f>
        <v>0</v>
      </c>
      <c r="DM54" s="100">
        <f t="shared" ref="DM54" si="278">+DM55+DM56</f>
        <v>0</v>
      </c>
      <c r="DN54" s="100">
        <f t="shared" ref="DN54" si="279">+DN55+DN56</f>
        <v>0</v>
      </c>
      <c r="DO54" s="100">
        <f t="shared" ref="DO54:DP54" si="280">+DO55+DO56</f>
        <v>0</v>
      </c>
      <c r="DP54" s="100">
        <f t="shared" si="280"/>
        <v>0</v>
      </c>
      <c r="DQ54" s="100">
        <f t="shared" ref="DQ54" si="281">+DQ55+DQ56</f>
        <v>0</v>
      </c>
      <c r="DR54" s="100">
        <f>+DR55+DR56</f>
        <v>0</v>
      </c>
      <c r="DS54" s="100">
        <f t="shared" ref="DS54" si="282">+DS55+DS56</f>
        <v>0</v>
      </c>
    </row>
    <row r="55" ht="14.5">
      <c r="A55" s="333" t="s">
        <v>1334</v>
      </c>
      <c r="B55" s="327"/>
      <c r="C55" s="144"/>
      <c r="D55" s="144"/>
      <c r="E55" s="144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4"/>
      <c r="Q55" s="144"/>
      <c r="R55" s="144"/>
      <c r="S55" s="144"/>
      <c r="T55" s="144"/>
      <c r="U55" s="144"/>
      <c r="V55" s="144"/>
      <c r="W55" s="144"/>
      <c r="X55" s="144"/>
      <c r="Y55" s="144"/>
      <c r="Z55" s="144"/>
      <c r="AA55" s="144"/>
      <c r="AB55" s="144"/>
      <c r="AC55" s="144"/>
      <c r="AD55" s="144"/>
      <c r="AE55" s="144"/>
      <c r="AF55" s="144"/>
      <c r="AG55" s="144"/>
      <c r="AH55" s="144"/>
      <c r="AI55" s="144"/>
      <c r="AJ55" s="144"/>
      <c r="AK55" s="144"/>
      <c r="AL55" s="144"/>
      <c r="AM55" s="144"/>
      <c r="AN55" s="144"/>
      <c r="AO55" s="144"/>
      <c r="AP55" s="144"/>
      <c r="AQ55" s="144"/>
      <c r="AR55" s="144"/>
      <c r="AS55" s="144"/>
      <c r="AT55" s="144"/>
      <c r="AU55" s="144"/>
      <c r="AV55" s="144"/>
      <c r="AW55" s="144"/>
      <c r="AX55" s="144"/>
      <c r="AY55" s="144"/>
      <c r="AZ55" s="144"/>
      <c r="BA55" s="144"/>
      <c r="BB55" s="144"/>
      <c r="BC55" s="144"/>
      <c r="BD55" s="144"/>
      <c r="BE55" s="144"/>
      <c r="BF55" s="144"/>
      <c r="BG55" s="144"/>
      <c r="BH55" s="144"/>
      <c r="BI55" s="144"/>
      <c r="BJ55" s="144"/>
      <c r="BK55" s="144"/>
      <c r="BL55" s="144"/>
      <c r="BM55" s="144"/>
      <c r="BN55" s="144"/>
      <c r="BO55" s="144"/>
      <c r="BP55" s="144"/>
      <c r="BQ55" s="144"/>
      <c r="BR55" s="144"/>
      <c r="BS55" s="144"/>
      <c r="BT55" s="144"/>
      <c r="BU55" s="144"/>
      <c r="BV55" s="144"/>
      <c r="BW55" s="144"/>
      <c r="BX55" s="144"/>
      <c r="BY55" s="144"/>
      <c r="BZ55" s="144"/>
      <c r="CA55" s="144"/>
      <c r="CB55" s="144"/>
      <c r="CC55" s="144"/>
      <c r="CD55" s="144"/>
      <c r="CE55" s="144"/>
      <c r="CF55" s="144"/>
      <c r="CG55" s="144"/>
      <c r="CH55" s="144"/>
      <c r="CI55" s="144"/>
      <c r="CJ55" s="144"/>
      <c r="CK55" s="144"/>
      <c r="CL55" s="144"/>
      <c r="CM55" s="144"/>
      <c r="CN55" s="144"/>
      <c r="CO55" s="144"/>
      <c r="CP55" s="144"/>
      <c r="CQ55" s="144"/>
      <c r="CR55" s="144"/>
      <c r="CS55" s="144"/>
      <c r="CT55" s="144"/>
      <c r="CU55" s="144"/>
      <c r="CV55" s="144"/>
      <c r="CW55" s="144"/>
      <c r="CX55" s="144"/>
      <c r="CY55" s="144"/>
      <c r="CZ55" s="144"/>
      <c r="DA55" s="144"/>
      <c r="DB55" s="144"/>
      <c r="DC55" s="144"/>
      <c r="DD55" s="144"/>
      <c r="DE55" s="144"/>
      <c r="DF55" s="144"/>
      <c r="DG55" s="144"/>
      <c r="DH55" s="144"/>
      <c r="DI55" s="144"/>
      <c r="DJ55" s="144"/>
      <c r="DK55" s="144"/>
      <c r="DL55" s="144"/>
      <c r="DM55" s="144"/>
      <c r="DN55" s="144"/>
      <c r="DO55" s="144"/>
      <c r="DP55" s="144"/>
      <c r="DQ55" s="144"/>
      <c r="DR55" s="144"/>
      <c r="DS55" s="144"/>
    </row>
    <row r="56" ht="14.5">
      <c r="A56" s="333" t="s">
        <v>1335</v>
      </c>
      <c r="B56" s="327"/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4"/>
      <c r="U56" s="144"/>
      <c r="V56" s="144"/>
      <c r="W56" s="144"/>
      <c r="X56" s="144"/>
      <c r="Y56" s="144"/>
      <c r="Z56" s="144"/>
      <c r="AA56" s="144"/>
      <c r="AB56" s="144"/>
      <c r="AC56" s="144"/>
      <c r="AD56" s="144"/>
      <c r="AE56" s="144"/>
      <c r="AF56" s="144"/>
      <c r="AG56" s="144"/>
      <c r="AH56" s="144"/>
      <c r="AI56" s="144"/>
      <c r="AJ56" s="144"/>
      <c r="AK56" s="144"/>
      <c r="AL56" s="144"/>
      <c r="AM56" s="144"/>
      <c r="AN56" s="144"/>
      <c r="AO56" s="144"/>
      <c r="AP56" s="144"/>
      <c r="AQ56" s="144"/>
      <c r="AR56" s="144"/>
      <c r="AS56" s="144"/>
      <c r="AT56" s="144"/>
      <c r="AU56" s="144"/>
      <c r="AV56" s="144"/>
      <c r="AW56" s="144"/>
      <c r="AX56" s="144"/>
      <c r="AY56" s="144"/>
      <c r="AZ56" s="144"/>
      <c r="BA56" s="144"/>
      <c r="BB56" s="144"/>
      <c r="BC56" s="144"/>
      <c r="BD56" s="144"/>
      <c r="BE56" s="144"/>
      <c r="BF56" s="144"/>
      <c r="BG56" s="144"/>
      <c r="BH56" s="144"/>
      <c r="BI56" s="144"/>
      <c r="BJ56" s="144"/>
      <c r="BK56" s="144"/>
      <c r="BL56" s="144"/>
      <c r="BM56" s="144"/>
      <c r="BN56" s="144"/>
      <c r="BO56" s="144"/>
      <c r="BP56" s="144"/>
      <c r="BQ56" s="144"/>
      <c r="BR56" s="144"/>
      <c r="BS56" s="144"/>
      <c r="BT56" s="144"/>
      <c r="BU56" s="144"/>
      <c r="BV56" s="144"/>
      <c r="BW56" s="144"/>
      <c r="BX56" s="144"/>
      <c r="BY56" s="144"/>
      <c r="BZ56" s="144"/>
      <c r="CA56" s="144"/>
      <c r="CB56" s="144"/>
      <c r="CC56" s="144"/>
      <c r="CD56" s="144"/>
      <c r="CE56" s="144"/>
      <c r="CF56" s="144"/>
      <c r="CG56" s="144"/>
      <c r="CH56" s="144"/>
      <c r="CI56" s="144"/>
      <c r="CJ56" s="144"/>
      <c r="CK56" s="144"/>
      <c r="CL56" s="144"/>
      <c r="CM56" s="144"/>
      <c r="CN56" s="144"/>
      <c r="CO56" s="144"/>
      <c r="CP56" s="144"/>
      <c r="CQ56" s="144"/>
      <c r="CR56" s="144"/>
      <c r="CS56" s="144"/>
      <c r="CT56" s="144"/>
      <c r="CU56" s="144"/>
      <c r="CV56" s="144"/>
      <c r="CW56" s="144"/>
      <c r="CX56" s="144"/>
      <c r="CY56" s="144"/>
      <c r="CZ56" s="144"/>
      <c r="DA56" s="144"/>
      <c r="DB56" s="144"/>
      <c r="DC56" s="144"/>
      <c r="DD56" s="144"/>
      <c r="DE56" s="144"/>
      <c r="DF56" s="144"/>
      <c r="DG56" s="144"/>
      <c r="DH56" s="144"/>
      <c r="DI56" s="144"/>
      <c r="DJ56" s="144"/>
      <c r="DK56" s="144"/>
      <c r="DL56" s="144"/>
      <c r="DM56" s="144"/>
      <c r="DN56" s="144"/>
      <c r="DO56" s="144"/>
      <c r="DP56" s="144"/>
      <c r="DQ56" s="144"/>
      <c r="DR56" s="144"/>
      <c r="DS56" s="144"/>
    </row>
    <row r="57" ht="8.25" customHeight="1">
      <c r="A57" s="332"/>
      <c r="B57" s="327"/>
      <c r="C57" s="144"/>
      <c r="D57" s="144"/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4"/>
      <c r="U57" s="144"/>
      <c r="V57" s="144"/>
      <c r="W57" s="144"/>
      <c r="X57" s="144"/>
      <c r="Y57" s="144"/>
      <c r="Z57" s="144"/>
      <c r="AA57" s="144"/>
      <c r="AB57" s="144"/>
      <c r="AC57" s="144"/>
      <c r="AD57" s="144"/>
      <c r="AE57" s="144"/>
      <c r="AF57" s="144"/>
      <c r="AG57" s="144"/>
      <c r="AH57" s="144"/>
      <c r="AI57" s="144"/>
      <c r="AJ57" s="144"/>
      <c r="AK57" s="144"/>
      <c r="AL57" s="144"/>
      <c r="AM57" s="144"/>
      <c r="AN57" s="144"/>
      <c r="AO57" s="144"/>
      <c r="AP57" s="144"/>
      <c r="AQ57" s="144"/>
      <c r="AR57" s="144"/>
      <c r="AS57" s="144"/>
      <c r="AT57" s="144"/>
      <c r="AU57" s="144"/>
      <c r="AV57" s="144"/>
      <c r="AW57" s="144"/>
      <c r="AX57" s="144"/>
      <c r="AY57" s="144"/>
      <c r="AZ57" s="144"/>
      <c r="BA57" s="144"/>
      <c r="BB57" s="144"/>
      <c r="BC57" s="144"/>
      <c r="BD57" s="144"/>
      <c r="BE57" s="144"/>
      <c r="BF57" s="144"/>
      <c r="BG57" s="144"/>
      <c r="BH57" s="144"/>
      <c r="BI57" s="144"/>
      <c r="BJ57" s="144"/>
      <c r="BK57" s="144"/>
      <c r="BL57" s="144"/>
      <c r="BM57" s="144"/>
      <c r="BN57" s="144"/>
      <c r="BO57" s="144"/>
      <c r="BP57" s="144"/>
      <c r="BQ57" s="144"/>
      <c r="BR57" s="144"/>
      <c r="BS57" s="144"/>
      <c r="BT57" s="144"/>
      <c r="BU57" s="144"/>
      <c r="BV57" s="144"/>
      <c r="BW57" s="144"/>
      <c r="BX57" s="144"/>
      <c r="BY57" s="144"/>
      <c r="BZ57" s="144"/>
      <c r="CA57" s="144"/>
      <c r="CB57" s="144"/>
      <c r="CC57" s="144"/>
      <c r="CD57" s="144"/>
      <c r="CE57" s="144"/>
      <c r="CF57" s="144"/>
      <c r="CG57" s="144"/>
      <c r="CH57" s="144"/>
      <c r="CI57" s="144"/>
      <c r="CJ57" s="144"/>
      <c r="CK57" s="144"/>
      <c r="CL57" s="144"/>
      <c r="CM57" s="144"/>
      <c r="CN57" s="144"/>
      <c r="CO57" s="144"/>
      <c r="CP57" s="144"/>
      <c r="CQ57" s="144"/>
      <c r="CR57" s="144"/>
      <c r="CS57" s="144"/>
      <c r="CT57" s="144"/>
      <c r="CU57" s="144"/>
      <c r="CV57" s="144"/>
      <c r="CW57" s="144"/>
      <c r="CX57" s="144"/>
      <c r="CY57" s="144"/>
      <c r="CZ57" s="144"/>
      <c r="DA57" s="144"/>
      <c r="DB57" s="144"/>
      <c r="DC57" s="144"/>
      <c r="DD57" s="144"/>
      <c r="DE57" s="144"/>
      <c r="DF57" s="144"/>
      <c r="DG57" s="144"/>
      <c r="DH57" s="144"/>
      <c r="DI57" s="144"/>
      <c r="DJ57" s="144"/>
      <c r="DK57" s="144"/>
      <c r="DL57" s="144"/>
      <c r="DM57" s="144"/>
      <c r="DN57" s="144"/>
      <c r="DO57" s="144"/>
      <c r="DP57" s="144"/>
      <c r="DQ57" s="144"/>
      <c r="DR57" s="144"/>
      <c r="DS57" s="144"/>
    </row>
    <row r="58" ht="14.5">
      <c r="A58" s="319" t="s">
        <v>1336</v>
      </c>
      <c r="B58" s="327"/>
      <c r="C58" s="144"/>
      <c r="D58" s="144">
        <f>+C58</f>
        <v>0</v>
      </c>
      <c r="E58" s="144">
        <f t="shared" ref="E58:BP59" si="283">+D58</f>
        <v>0</v>
      </c>
      <c r="F58" s="144">
        <f t="shared" si="283"/>
        <v>0</v>
      </c>
      <c r="G58" s="144">
        <f t="shared" si="283"/>
        <v>0</v>
      </c>
      <c r="H58" s="144">
        <f t="shared" si="283"/>
        <v>0</v>
      </c>
      <c r="I58" s="144">
        <f t="shared" si="283"/>
        <v>0</v>
      </c>
      <c r="J58" s="144">
        <f t="shared" si="283"/>
        <v>0</v>
      </c>
      <c r="K58" s="144">
        <f t="shared" si="283"/>
        <v>0</v>
      </c>
      <c r="L58" s="144">
        <f t="shared" si="283"/>
        <v>0</v>
      </c>
      <c r="M58" s="144">
        <f t="shared" si="283"/>
        <v>0</v>
      </c>
      <c r="N58" s="144">
        <f t="shared" si="283"/>
        <v>0</v>
      </c>
      <c r="O58" s="144">
        <f t="shared" si="283"/>
        <v>0</v>
      </c>
      <c r="P58" s="144">
        <f t="shared" si="283"/>
        <v>0</v>
      </c>
      <c r="Q58" s="144">
        <f t="shared" si="283"/>
        <v>0</v>
      </c>
      <c r="R58" s="144">
        <f t="shared" si="283"/>
        <v>0</v>
      </c>
      <c r="S58" s="144">
        <f t="shared" si="283"/>
        <v>0</v>
      </c>
      <c r="T58" s="144">
        <f t="shared" si="283"/>
        <v>0</v>
      </c>
      <c r="U58" s="144">
        <f t="shared" si="283"/>
        <v>0</v>
      </c>
      <c r="V58" s="144">
        <f t="shared" si="283"/>
        <v>0</v>
      </c>
      <c r="W58" s="144">
        <f t="shared" si="283"/>
        <v>0</v>
      </c>
      <c r="X58" s="144">
        <f t="shared" si="283"/>
        <v>0</v>
      </c>
      <c r="Y58" s="144">
        <f t="shared" si="283"/>
        <v>0</v>
      </c>
      <c r="Z58" s="144">
        <f t="shared" si="283"/>
        <v>0</v>
      </c>
      <c r="AA58" s="144">
        <f t="shared" si="283"/>
        <v>0</v>
      </c>
      <c r="AB58" s="144">
        <f t="shared" si="283"/>
        <v>0</v>
      </c>
      <c r="AC58" s="144">
        <f t="shared" si="283"/>
        <v>0</v>
      </c>
      <c r="AD58" s="144">
        <f t="shared" si="283"/>
        <v>0</v>
      </c>
      <c r="AE58" s="144">
        <f t="shared" si="283"/>
        <v>0</v>
      </c>
      <c r="AF58" s="144">
        <f t="shared" si="283"/>
        <v>0</v>
      </c>
      <c r="AG58" s="144">
        <f t="shared" si="283"/>
        <v>0</v>
      </c>
      <c r="AH58" s="144">
        <f t="shared" si="283"/>
        <v>0</v>
      </c>
      <c r="AI58" s="144">
        <f t="shared" si="283"/>
        <v>0</v>
      </c>
      <c r="AJ58" s="144">
        <f t="shared" si="283"/>
        <v>0</v>
      </c>
      <c r="AK58" s="144">
        <f t="shared" si="283"/>
        <v>0</v>
      </c>
      <c r="AL58" s="144">
        <f t="shared" si="283"/>
        <v>0</v>
      </c>
      <c r="AM58" s="144">
        <f t="shared" si="283"/>
        <v>0</v>
      </c>
      <c r="AN58" s="144">
        <f t="shared" si="283"/>
        <v>0</v>
      </c>
      <c r="AO58" s="144">
        <f t="shared" si="283"/>
        <v>0</v>
      </c>
      <c r="AP58" s="144">
        <f t="shared" si="283"/>
        <v>0</v>
      </c>
      <c r="AQ58" s="144">
        <f t="shared" si="283"/>
        <v>0</v>
      </c>
      <c r="AR58" s="144">
        <f t="shared" si="283"/>
        <v>0</v>
      </c>
      <c r="AS58" s="144">
        <f t="shared" si="283"/>
        <v>0</v>
      </c>
      <c r="AT58" s="144">
        <f t="shared" si="283"/>
        <v>0</v>
      </c>
      <c r="AU58" s="144">
        <f t="shared" si="283"/>
        <v>0</v>
      </c>
      <c r="AV58" s="144">
        <f t="shared" si="283"/>
        <v>0</v>
      </c>
      <c r="AW58" s="144">
        <f t="shared" si="283"/>
        <v>0</v>
      </c>
      <c r="AX58" s="144">
        <f t="shared" si="283"/>
        <v>0</v>
      </c>
      <c r="AY58" s="144">
        <f t="shared" si="283"/>
        <v>0</v>
      </c>
      <c r="AZ58" s="144">
        <f t="shared" si="283"/>
        <v>0</v>
      </c>
      <c r="BA58" s="144">
        <f t="shared" si="283"/>
        <v>0</v>
      </c>
      <c r="BB58" s="144">
        <f t="shared" si="283"/>
        <v>0</v>
      </c>
      <c r="BC58" s="144">
        <f t="shared" si="283"/>
        <v>0</v>
      </c>
      <c r="BD58" s="144">
        <f t="shared" si="283"/>
        <v>0</v>
      </c>
      <c r="BE58" s="144">
        <f t="shared" si="283"/>
        <v>0</v>
      </c>
      <c r="BF58" s="144">
        <f t="shared" si="283"/>
        <v>0</v>
      </c>
      <c r="BG58" s="144">
        <f t="shared" si="283"/>
        <v>0</v>
      </c>
      <c r="BH58" s="144">
        <f t="shared" si="283"/>
        <v>0</v>
      </c>
      <c r="BI58" s="144">
        <f t="shared" si="283"/>
        <v>0</v>
      </c>
      <c r="BJ58" s="144">
        <f t="shared" si="283"/>
        <v>0</v>
      </c>
      <c r="BK58" s="144">
        <f t="shared" si="283"/>
        <v>0</v>
      </c>
      <c r="BL58" s="144">
        <f t="shared" si="283"/>
        <v>0</v>
      </c>
      <c r="BM58" s="144">
        <f t="shared" si="283"/>
        <v>0</v>
      </c>
      <c r="BN58" s="144">
        <f t="shared" si="283"/>
        <v>0</v>
      </c>
      <c r="BO58" s="144">
        <f t="shared" si="283"/>
        <v>0</v>
      </c>
      <c r="BP58" s="144">
        <f t="shared" si="283"/>
        <v>0</v>
      </c>
      <c r="BQ58" s="144">
        <f t="shared" ref="BQ58:DS61" si="284">+BP58</f>
        <v>0</v>
      </c>
      <c r="BR58" s="144">
        <f t="shared" si="284"/>
        <v>0</v>
      </c>
      <c r="BS58" s="144">
        <f t="shared" si="284"/>
        <v>0</v>
      </c>
      <c r="BT58" s="144">
        <f t="shared" si="284"/>
        <v>0</v>
      </c>
      <c r="BU58" s="144">
        <f t="shared" si="284"/>
        <v>0</v>
      </c>
      <c r="BV58" s="144">
        <f t="shared" si="284"/>
        <v>0</v>
      </c>
      <c r="BW58" s="144">
        <f t="shared" si="284"/>
        <v>0</v>
      </c>
      <c r="BX58" s="144">
        <f t="shared" si="284"/>
        <v>0</v>
      </c>
      <c r="BY58" s="144">
        <f t="shared" si="284"/>
        <v>0</v>
      </c>
      <c r="BZ58" s="144">
        <f t="shared" si="284"/>
        <v>0</v>
      </c>
      <c r="CA58" s="144">
        <f t="shared" si="284"/>
        <v>0</v>
      </c>
      <c r="CB58" s="144">
        <f t="shared" si="284"/>
        <v>0</v>
      </c>
      <c r="CC58" s="144">
        <f t="shared" si="284"/>
        <v>0</v>
      </c>
      <c r="CD58" s="144">
        <f t="shared" si="284"/>
        <v>0</v>
      </c>
      <c r="CE58" s="144">
        <f t="shared" si="284"/>
        <v>0</v>
      </c>
      <c r="CF58" s="144">
        <f t="shared" si="284"/>
        <v>0</v>
      </c>
      <c r="CG58" s="144">
        <f t="shared" si="284"/>
        <v>0</v>
      </c>
      <c r="CH58" s="144">
        <f t="shared" si="284"/>
        <v>0</v>
      </c>
      <c r="CI58" s="144">
        <f t="shared" si="284"/>
        <v>0</v>
      </c>
      <c r="CJ58" s="144">
        <f t="shared" si="284"/>
        <v>0</v>
      </c>
      <c r="CK58" s="144">
        <f t="shared" si="284"/>
        <v>0</v>
      </c>
      <c r="CL58" s="144">
        <f t="shared" si="284"/>
        <v>0</v>
      </c>
      <c r="CM58" s="144">
        <f t="shared" si="284"/>
        <v>0</v>
      </c>
      <c r="CN58" s="144">
        <f t="shared" si="284"/>
        <v>0</v>
      </c>
      <c r="CO58" s="144">
        <f t="shared" si="284"/>
        <v>0</v>
      </c>
      <c r="CP58" s="144">
        <f t="shared" si="284"/>
        <v>0</v>
      </c>
      <c r="CQ58" s="144">
        <f t="shared" si="284"/>
        <v>0</v>
      </c>
      <c r="CR58" s="144">
        <f t="shared" si="284"/>
        <v>0</v>
      </c>
      <c r="CS58" s="144">
        <f t="shared" si="284"/>
        <v>0</v>
      </c>
      <c r="CT58" s="144">
        <f t="shared" si="284"/>
        <v>0</v>
      </c>
      <c r="CU58" s="144">
        <f t="shared" si="284"/>
        <v>0</v>
      </c>
      <c r="CV58" s="144">
        <f t="shared" si="284"/>
        <v>0</v>
      </c>
      <c r="CW58" s="144">
        <f t="shared" si="284"/>
        <v>0</v>
      </c>
      <c r="CX58" s="144">
        <f t="shared" si="284"/>
        <v>0</v>
      </c>
      <c r="CY58" s="144">
        <f t="shared" si="284"/>
        <v>0</v>
      </c>
      <c r="CZ58" s="144">
        <f t="shared" si="284"/>
        <v>0</v>
      </c>
      <c r="DA58" s="144">
        <f t="shared" si="284"/>
        <v>0</v>
      </c>
      <c r="DB58" s="144">
        <f t="shared" si="284"/>
        <v>0</v>
      </c>
      <c r="DC58" s="144">
        <f t="shared" si="284"/>
        <v>0</v>
      </c>
      <c r="DD58" s="144">
        <f t="shared" si="284"/>
        <v>0</v>
      </c>
      <c r="DE58" s="144">
        <f t="shared" si="284"/>
        <v>0</v>
      </c>
      <c r="DF58" s="144">
        <f t="shared" si="284"/>
        <v>0</v>
      </c>
      <c r="DG58" s="144">
        <f t="shared" si="284"/>
        <v>0</v>
      </c>
      <c r="DH58" s="144">
        <f t="shared" si="284"/>
        <v>0</v>
      </c>
      <c r="DI58" s="144">
        <f t="shared" si="284"/>
        <v>0</v>
      </c>
      <c r="DJ58" s="144">
        <f t="shared" si="284"/>
        <v>0</v>
      </c>
      <c r="DK58" s="144">
        <f t="shared" si="284"/>
        <v>0</v>
      </c>
      <c r="DL58" s="144">
        <f t="shared" si="284"/>
        <v>0</v>
      </c>
      <c r="DM58" s="144">
        <f t="shared" si="284"/>
        <v>0</v>
      </c>
      <c r="DN58" s="144">
        <f t="shared" si="284"/>
        <v>0</v>
      </c>
      <c r="DO58" s="144">
        <f t="shared" si="284"/>
        <v>0</v>
      </c>
      <c r="DP58" s="144">
        <f t="shared" si="284"/>
        <v>0</v>
      </c>
      <c r="DQ58" s="144">
        <f t="shared" si="284"/>
        <v>0</v>
      </c>
      <c r="DR58" s="144">
        <f t="shared" si="284"/>
        <v>0</v>
      </c>
      <c r="DS58" s="144">
        <f t="shared" si="284"/>
        <v>0</v>
      </c>
    </row>
    <row r="59" ht="14.5">
      <c r="A59" s="320" t="s">
        <v>1337</v>
      </c>
      <c r="B59" s="327"/>
      <c r="C59" s="144"/>
      <c r="D59" s="144">
        <f t="shared" ref="D59:S61" si="285">+C59</f>
        <v>0</v>
      </c>
      <c r="E59" s="144">
        <f t="shared" si="285"/>
        <v>0</v>
      </c>
      <c r="F59" s="144">
        <f t="shared" si="285"/>
        <v>0</v>
      </c>
      <c r="G59" s="144">
        <f t="shared" si="285"/>
        <v>0</v>
      </c>
      <c r="H59" s="144">
        <f t="shared" si="285"/>
        <v>0</v>
      </c>
      <c r="I59" s="144">
        <f t="shared" si="285"/>
        <v>0</v>
      </c>
      <c r="J59" s="144">
        <f t="shared" si="285"/>
        <v>0</v>
      </c>
      <c r="K59" s="144">
        <f t="shared" si="285"/>
        <v>0</v>
      </c>
      <c r="L59" s="144">
        <f t="shared" si="285"/>
        <v>0</v>
      </c>
      <c r="M59" s="144">
        <f t="shared" si="285"/>
        <v>0</v>
      </c>
      <c r="N59" s="144">
        <f t="shared" si="285"/>
        <v>0</v>
      </c>
      <c r="O59" s="144">
        <f t="shared" si="285"/>
        <v>0</v>
      </c>
      <c r="P59" s="144">
        <f t="shared" si="285"/>
        <v>0</v>
      </c>
      <c r="Q59" s="144">
        <f t="shared" si="285"/>
        <v>0</v>
      </c>
      <c r="R59" s="144">
        <f t="shared" si="285"/>
        <v>0</v>
      </c>
      <c r="S59" s="144">
        <f t="shared" si="285"/>
        <v>0</v>
      </c>
      <c r="T59" s="144">
        <f t="shared" si="283"/>
        <v>0</v>
      </c>
      <c r="U59" s="144">
        <f t="shared" si="283"/>
        <v>0</v>
      </c>
      <c r="V59" s="144">
        <f t="shared" si="283"/>
        <v>0</v>
      </c>
      <c r="W59" s="144">
        <f t="shared" si="283"/>
        <v>0</v>
      </c>
      <c r="X59" s="144">
        <f t="shared" si="283"/>
        <v>0</v>
      </c>
      <c r="Y59" s="144">
        <f t="shared" si="283"/>
        <v>0</v>
      </c>
      <c r="Z59" s="144">
        <f t="shared" si="283"/>
        <v>0</v>
      </c>
      <c r="AA59" s="144">
        <f t="shared" si="283"/>
        <v>0</v>
      </c>
      <c r="AB59" s="144">
        <f t="shared" si="283"/>
        <v>0</v>
      </c>
      <c r="AC59" s="144">
        <f t="shared" si="283"/>
        <v>0</v>
      </c>
      <c r="AD59" s="144">
        <f t="shared" si="283"/>
        <v>0</v>
      </c>
      <c r="AE59" s="144">
        <f t="shared" si="283"/>
        <v>0</v>
      </c>
      <c r="AF59" s="144">
        <f t="shared" si="283"/>
        <v>0</v>
      </c>
      <c r="AG59" s="144">
        <f t="shared" si="283"/>
        <v>0</v>
      </c>
      <c r="AH59" s="144">
        <f t="shared" si="283"/>
        <v>0</v>
      </c>
      <c r="AI59" s="144">
        <f t="shared" si="283"/>
        <v>0</v>
      </c>
      <c r="AJ59" s="144">
        <f t="shared" si="283"/>
        <v>0</v>
      </c>
      <c r="AK59" s="144">
        <f t="shared" si="283"/>
        <v>0</v>
      </c>
      <c r="AL59" s="144">
        <f t="shared" si="283"/>
        <v>0</v>
      </c>
      <c r="AM59" s="144">
        <f t="shared" si="283"/>
        <v>0</v>
      </c>
      <c r="AN59" s="144">
        <f t="shared" si="283"/>
        <v>0</v>
      </c>
      <c r="AO59" s="144">
        <f t="shared" si="283"/>
        <v>0</v>
      </c>
      <c r="AP59" s="144">
        <f t="shared" si="283"/>
        <v>0</v>
      </c>
      <c r="AQ59" s="144">
        <f t="shared" si="283"/>
        <v>0</v>
      </c>
      <c r="AR59" s="144">
        <f t="shared" si="283"/>
        <v>0</v>
      </c>
      <c r="AS59" s="144">
        <f t="shared" si="283"/>
        <v>0</v>
      </c>
      <c r="AT59" s="144">
        <f t="shared" si="283"/>
        <v>0</v>
      </c>
      <c r="AU59" s="144">
        <f t="shared" si="283"/>
        <v>0</v>
      </c>
      <c r="AV59" s="144">
        <f t="shared" si="283"/>
        <v>0</v>
      </c>
      <c r="AW59" s="144">
        <f t="shared" si="283"/>
        <v>0</v>
      </c>
      <c r="AX59" s="144">
        <f t="shared" si="283"/>
        <v>0</v>
      </c>
      <c r="AY59" s="144">
        <f t="shared" si="283"/>
        <v>0</v>
      </c>
      <c r="AZ59" s="144">
        <f t="shared" si="283"/>
        <v>0</v>
      </c>
      <c r="BA59" s="144">
        <f t="shared" si="283"/>
        <v>0</v>
      </c>
      <c r="BB59" s="144">
        <f t="shared" si="283"/>
        <v>0</v>
      </c>
      <c r="BC59" s="144">
        <f t="shared" si="283"/>
        <v>0</v>
      </c>
      <c r="BD59" s="144">
        <f t="shared" si="283"/>
        <v>0</v>
      </c>
      <c r="BE59" s="144">
        <f t="shared" si="283"/>
        <v>0</v>
      </c>
      <c r="BF59" s="144">
        <f t="shared" si="283"/>
        <v>0</v>
      </c>
      <c r="BG59" s="144">
        <f t="shared" si="283"/>
        <v>0</v>
      </c>
      <c r="BH59" s="144">
        <f t="shared" si="283"/>
        <v>0</v>
      </c>
      <c r="BI59" s="144">
        <f t="shared" si="283"/>
        <v>0</v>
      </c>
      <c r="BJ59" s="144">
        <f t="shared" si="283"/>
        <v>0</v>
      </c>
      <c r="BK59" s="144">
        <f t="shared" si="283"/>
        <v>0</v>
      </c>
      <c r="BL59" s="144">
        <f t="shared" si="283"/>
        <v>0</v>
      </c>
      <c r="BM59" s="144">
        <f t="shared" si="283"/>
        <v>0</v>
      </c>
      <c r="BN59" s="144">
        <f t="shared" si="283"/>
        <v>0</v>
      </c>
      <c r="BO59" s="144">
        <f t="shared" si="283"/>
        <v>0</v>
      </c>
      <c r="BP59" s="144">
        <f t="shared" si="283"/>
        <v>0</v>
      </c>
      <c r="BQ59" s="144">
        <f t="shared" si="284"/>
        <v>0</v>
      </c>
      <c r="BR59" s="144">
        <f t="shared" si="284"/>
        <v>0</v>
      </c>
      <c r="BS59" s="144">
        <f t="shared" si="284"/>
        <v>0</v>
      </c>
      <c r="BT59" s="144">
        <f t="shared" si="284"/>
        <v>0</v>
      </c>
      <c r="BU59" s="144">
        <f t="shared" si="284"/>
        <v>0</v>
      </c>
      <c r="BV59" s="144">
        <f t="shared" si="284"/>
        <v>0</v>
      </c>
      <c r="BW59" s="144">
        <f t="shared" si="284"/>
        <v>0</v>
      </c>
      <c r="BX59" s="144">
        <f t="shared" si="284"/>
        <v>0</v>
      </c>
      <c r="BY59" s="144">
        <f t="shared" si="284"/>
        <v>0</v>
      </c>
      <c r="BZ59" s="144">
        <f t="shared" si="284"/>
        <v>0</v>
      </c>
      <c r="CA59" s="144">
        <f t="shared" si="284"/>
        <v>0</v>
      </c>
      <c r="CB59" s="144">
        <f t="shared" si="284"/>
        <v>0</v>
      </c>
      <c r="CC59" s="144">
        <f t="shared" si="284"/>
        <v>0</v>
      </c>
      <c r="CD59" s="144">
        <f t="shared" si="284"/>
        <v>0</v>
      </c>
      <c r="CE59" s="144">
        <f t="shared" si="284"/>
        <v>0</v>
      </c>
      <c r="CF59" s="144">
        <f t="shared" si="284"/>
        <v>0</v>
      </c>
      <c r="CG59" s="144">
        <f t="shared" si="284"/>
        <v>0</v>
      </c>
      <c r="CH59" s="144">
        <f t="shared" si="284"/>
        <v>0</v>
      </c>
      <c r="CI59" s="144">
        <f t="shared" si="284"/>
        <v>0</v>
      </c>
      <c r="CJ59" s="144">
        <f t="shared" si="284"/>
        <v>0</v>
      </c>
      <c r="CK59" s="144">
        <f t="shared" si="284"/>
        <v>0</v>
      </c>
      <c r="CL59" s="144">
        <f t="shared" si="284"/>
        <v>0</v>
      </c>
      <c r="CM59" s="144">
        <f t="shared" si="284"/>
        <v>0</v>
      </c>
      <c r="CN59" s="144">
        <f t="shared" si="284"/>
        <v>0</v>
      </c>
      <c r="CO59" s="144">
        <f t="shared" si="284"/>
        <v>0</v>
      </c>
      <c r="CP59" s="144">
        <f t="shared" si="284"/>
        <v>0</v>
      </c>
      <c r="CQ59" s="144">
        <f t="shared" si="284"/>
        <v>0</v>
      </c>
      <c r="CR59" s="144">
        <f t="shared" si="284"/>
        <v>0</v>
      </c>
      <c r="CS59" s="144">
        <f t="shared" si="284"/>
        <v>0</v>
      </c>
      <c r="CT59" s="144">
        <f t="shared" si="284"/>
        <v>0</v>
      </c>
      <c r="CU59" s="144">
        <f t="shared" si="284"/>
        <v>0</v>
      </c>
      <c r="CV59" s="144">
        <f t="shared" si="284"/>
        <v>0</v>
      </c>
      <c r="CW59" s="144">
        <f t="shared" si="284"/>
        <v>0</v>
      </c>
      <c r="CX59" s="144">
        <f t="shared" si="284"/>
        <v>0</v>
      </c>
      <c r="CY59" s="144">
        <f t="shared" si="284"/>
        <v>0</v>
      </c>
      <c r="CZ59" s="144">
        <f t="shared" si="284"/>
        <v>0</v>
      </c>
      <c r="DA59" s="144">
        <f t="shared" si="284"/>
        <v>0</v>
      </c>
      <c r="DB59" s="144">
        <f t="shared" si="284"/>
        <v>0</v>
      </c>
      <c r="DC59" s="144">
        <f t="shared" si="284"/>
        <v>0</v>
      </c>
      <c r="DD59" s="144">
        <f t="shared" si="284"/>
        <v>0</v>
      </c>
      <c r="DE59" s="144">
        <f t="shared" si="284"/>
        <v>0</v>
      </c>
      <c r="DF59" s="144">
        <f t="shared" si="284"/>
        <v>0</v>
      </c>
      <c r="DG59" s="144">
        <f t="shared" si="284"/>
        <v>0</v>
      </c>
      <c r="DH59" s="144">
        <f t="shared" si="284"/>
        <v>0</v>
      </c>
      <c r="DI59" s="144">
        <f t="shared" si="284"/>
        <v>0</v>
      </c>
      <c r="DJ59" s="144">
        <f t="shared" si="284"/>
        <v>0</v>
      </c>
      <c r="DK59" s="144">
        <f t="shared" si="284"/>
        <v>0</v>
      </c>
      <c r="DL59" s="144">
        <f t="shared" si="284"/>
        <v>0</v>
      </c>
      <c r="DM59" s="144">
        <f t="shared" si="284"/>
        <v>0</v>
      </c>
      <c r="DN59" s="144">
        <f t="shared" si="284"/>
        <v>0</v>
      </c>
      <c r="DO59" s="144">
        <f t="shared" si="284"/>
        <v>0</v>
      </c>
      <c r="DP59" s="144">
        <f t="shared" si="284"/>
        <v>0</v>
      </c>
      <c r="DQ59" s="144">
        <f t="shared" si="284"/>
        <v>0</v>
      </c>
      <c r="DR59" s="144">
        <f t="shared" si="284"/>
        <v>0</v>
      </c>
      <c r="DS59" s="144">
        <f t="shared" si="284"/>
        <v>0</v>
      </c>
    </row>
    <row r="60" ht="14.5">
      <c r="A60" s="320" t="s">
        <v>1303</v>
      </c>
      <c r="B60" s="327"/>
      <c r="C60" s="144"/>
      <c r="D60" s="144">
        <f t="shared" si="285"/>
        <v>0</v>
      </c>
      <c r="E60" s="144">
        <f t="shared" ref="E60:BP61" si="286">+D60</f>
        <v>0</v>
      </c>
      <c r="F60" s="144">
        <f t="shared" si="286"/>
        <v>0</v>
      </c>
      <c r="G60" s="144">
        <f t="shared" si="286"/>
        <v>0</v>
      </c>
      <c r="H60" s="144">
        <f t="shared" si="286"/>
        <v>0</v>
      </c>
      <c r="I60" s="144">
        <f t="shared" si="286"/>
        <v>0</v>
      </c>
      <c r="J60" s="144">
        <f t="shared" si="286"/>
        <v>0</v>
      </c>
      <c r="K60" s="144">
        <f t="shared" si="286"/>
        <v>0</v>
      </c>
      <c r="L60" s="144">
        <f t="shared" si="286"/>
        <v>0</v>
      </c>
      <c r="M60" s="144">
        <f t="shared" si="286"/>
        <v>0</v>
      </c>
      <c r="N60" s="144">
        <f t="shared" si="286"/>
        <v>0</v>
      </c>
      <c r="O60" s="144">
        <f t="shared" si="286"/>
        <v>0</v>
      </c>
      <c r="P60" s="144">
        <f t="shared" si="286"/>
        <v>0</v>
      </c>
      <c r="Q60" s="144">
        <f t="shared" si="286"/>
        <v>0</v>
      </c>
      <c r="R60" s="144">
        <f t="shared" si="286"/>
        <v>0</v>
      </c>
      <c r="S60" s="144">
        <f t="shared" si="286"/>
        <v>0</v>
      </c>
      <c r="T60" s="144">
        <f t="shared" si="286"/>
        <v>0</v>
      </c>
      <c r="U60" s="144">
        <f t="shared" si="286"/>
        <v>0</v>
      </c>
      <c r="V60" s="144">
        <f t="shared" si="286"/>
        <v>0</v>
      </c>
      <c r="W60" s="144">
        <f t="shared" si="286"/>
        <v>0</v>
      </c>
      <c r="X60" s="144">
        <f t="shared" si="286"/>
        <v>0</v>
      </c>
      <c r="Y60" s="144">
        <f t="shared" si="286"/>
        <v>0</v>
      </c>
      <c r="Z60" s="144">
        <f t="shared" si="286"/>
        <v>0</v>
      </c>
      <c r="AA60" s="144">
        <f t="shared" si="286"/>
        <v>0</v>
      </c>
      <c r="AB60" s="144">
        <f t="shared" si="286"/>
        <v>0</v>
      </c>
      <c r="AC60" s="144">
        <f t="shared" si="286"/>
        <v>0</v>
      </c>
      <c r="AD60" s="144">
        <f t="shared" si="286"/>
        <v>0</v>
      </c>
      <c r="AE60" s="144">
        <f t="shared" si="286"/>
        <v>0</v>
      </c>
      <c r="AF60" s="144">
        <f t="shared" si="286"/>
        <v>0</v>
      </c>
      <c r="AG60" s="144">
        <f t="shared" si="286"/>
        <v>0</v>
      </c>
      <c r="AH60" s="144">
        <f t="shared" si="286"/>
        <v>0</v>
      </c>
      <c r="AI60" s="144">
        <f t="shared" si="286"/>
        <v>0</v>
      </c>
      <c r="AJ60" s="144">
        <f t="shared" si="286"/>
        <v>0</v>
      </c>
      <c r="AK60" s="144">
        <f t="shared" si="286"/>
        <v>0</v>
      </c>
      <c r="AL60" s="144">
        <f t="shared" si="286"/>
        <v>0</v>
      </c>
      <c r="AM60" s="144">
        <f t="shared" si="286"/>
        <v>0</v>
      </c>
      <c r="AN60" s="144">
        <f t="shared" si="286"/>
        <v>0</v>
      </c>
      <c r="AO60" s="144">
        <f t="shared" si="286"/>
        <v>0</v>
      </c>
      <c r="AP60" s="144">
        <f t="shared" si="286"/>
        <v>0</v>
      </c>
      <c r="AQ60" s="144">
        <f t="shared" si="286"/>
        <v>0</v>
      </c>
      <c r="AR60" s="144">
        <f t="shared" si="286"/>
        <v>0</v>
      </c>
      <c r="AS60" s="144">
        <f t="shared" si="286"/>
        <v>0</v>
      </c>
      <c r="AT60" s="144">
        <f t="shared" si="286"/>
        <v>0</v>
      </c>
      <c r="AU60" s="144">
        <f t="shared" si="286"/>
        <v>0</v>
      </c>
      <c r="AV60" s="144">
        <f t="shared" si="286"/>
        <v>0</v>
      </c>
      <c r="AW60" s="144">
        <f t="shared" si="286"/>
        <v>0</v>
      </c>
      <c r="AX60" s="144">
        <f t="shared" si="286"/>
        <v>0</v>
      </c>
      <c r="AY60" s="144">
        <f t="shared" si="286"/>
        <v>0</v>
      </c>
      <c r="AZ60" s="144">
        <f t="shared" si="286"/>
        <v>0</v>
      </c>
      <c r="BA60" s="144">
        <f t="shared" si="286"/>
        <v>0</v>
      </c>
      <c r="BB60" s="144">
        <f t="shared" si="286"/>
        <v>0</v>
      </c>
      <c r="BC60" s="144">
        <f t="shared" si="286"/>
        <v>0</v>
      </c>
      <c r="BD60" s="144">
        <f t="shared" si="286"/>
        <v>0</v>
      </c>
      <c r="BE60" s="144">
        <f t="shared" si="286"/>
        <v>0</v>
      </c>
      <c r="BF60" s="144">
        <f t="shared" si="286"/>
        <v>0</v>
      </c>
      <c r="BG60" s="144">
        <f t="shared" si="286"/>
        <v>0</v>
      </c>
      <c r="BH60" s="144">
        <f t="shared" si="286"/>
        <v>0</v>
      </c>
      <c r="BI60" s="144">
        <f t="shared" si="286"/>
        <v>0</v>
      </c>
      <c r="BJ60" s="144">
        <f t="shared" si="286"/>
        <v>0</v>
      </c>
      <c r="BK60" s="144">
        <f t="shared" si="286"/>
        <v>0</v>
      </c>
      <c r="BL60" s="144">
        <f t="shared" si="286"/>
        <v>0</v>
      </c>
      <c r="BM60" s="144">
        <f t="shared" si="286"/>
        <v>0</v>
      </c>
      <c r="BN60" s="144">
        <f t="shared" si="286"/>
        <v>0</v>
      </c>
      <c r="BO60" s="144">
        <f t="shared" si="286"/>
        <v>0</v>
      </c>
      <c r="BP60" s="144">
        <f t="shared" si="286"/>
        <v>0</v>
      </c>
      <c r="BQ60" s="144">
        <f t="shared" si="284"/>
        <v>0</v>
      </c>
      <c r="BR60" s="144">
        <f t="shared" si="284"/>
        <v>0</v>
      </c>
      <c r="BS60" s="144">
        <f t="shared" si="284"/>
        <v>0</v>
      </c>
      <c r="BT60" s="144">
        <f t="shared" si="284"/>
        <v>0</v>
      </c>
      <c r="BU60" s="144">
        <f t="shared" si="284"/>
        <v>0</v>
      </c>
      <c r="BV60" s="144">
        <f t="shared" si="284"/>
        <v>0</v>
      </c>
      <c r="BW60" s="144">
        <f t="shared" si="284"/>
        <v>0</v>
      </c>
      <c r="BX60" s="144">
        <f t="shared" si="284"/>
        <v>0</v>
      </c>
      <c r="BY60" s="144">
        <f t="shared" si="284"/>
        <v>0</v>
      </c>
      <c r="BZ60" s="144">
        <f t="shared" si="284"/>
        <v>0</v>
      </c>
      <c r="CA60" s="144">
        <f t="shared" si="284"/>
        <v>0</v>
      </c>
      <c r="CB60" s="144">
        <f t="shared" si="284"/>
        <v>0</v>
      </c>
      <c r="CC60" s="144">
        <f t="shared" si="284"/>
        <v>0</v>
      </c>
      <c r="CD60" s="144">
        <f t="shared" si="284"/>
        <v>0</v>
      </c>
      <c r="CE60" s="144">
        <f t="shared" si="284"/>
        <v>0</v>
      </c>
      <c r="CF60" s="144">
        <f t="shared" si="284"/>
        <v>0</v>
      </c>
      <c r="CG60" s="144">
        <f t="shared" si="284"/>
        <v>0</v>
      </c>
      <c r="CH60" s="144">
        <f t="shared" si="284"/>
        <v>0</v>
      </c>
      <c r="CI60" s="144">
        <f t="shared" si="284"/>
        <v>0</v>
      </c>
      <c r="CJ60" s="144">
        <f t="shared" si="284"/>
        <v>0</v>
      </c>
      <c r="CK60" s="144">
        <f t="shared" si="284"/>
        <v>0</v>
      </c>
      <c r="CL60" s="144">
        <f t="shared" si="284"/>
        <v>0</v>
      </c>
      <c r="CM60" s="144">
        <f t="shared" si="284"/>
        <v>0</v>
      </c>
      <c r="CN60" s="144">
        <f t="shared" si="284"/>
        <v>0</v>
      </c>
      <c r="CO60" s="144">
        <f t="shared" si="284"/>
        <v>0</v>
      </c>
      <c r="CP60" s="144">
        <f t="shared" si="284"/>
        <v>0</v>
      </c>
      <c r="CQ60" s="144">
        <f t="shared" si="284"/>
        <v>0</v>
      </c>
      <c r="CR60" s="144">
        <f t="shared" si="284"/>
        <v>0</v>
      </c>
      <c r="CS60" s="144">
        <f t="shared" si="284"/>
        <v>0</v>
      </c>
      <c r="CT60" s="144">
        <f t="shared" si="284"/>
        <v>0</v>
      </c>
      <c r="CU60" s="144">
        <f t="shared" si="284"/>
        <v>0</v>
      </c>
      <c r="CV60" s="144">
        <f t="shared" si="284"/>
        <v>0</v>
      </c>
      <c r="CW60" s="144">
        <f t="shared" si="284"/>
        <v>0</v>
      </c>
      <c r="CX60" s="144">
        <f t="shared" si="284"/>
        <v>0</v>
      </c>
      <c r="CY60" s="144">
        <f t="shared" si="284"/>
        <v>0</v>
      </c>
      <c r="CZ60" s="144">
        <f t="shared" si="284"/>
        <v>0</v>
      </c>
      <c r="DA60" s="144">
        <f t="shared" si="284"/>
        <v>0</v>
      </c>
      <c r="DB60" s="144">
        <f t="shared" si="284"/>
        <v>0</v>
      </c>
      <c r="DC60" s="144">
        <f t="shared" si="284"/>
        <v>0</v>
      </c>
      <c r="DD60" s="144">
        <f t="shared" si="284"/>
        <v>0</v>
      </c>
      <c r="DE60" s="144">
        <f t="shared" si="284"/>
        <v>0</v>
      </c>
      <c r="DF60" s="144">
        <f t="shared" si="284"/>
        <v>0</v>
      </c>
      <c r="DG60" s="144">
        <f t="shared" si="284"/>
        <v>0</v>
      </c>
      <c r="DH60" s="144">
        <f t="shared" si="284"/>
        <v>0</v>
      </c>
      <c r="DI60" s="144">
        <f t="shared" si="284"/>
        <v>0</v>
      </c>
      <c r="DJ60" s="144">
        <f t="shared" si="284"/>
        <v>0</v>
      </c>
      <c r="DK60" s="144">
        <f t="shared" si="284"/>
        <v>0</v>
      </c>
      <c r="DL60" s="144">
        <f t="shared" si="284"/>
        <v>0</v>
      </c>
      <c r="DM60" s="144">
        <f t="shared" si="284"/>
        <v>0</v>
      </c>
      <c r="DN60" s="144">
        <f t="shared" si="284"/>
        <v>0</v>
      </c>
      <c r="DO60" s="144">
        <f t="shared" si="284"/>
        <v>0</v>
      </c>
      <c r="DP60" s="144">
        <f t="shared" si="284"/>
        <v>0</v>
      </c>
      <c r="DQ60" s="144">
        <f t="shared" si="284"/>
        <v>0</v>
      </c>
      <c r="DR60" s="144">
        <f t="shared" si="284"/>
        <v>0</v>
      </c>
      <c r="DS60" s="144">
        <f t="shared" si="284"/>
        <v>0</v>
      </c>
    </row>
    <row r="61" ht="14.5">
      <c r="A61" s="319" t="s">
        <v>1338</v>
      </c>
      <c r="B61" s="327"/>
      <c r="C61" s="144"/>
      <c r="D61" s="144">
        <f t="shared" si="285"/>
        <v>0</v>
      </c>
      <c r="E61" s="144">
        <f t="shared" si="286"/>
        <v>0</v>
      </c>
      <c r="F61" s="144">
        <f t="shared" si="286"/>
        <v>0</v>
      </c>
      <c r="G61" s="144">
        <f t="shared" si="286"/>
        <v>0</v>
      </c>
      <c r="H61" s="144">
        <f t="shared" si="286"/>
        <v>0</v>
      </c>
      <c r="I61" s="144">
        <f t="shared" si="286"/>
        <v>0</v>
      </c>
      <c r="J61" s="144">
        <f t="shared" si="286"/>
        <v>0</v>
      </c>
      <c r="K61" s="144">
        <f t="shared" si="286"/>
        <v>0</v>
      </c>
      <c r="L61" s="144">
        <f t="shared" si="286"/>
        <v>0</v>
      </c>
      <c r="M61" s="144">
        <f t="shared" si="286"/>
        <v>0</v>
      </c>
      <c r="N61" s="144">
        <f t="shared" si="286"/>
        <v>0</v>
      </c>
      <c r="O61" s="144">
        <f t="shared" si="286"/>
        <v>0</v>
      </c>
      <c r="P61" s="144">
        <f t="shared" si="286"/>
        <v>0</v>
      </c>
      <c r="Q61" s="144">
        <f t="shared" si="286"/>
        <v>0</v>
      </c>
      <c r="R61" s="144">
        <f t="shared" si="286"/>
        <v>0</v>
      </c>
      <c r="S61" s="144">
        <f t="shared" si="286"/>
        <v>0</v>
      </c>
      <c r="T61" s="144">
        <f t="shared" si="286"/>
        <v>0</v>
      </c>
      <c r="U61" s="144">
        <f t="shared" si="286"/>
        <v>0</v>
      </c>
      <c r="V61" s="144">
        <f t="shared" si="286"/>
        <v>0</v>
      </c>
      <c r="W61" s="144">
        <f t="shared" si="286"/>
        <v>0</v>
      </c>
      <c r="X61" s="144">
        <f t="shared" si="286"/>
        <v>0</v>
      </c>
      <c r="Y61" s="144">
        <f t="shared" si="286"/>
        <v>0</v>
      </c>
      <c r="Z61" s="144">
        <f t="shared" si="286"/>
        <v>0</v>
      </c>
      <c r="AA61" s="144">
        <f t="shared" si="286"/>
        <v>0</v>
      </c>
      <c r="AB61" s="144">
        <f t="shared" si="286"/>
        <v>0</v>
      </c>
      <c r="AC61" s="144">
        <f t="shared" si="286"/>
        <v>0</v>
      </c>
      <c r="AD61" s="144">
        <f t="shared" si="286"/>
        <v>0</v>
      </c>
      <c r="AE61" s="144">
        <f t="shared" si="286"/>
        <v>0</v>
      </c>
      <c r="AF61" s="144">
        <f t="shared" si="286"/>
        <v>0</v>
      </c>
      <c r="AG61" s="144">
        <f t="shared" si="286"/>
        <v>0</v>
      </c>
      <c r="AH61" s="144">
        <f t="shared" si="286"/>
        <v>0</v>
      </c>
      <c r="AI61" s="144">
        <f t="shared" si="286"/>
        <v>0</v>
      </c>
      <c r="AJ61" s="144">
        <f t="shared" si="286"/>
        <v>0</v>
      </c>
      <c r="AK61" s="144">
        <f t="shared" si="286"/>
        <v>0</v>
      </c>
      <c r="AL61" s="144">
        <f t="shared" si="286"/>
        <v>0</v>
      </c>
      <c r="AM61" s="144">
        <f t="shared" si="286"/>
        <v>0</v>
      </c>
      <c r="AN61" s="144">
        <f t="shared" si="286"/>
        <v>0</v>
      </c>
      <c r="AO61" s="144">
        <f t="shared" si="286"/>
        <v>0</v>
      </c>
      <c r="AP61" s="144">
        <f t="shared" si="286"/>
        <v>0</v>
      </c>
      <c r="AQ61" s="144">
        <f t="shared" si="286"/>
        <v>0</v>
      </c>
      <c r="AR61" s="144">
        <f t="shared" si="286"/>
        <v>0</v>
      </c>
      <c r="AS61" s="144">
        <f t="shared" si="286"/>
        <v>0</v>
      </c>
      <c r="AT61" s="144">
        <f t="shared" si="286"/>
        <v>0</v>
      </c>
      <c r="AU61" s="144">
        <f t="shared" si="286"/>
        <v>0</v>
      </c>
      <c r="AV61" s="144">
        <f t="shared" si="286"/>
        <v>0</v>
      </c>
      <c r="AW61" s="144">
        <f t="shared" si="286"/>
        <v>0</v>
      </c>
      <c r="AX61" s="144">
        <f t="shared" si="286"/>
        <v>0</v>
      </c>
      <c r="AY61" s="144">
        <f t="shared" si="286"/>
        <v>0</v>
      </c>
      <c r="AZ61" s="144">
        <f t="shared" si="286"/>
        <v>0</v>
      </c>
      <c r="BA61" s="144">
        <f t="shared" si="286"/>
        <v>0</v>
      </c>
      <c r="BB61" s="144">
        <f t="shared" si="286"/>
        <v>0</v>
      </c>
      <c r="BC61" s="144">
        <f t="shared" si="286"/>
        <v>0</v>
      </c>
      <c r="BD61" s="144">
        <f t="shared" si="286"/>
        <v>0</v>
      </c>
      <c r="BE61" s="144">
        <f t="shared" si="286"/>
        <v>0</v>
      </c>
      <c r="BF61" s="144">
        <f t="shared" si="286"/>
        <v>0</v>
      </c>
      <c r="BG61" s="144">
        <f t="shared" si="286"/>
        <v>0</v>
      </c>
      <c r="BH61" s="144">
        <f t="shared" si="286"/>
        <v>0</v>
      </c>
      <c r="BI61" s="144">
        <f t="shared" si="286"/>
        <v>0</v>
      </c>
      <c r="BJ61" s="144">
        <f t="shared" si="286"/>
        <v>0</v>
      </c>
      <c r="BK61" s="144">
        <f t="shared" si="286"/>
        <v>0</v>
      </c>
      <c r="BL61" s="144">
        <f t="shared" si="286"/>
        <v>0</v>
      </c>
      <c r="BM61" s="144">
        <f t="shared" si="286"/>
        <v>0</v>
      </c>
      <c r="BN61" s="144">
        <f t="shared" si="286"/>
        <v>0</v>
      </c>
      <c r="BO61" s="144">
        <f t="shared" si="286"/>
        <v>0</v>
      </c>
      <c r="BP61" s="144">
        <f t="shared" si="286"/>
        <v>0</v>
      </c>
      <c r="BQ61" s="144">
        <f t="shared" si="284"/>
        <v>0</v>
      </c>
      <c r="BR61" s="144">
        <f t="shared" si="284"/>
        <v>0</v>
      </c>
      <c r="BS61" s="144">
        <f t="shared" si="284"/>
        <v>0</v>
      </c>
      <c r="BT61" s="144">
        <f t="shared" si="284"/>
        <v>0</v>
      </c>
      <c r="BU61" s="144">
        <f t="shared" si="284"/>
        <v>0</v>
      </c>
      <c r="BV61" s="144">
        <f t="shared" si="284"/>
        <v>0</v>
      </c>
      <c r="BW61" s="144">
        <f t="shared" si="284"/>
        <v>0</v>
      </c>
      <c r="BX61" s="144">
        <f t="shared" si="284"/>
        <v>0</v>
      </c>
      <c r="BY61" s="144">
        <f t="shared" si="284"/>
        <v>0</v>
      </c>
      <c r="BZ61" s="144">
        <f t="shared" si="284"/>
        <v>0</v>
      </c>
      <c r="CA61" s="144">
        <f t="shared" si="284"/>
        <v>0</v>
      </c>
      <c r="CB61" s="144">
        <f t="shared" si="284"/>
        <v>0</v>
      </c>
      <c r="CC61" s="144">
        <f t="shared" si="284"/>
        <v>0</v>
      </c>
      <c r="CD61" s="144">
        <f t="shared" si="284"/>
        <v>0</v>
      </c>
      <c r="CE61" s="144">
        <f t="shared" si="284"/>
        <v>0</v>
      </c>
      <c r="CF61" s="144">
        <f t="shared" si="284"/>
        <v>0</v>
      </c>
      <c r="CG61" s="144">
        <f t="shared" si="284"/>
        <v>0</v>
      </c>
      <c r="CH61" s="144">
        <f t="shared" si="284"/>
        <v>0</v>
      </c>
      <c r="CI61" s="144">
        <f t="shared" si="284"/>
        <v>0</v>
      </c>
      <c r="CJ61" s="144">
        <f t="shared" si="284"/>
        <v>0</v>
      </c>
      <c r="CK61" s="144">
        <f t="shared" si="284"/>
        <v>0</v>
      </c>
      <c r="CL61" s="144">
        <f t="shared" si="284"/>
        <v>0</v>
      </c>
      <c r="CM61" s="144">
        <f t="shared" si="284"/>
        <v>0</v>
      </c>
      <c r="CN61" s="144">
        <f t="shared" si="284"/>
        <v>0</v>
      </c>
      <c r="CO61" s="144">
        <f t="shared" si="284"/>
        <v>0</v>
      </c>
      <c r="CP61" s="144">
        <f t="shared" si="284"/>
        <v>0</v>
      </c>
      <c r="CQ61" s="144">
        <f t="shared" si="284"/>
        <v>0</v>
      </c>
      <c r="CR61" s="144">
        <f t="shared" si="284"/>
        <v>0</v>
      </c>
      <c r="CS61" s="144">
        <f t="shared" si="284"/>
        <v>0</v>
      </c>
      <c r="CT61" s="144">
        <f t="shared" si="284"/>
        <v>0</v>
      </c>
      <c r="CU61" s="144">
        <f t="shared" si="284"/>
        <v>0</v>
      </c>
      <c r="CV61" s="144">
        <f t="shared" si="284"/>
        <v>0</v>
      </c>
      <c r="CW61" s="144">
        <f t="shared" si="284"/>
        <v>0</v>
      </c>
      <c r="CX61" s="144">
        <f t="shared" si="284"/>
        <v>0</v>
      </c>
      <c r="CY61" s="144">
        <f t="shared" si="284"/>
        <v>0</v>
      </c>
      <c r="CZ61" s="144">
        <f t="shared" si="284"/>
        <v>0</v>
      </c>
      <c r="DA61" s="144">
        <f t="shared" si="284"/>
        <v>0</v>
      </c>
      <c r="DB61" s="144">
        <f t="shared" si="284"/>
        <v>0</v>
      </c>
      <c r="DC61" s="144">
        <f t="shared" si="284"/>
        <v>0</v>
      </c>
      <c r="DD61" s="144">
        <f t="shared" si="284"/>
        <v>0</v>
      </c>
      <c r="DE61" s="144">
        <f t="shared" si="284"/>
        <v>0</v>
      </c>
      <c r="DF61" s="144">
        <f t="shared" si="284"/>
        <v>0</v>
      </c>
      <c r="DG61" s="144">
        <f t="shared" si="284"/>
        <v>0</v>
      </c>
      <c r="DH61" s="144">
        <f t="shared" si="284"/>
        <v>0</v>
      </c>
      <c r="DI61" s="144">
        <f t="shared" si="284"/>
        <v>0</v>
      </c>
      <c r="DJ61" s="144">
        <f t="shared" si="284"/>
        <v>0</v>
      </c>
      <c r="DK61" s="144">
        <f t="shared" si="284"/>
        <v>0</v>
      </c>
      <c r="DL61" s="144">
        <f t="shared" si="284"/>
        <v>0</v>
      </c>
      <c r="DM61" s="144">
        <f t="shared" si="284"/>
        <v>0</v>
      </c>
      <c r="DN61" s="144">
        <f t="shared" si="284"/>
        <v>0</v>
      </c>
      <c r="DO61" s="144">
        <f t="shared" si="284"/>
        <v>0</v>
      </c>
      <c r="DP61" s="144">
        <f t="shared" si="284"/>
        <v>0</v>
      </c>
      <c r="DQ61" s="144">
        <f t="shared" si="284"/>
        <v>0</v>
      </c>
      <c r="DR61" s="144">
        <f t="shared" si="284"/>
        <v>0</v>
      </c>
      <c r="DS61" s="144">
        <f t="shared" si="284"/>
        <v>0</v>
      </c>
    </row>
    <row r="62" ht="14.5">
      <c r="A62" s="320" t="s">
        <v>1339</v>
      </c>
      <c r="B62" s="327"/>
      <c r="C62" s="144"/>
      <c r="D62" s="144">
        <f>+C62</f>
        <v>0</v>
      </c>
      <c r="E62" s="144">
        <f>+D62</f>
        <v>0</v>
      </c>
      <c r="F62" s="144">
        <f t="shared" ref="F62:BQ62" si="287">+E62</f>
        <v>0</v>
      </c>
      <c r="G62" s="144">
        <f t="shared" si="287"/>
        <v>0</v>
      </c>
      <c r="H62" s="144">
        <f t="shared" si="287"/>
        <v>0</v>
      </c>
      <c r="I62" s="144">
        <f t="shared" si="287"/>
        <v>0</v>
      </c>
      <c r="J62" s="144">
        <f t="shared" si="287"/>
        <v>0</v>
      </c>
      <c r="K62" s="144">
        <f t="shared" si="287"/>
        <v>0</v>
      </c>
      <c r="L62" s="144">
        <f t="shared" si="287"/>
        <v>0</v>
      </c>
      <c r="M62" s="144">
        <f t="shared" si="287"/>
        <v>0</v>
      </c>
      <c r="N62" s="144">
        <f t="shared" si="287"/>
        <v>0</v>
      </c>
      <c r="O62" s="144">
        <f t="shared" si="287"/>
        <v>0</v>
      </c>
      <c r="P62" s="144">
        <f t="shared" si="287"/>
        <v>0</v>
      </c>
      <c r="Q62" s="144">
        <f t="shared" si="287"/>
        <v>0</v>
      </c>
      <c r="R62" s="144">
        <f t="shared" si="287"/>
        <v>0</v>
      </c>
      <c r="S62" s="144">
        <f t="shared" si="287"/>
        <v>0</v>
      </c>
      <c r="T62" s="144">
        <f t="shared" si="287"/>
        <v>0</v>
      </c>
      <c r="U62" s="144">
        <f t="shared" si="287"/>
        <v>0</v>
      </c>
      <c r="V62" s="144">
        <f t="shared" si="287"/>
        <v>0</v>
      </c>
      <c r="W62" s="144">
        <f t="shared" si="287"/>
        <v>0</v>
      </c>
      <c r="X62" s="144">
        <f t="shared" si="287"/>
        <v>0</v>
      </c>
      <c r="Y62" s="144">
        <f t="shared" si="287"/>
        <v>0</v>
      </c>
      <c r="Z62" s="144">
        <f t="shared" si="287"/>
        <v>0</v>
      </c>
      <c r="AA62" s="144">
        <f t="shared" si="287"/>
        <v>0</v>
      </c>
      <c r="AB62" s="144">
        <f t="shared" si="287"/>
        <v>0</v>
      </c>
      <c r="AC62" s="144">
        <f t="shared" si="287"/>
        <v>0</v>
      </c>
      <c r="AD62" s="144">
        <f t="shared" si="287"/>
        <v>0</v>
      </c>
      <c r="AE62" s="144">
        <f t="shared" si="287"/>
        <v>0</v>
      </c>
      <c r="AF62" s="144">
        <f t="shared" si="287"/>
        <v>0</v>
      </c>
      <c r="AG62" s="144">
        <f t="shared" si="287"/>
        <v>0</v>
      </c>
      <c r="AH62" s="144">
        <f t="shared" si="287"/>
        <v>0</v>
      </c>
      <c r="AI62" s="144">
        <f t="shared" si="287"/>
        <v>0</v>
      </c>
      <c r="AJ62" s="144">
        <f t="shared" si="287"/>
        <v>0</v>
      </c>
      <c r="AK62" s="144">
        <f t="shared" si="287"/>
        <v>0</v>
      </c>
      <c r="AL62" s="144">
        <f t="shared" si="287"/>
        <v>0</v>
      </c>
      <c r="AM62" s="144">
        <f t="shared" si="287"/>
        <v>0</v>
      </c>
      <c r="AN62" s="144">
        <f t="shared" si="287"/>
        <v>0</v>
      </c>
      <c r="AO62" s="144">
        <f t="shared" si="287"/>
        <v>0</v>
      </c>
      <c r="AP62" s="144">
        <f t="shared" si="287"/>
        <v>0</v>
      </c>
      <c r="AQ62" s="144">
        <f t="shared" si="287"/>
        <v>0</v>
      </c>
      <c r="AR62" s="144">
        <f t="shared" si="287"/>
        <v>0</v>
      </c>
      <c r="AS62" s="144">
        <f t="shared" si="287"/>
        <v>0</v>
      </c>
      <c r="AT62" s="144">
        <f t="shared" si="287"/>
        <v>0</v>
      </c>
      <c r="AU62" s="144">
        <f t="shared" si="287"/>
        <v>0</v>
      </c>
      <c r="AV62" s="144">
        <f t="shared" si="287"/>
        <v>0</v>
      </c>
      <c r="AW62" s="144">
        <f t="shared" si="287"/>
        <v>0</v>
      </c>
      <c r="AX62" s="144">
        <f t="shared" si="287"/>
        <v>0</v>
      </c>
      <c r="AY62" s="144">
        <f t="shared" si="287"/>
        <v>0</v>
      </c>
      <c r="AZ62" s="144">
        <f t="shared" si="287"/>
        <v>0</v>
      </c>
      <c r="BA62" s="144">
        <f t="shared" si="287"/>
        <v>0</v>
      </c>
      <c r="BB62" s="144">
        <f t="shared" si="287"/>
        <v>0</v>
      </c>
      <c r="BC62" s="144">
        <f t="shared" si="287"/>
        <v>0</v>
      </c>
      <c r="BD62" s="144">
        <f t="shared" si="287"/>
        <v>0</v>
      </c>
      <c r="BE62" s="144">
        <f t="shared" si="287"/>
        <v>0</v>
      </c>
      <c r="BF62" s="144">
        <f t="shared" si="287"/>
        <v>0</v>
      </c>
      <c r="BG62" s="144">
        <f t="shared" si="287"/>
        <v>0</v>
      </c>
      <c r="BH62" s="144">
        <f t="shared" si="287"/>
        <v>0</v>
      </c>
      <c r="BI62" s="144">
        <f t="shared" si="287"/>
        <v>0</v>
      </c>
      <c r="BJ62" s="144">
        <f t="shared" si="287"/>
        <v>0</v>
      </c>
      <c r="BK62" s="144">
        <f t="shared" si="287"/>
        <v>0</v>
      </c>
      <c r="BL62" s="144">
        <f t="shared" si="287"/>
        <v>0</v>
      </c>
      <c r="BM62" s="144">
        <f t="shared" si="287"/>
        <v>0</v>
      </c>
      <c r="BN62" s="144">
        <f t="shared" si="287"/>
        <v>0</v>
      </c>
      <c r="BO62" s="144">
        <f t="shared" si="287"/>
        <v>0</v>
      </c>
      <c r="BP62" s="144">
        <f t="shared" si="287"/>
        <v>0</v>
      </c>
      <c r="BQ62" s="144">
        <f t="shared" si="287"/>
        <v>0</v>
      </c>
      <c r="BR62" s="144">
        <f t="shared" ref="BR62:DS62" si="288">+BQ62</f>
        <v>0</v>
      </c>
      <c r="BS62" s="144">
        <f t="shared" si="288"/>
        <v>0</v>
      </c>
      <c r="BT62" s="144">
        <f t="shared" si="288"/>
        <v>0</v>
      </c>
      <c r="BU62" s="144">
        <f t="shared" si="288"/>
        <v>0</v>
      </c>
      <c r="BV62" s="144">
        <f t="shared" si="288"/>
        <v>0</v>
      </c>
      <c r="BW62" s="144">
        <f t="shared" si="288"/>
        <v>0</v>
      </c>
      <c r="BX62" s="144">
        <f t="shared" si="288"/>
        <v>0</v>
      </c>
      <c r="BY62" s="144">
        <f t="shared" si="288"/>
        <v>0</v>
      </c>
      <c r="BZ62" s="144">
        <f t="shared" si="288"/>
        <v>0</v>
      </c>
      <c r="CA62" s="144">
        <f t="shared" si="288"/>
        <v>0</v>
      </c>
      <c r="CB62" s="144">
        <f t="shared" si="288"/>
        <v>0</v>
      </c>
      <c r="CC62" s="144">
        <f t="shared" si="288"/>
        <v>0</v>
      </c>
      <c r="CD62" s="144">
        <f t="shared" si="288"/>
        <v>0</v>
      </c>
      <c r="CE62" s="144">
        <f t="shared" si="288"/>
        <v>0</v>
      </c>
      <c r="CF62" s="144">
        <f t="shared" si="288"/>
        <v>0</v>
      </c>
      <c r="CG62" s="144">
        <f t="shared" si="288"/>
        <v>0</v>
      </c>
      <c r="CH62" s="144">
        <f t="shared" si="288"/>
        <v>0</v>
      </c>
      <c r="CI62" s="144">
        <f t="shared" si="288"/>
        <v>0</v>
      </c>
      <c r="CJ62" s="144">
        <f t="shared" si="288"/>
        <v>0</v>
      </c>
      <c r="CK62" s="144">
        <f t="shared" si="288"/>
        <v>0</v>
      </c>
      <c r="CL62" s="144">
        <f t="shared" si="288"/>
        <v>0</v>
      </c>
      <c r="CM62" s="144">
        <f t="shared" si="288"/>
        <v>0</v>
      </c>
      <c r="CN62" s="144">
        <f t="shared" si="288"/>
        <v>0</v>
      </c>
      <c r="CO62" s="144">
        <f t="shared" si="288"/>
        <v>0</v>
      </c>
      <c r="CP62" s="144">
        <f t="shared" si="288"/>
        <v>0</v>
      </c>
      <c r="CQ62" s="144">
        <f t="shared" si="288"/>
        <v>0</v>
      </c>
      <c r="CR62" s="144">
        <f t="shared" si="288"/>
        <v>0</v>
      </c>
      <c r="CS62" s="144">
        <f t="shared" si="288"/>
        <v>0</v>
      </c>
      <c r="CT62" s="144">
        <f t="shared" si="288"/>
        <v>0</v>
      </c>
      <c r="CU62" s="144">
        <f t="shared" si="288"/>
        <v>0</v>
      </c>
      <c r="CV62" s="144">
        <f t="shared" si="288"/>
        <v>0</v>
      </c>
      <c r="CW62" s="144">
        <f t="shared" si="288"/>
        <v>0</v>
      </c>
      <c r="CX62" s="144">
        <f t="shared" si="288"/>
        <v>0</v>
      </c>
      <c r="CY62" s="144">
        <f t="shared" si="288"/>
        <v>0</v>
      </c>
      <c r="CZ62" s="144">
        <f t="shared" si="288"/>
        <v>0</v>
      </c>
      <c r="DA62" s="144">
        <f t="shared" si="288"/>
        <v>0</v>
      </c>
      <c r="DB62" s="144">
        <f t="shared" si="288"/>
        <v>0</v>
      </c>
      <c r="DC62" s="144">
        <f t="shared" si="288"/>
        <v>0</v>
      </c>
      <c r="DD62" s="144">
        <f t="shared" si="288"/>
        <v>0</v>
      </c>
      <c r="DE62" s="144">
        <f t="shared" si="288"/>
        <v>0</v>
      </c>
      <c r="DF62" s="144">
        <f t="shared" si="288"/>
        <v>0</v>
      </c>
      <c r="DG62" s="144">
        <f t="shared" si="288"/>
        <v>0</v>
      </c>
      <c r="DH62" s="144">
        <f t="shared" si="288"/>
        <v>0</v>
      </c>
      <c r="DI62" s="144">
        <f t="shared" si="288"/>
        <v>0</v>
      </c>
      <c r="DJ62" s="144">
        <f t="shared" si="288"/>
        <v>0</v>
      </c>
      <c r="DK62" s="144">
        <f t="shared" si="288"/>
        <v>0</v>
      </c>
      <c r="DL62" s="144">
        <f t="shared" si="288"/>
        <v>0</v>
      </c>
      <c r="DM62" s="144">
        <f t="shared" si="288"/>
        <v>0</v>
      </c>
      <c r="DN62" s="144">
        <f t="shared" si="288"/>
        <v>0</v>
      </c>
      <c r="DO62" s="144">
        <f t="shared" si="288"/>
        <v>0</v>
      </c>
      <c r="DP62" s="144">
        <f t="shared" si="288"/>
        <v>0</v>
      </c>
      <c r="DQ62" s="144">
        <f t="shared" si="288"/>
        <v>0</v>
      </c>
      <c r="DR62" s="144">
        <f t="shared" si="288"/>
        <v>0</v>
      </c>
      <c r="DS62" s="144">
        <f t="shared" si="288"/>
        <v>0</v>
      </c>
    </row>
    <row r="63" ht="14.5">
      <c r="B63" s="3"/>
      <c r="C63" s="144"/>
      <c r="D63" s="144"/>
      <c r="E63" s="144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144"/>
      <c r="U63" s="144"/>
      <c r="V63" s="144"/>
      <c r="W63" s="144"/>
      <c r="X63" s="144"/>
      <c r="Y63" s="144"/>
      <c r="Z63" s="144"/>
      <c r="AA63" s="144"/>
      <c r="AB63" s="144"/>
      <c r="AC63" s="144"/>
      <c r="AD63" s="144"/>
      <c r="AE63" s="144"/>
      <c r="AF63" s="144"/>
      <c r="AG63" s="144"/>
      <c r="AH63" s="144"/>
      <c r="AI63" s="144"/>
      <c r="AJ63" s="144"/>
      <c r="AK63" s="144"/>
      <c r="AL63" s="144"/>
      <c r="AM63" s="144"/>
      <c r="AN63" s="144"/>
      <c r="AO63" s="144"/>
      <c r="AP63" s="144"/>
      <c r="AQ63" s="144"/>
      <c r="AR63" s="144"/>
      <c r="AS63" s="144"/>
      <c r="AT63" s="144"/>
      <c r="AU63" s="144"/>
      <c r="AV63" s="144"/>
      <c r="AW63" s="144"/>
      <c r="AX63" s="144"/>
      <c r="AY63" s="144"/>
      <c r="AZ63" s="144"/>
      <c r="BA63" s="144"/>
      <c r="BB63" s="144"/>
      <c r="BC63" s="144"/>
      <c r="BD63" s="144"/>
      <c r="BE63" s="144"/>
      <c r="BF63" s="144"/>
      <c r="BG63" s="144"/>
      <c r="BH63" s="144"/>
      <c r="BI63" s="144"/>
      <c r="BJ63" s="144"/>
      <c r="BK63" s="144"/>
      <c r="BL63" s="144"/>
      <c r="BM63" s="144"/>
      <c r="BN63" s="144"/>
      <c r="BO63" s="144"/>
      <c r="BP63" s="144"/>
      <c r="BQ63" s="144"/>
      <c r="BR63" s="144"/>
      <c r="BS63" s="144"/>
      <c r="BT63" s="144"/>
      <c r="BU63" s="144"/>
      <c r="BV63" s="144"/>
      <c r="BW63" s="144"/>
      <c r="BX63" s="144"/>
      <c r="BY63" s="144"/>
      <c r="BZ63" s="144"/>
      <c r="CA63" s="144"/>
      <c r="CB63" s="144"/>
      <c r="CC63" s="144"/>
      <c r="CD63" s="144"/>
      <c r="CE63" s="144"/>
      <c r="CF63" s="144"/>
      <c r="CG63" s="144"/>
      <c r="CH63" s="144"/>
      <c r="CI63" s="144"/>
      <c r="CJ63" s="144"/>
      <c r="CK63" s="144"/>
      <c r="CL63" s="144"/>
      <c r="CM63" s="144"/>
      <c r="CN63" s="144"/>
      <c r="CO63" s="144"/>
      <c r="CP63" s="144"/>
      <c r="CQ63" s="144"/>
      <c r="CR63" s="144"/>
      <c r="CS63" s="144"/>
      <c r="CT63" s="144"/>
      <c r="CU63" s="144"/>
      <c r="CV63" s="144"/>
      <c r="CW63" s="144"/>
      <c r="CX63" s="144"/>
      <c r="CY63" s="144"/>
      <c r="CZ63" s="144"/>
      <c r="DA63" s="144"/>
      <c r="DB63" s="144"/>
      <c r="DC63" s="144"/>
      <c r="DD63" s="144"/>
      <c r="DE63" s="144"/>
      <c r="DF63" s="144"/>
      <c r="DG63" s="144"/>
      <c r="DH63" s="144"/>
      <c r="DI63" s="144"/>
      <c r="DJ63" s="144"/>
      <c r="DK63" s="144"/>
      <c r="DL63" s="144"/>
      <c r="DM63" s="144"/>
      <c r="DN63" s="144"/>
      <c r="DO63" s="144"/>
      <c r="DP63" s="144"/>
      <c r="DQ63" s="144"/>
      <c r="DR63" s="144"/>
      <c r="DS63" s="144"/>
    </row>
    <row r="64" thickBot="1">
      <c r="B64" s="3"/>
      <c r="C64" s="144"/>
      <c r="D64" s="144"/>
      <c r="E64" s="144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44"/>
      <c r="R64" s="144"/>
      <c r="S64" s="144"/>
      <c r="T64" s="144"/>
      <c r="U64" s="144"/>
      <c r="V64" s="144"/>
      <c r="W64" s="144"/>
      <c r="X64" s="144"/>
      <c r="Y64" s="144"/>
      <c r="Z64" s="144"/>
      <c r="AA64" s="144"/>
      <c r="AB64" s="144"/>
      <c r="AC64" s="144"/>
      <c r="AD64" s="144"/>
      <c r="AE64" s="144"/>
      <c r="AF64" s="144"/>
      <c r="AG64" s="144"/>
      <c r="AH64" s="144"/>
      <c r="AI64" s="144"/>
      <c r="AJ64" s="144"/>
      <c r="AK64" s="144"/>
      <c r="AL64" s="144"/>
      <c r="AM64" s="144"/>
      <c r="AN64" s="144"/>
      <c r="AO64" s="144"/>
      <c r="AP64" s="144"/>
      <c r="AQ64" s="144"/>
      <c r="AR64" s="144"/>
      <c r="AS64" s="144"/>
      <c r="AT64" s="144"/>
      <c r="AU64" s="144"/>
      <c r="AV64" s="144"/>
      <c r="AW64" s="144"/>
      <c r="AX64" s="144"/>
      <c r="AY64" s="144"/>
      <c r="AZ64" s="144"/>
      <c r="BA64" s="144"/>
      <c r="BB64" s="144"/>
      <c r="BC64" s="144"/>
      <c r="BD64" s="144"/>
      <c r="BE64" s="144"/>
      <c r="BF64" s="144"/>
      <c r="BG64" s="144"/>
      <c r="BH64" s="144"/>
      <c r="BI64" s="144"/>
      <c r="BJ64" s="144"/>
      <c r="BK64" s="144"/>
      <c r="BL64" s="144"/>
      <c r="BM64" s="144"/>
      <c r="BN64" s="144"/>
      <c r="BO64" s="144"/>
      <c r="BP64" s="144"/>
      <c r="BQ64" s="144"/>
      <c r="BR64" s="144"/>
      <c r="BS64" s="144"/>
      <c r="BT64" s="144"/>
      <c r="BU64" s="144"/>
      <c r="BV64" s="144"/>
      <c r="BW64" s="144"/>
      <c r="BX64" s="144"/>
      <c r="BY64" s="144"/>
      <c r="BZ64" s="144"/>
      <c r="CA64" s="144"/>
      <c r="CB64" s="144"/>
      <c r="CC64" s="144"/>
      <c r="CD64" s="144"/>
      <c r="CE64" s="144"/>
      <c r="CF64" s="144"/>
      <c r="CG64" s="144"/>
      <c r="CH64" s="144"/>
      <c r="CI64" s="144"/>
      <c r="CJ64" s="144"/>
      <c r="CK64" s="144"/>
      <c r="CL64" s="144"/>
      <c r="CM64" s="144"/>
      <c r="CN64" s="144"/>
      <c r="CO64" s="144"/>
      <c r="CP64" s="144"/>
      <c r="CQ64" s="144"/>
      <c r="CR64" s="144"/>
      <c r="CS64" s="144"/>
      <c r="CT64" s="144"/>
      <c r="CU64" s="144"/>
      <c r="CV64" s="144"/>
      <c r="CW64" s="144"/>
      <c r="CX64" s="144"/>
      <c r="CY64" s="144"/>
      <c r="CZ64" s="144"/>
      <c r="DA64" s="144"/>
      <c r="DB64" s="144"/>
      <c r="DC64" s="144"/>
      <c r="DD64" s="144"/>
      <c r="DE64" s="144"/>
      <c r="DF64" s="144"/>
      <c r="DG64" s="144"/>
      <c r="DH64" s="144"/>
      <c r="DI64" s="144"/>
      <c r="DJ64" s="144"/>
      <c r="DK64" s="144"/>
      <c r="DL64" s="144"/>
      <c r="DM64" s="144"/>
      <c r="DN64" s="144"/>
      <c r="DO64" s="144"/>
      <c r="DP64" s="144"/>
      <c r="DQ64" s="144"/>
      <c r="DR64" s="144"/>
      <c r="DS64" s="144"/>
    </row>
    <row r="65" thickTop="1" thickBot="1" ht="18.75" customHeight="1">
      <c r="A65" s="293" t="s">
        <v>1340</v>
      </c>
      <c r="B65" s="294"/>
      <c r="C65" s="295">
        <f>+SUM(C58:C62)+C54</f>
        <v>0</v>
      </c>
      <c r="D65" s="295">
        <f>+SUM(D58:D62)+D54</f>
        <v>0</v>
      </c>
      <c r="E65" s="295">
        <f t="shared" ref="E65:BP65" si="289">+SUM(E58:E62)+E54</f>
        <v>0</v>
      </c>
      <c r="F65" s="295">
        <f t="shared" si="289"/>
        <v>0</v>
      </c>
      <c r="G65" s="295">
        <f t="shared" si="289"/>
        <v>0</v>
      </c>
      <c r="H65" s="295">
        <f t="shared" si="289"/>
        <v>0</v>
      </c>
      <c r="I65" s="295">
        <f t="shared" si="289"/>
        <v>0</v>
      </c>
      <c r="J65" s="295">
        <f t="shared" si="289"/>
        <v>0</v>
      </c>
      <c r="K65" s="295">
        <f t="shared" si="289"/>
        <v>0</v>
      </c>
      <c r="L65" s="295">
        <f t="shared" si="289"/>
        <v>0</v>
      </c>
      <c r="M65" s="295">
        <f t="shared" si="289"/>
        <v>0</v>
      </c>
      <c r="N65" s="295">
        <f t="shared" si="289"/>
        <v>0</v>
      </c>
      <c r="O65" s="295">
        <f t="shared" si="289"/>
        <v>0</v>
      </c>
      <c r="P65" s="295">
        <f t="shared" si="289"/>
        <v>0</v>
      </c>
      <c r="Q65" s="295">
        <f t="shared" si="289"/>
        <v>0</v>
      </c>
      <c r="R65" s="295">
        <f t="shared" si="289"/>
        <v>0</v>
      </c>
      <c r="S65" s="295">
        <f t="shared" si="289"/>
        <v>0</v>
      </c>
      <c r="T65" s="295">
        <f t="shared" si="289"/>
        <v>0</v>
      </c>
      <c r="U65" s="295">
        <f t="shared" si="289"/>
        <v>0</v>
      </c>
      <c r="V65" s="295">
        <f t="shared" si="289"/>
        <v>0</v>
      </c>
      <c r="W65" s="295">
        <f t="shared" si="289"/>
        <v>0</v>
      </c>
      <c r="X65" s="295">
        <f t="shared" si="289"/>
        <v>0</v>
      </c>
      <c r="Y65" s="295">
        <f t="shared" si="289"/>
        <v>0</v>
      </c>
      <c r="Z65" s="295">
        <f t="shared" si="289"/>
        <v>0</v>
      </c>
      <c r="AA65" s="295">
        <f t="shared" si="289"/>
        <v>0</v>
      </c>
      <c r="AB65" s="295">
        <f t="shared" si="289"/>
        <v>0</v>
      </c>
      <c r="AC65" s="295">
        <f t="shared" si="289"/>
        <v>0</v>
      </c>
      <c r="AD65" s="295">
        <f t="shared" si="289"/>
        <v>0</v>
      </c>
      <c r="AE65" s="295">
        <f t="shared" si="289"/>
        <v>0</v>
      </c>
      <c r="AF65" s="295">
        <f t="shared" si="289"/>
        <v>0</v>
      </c>
      <c r="AG65" s="295">
        <f t="shared" si="289"/>
        <v>0</v>
      </c>
      <c r="AH65" s="295">
        <f t="shared" si="289"/>
        <v>0</v>
      </c>
      <c r="AI65" s="295">
        <f t="shared" si="289"/>
        <v>0</v>
      </c>
      <c r="AJ65" s="295">
        <f t="shared" si="289"/>
        <v>0</v>
      </c>
      <c r="AK65" s="295">
        <f t="shared" si="289"/>
        <v>0</v>
      </c>
      <c r="AL65" s="295">
        <f t="shared" si="289"/>
        <v>0</v>
      </c>
      <c r="AM65" s="295">
        <f t="shared" si="289"/>
        <v>0</v>
      </c>
      <c r="AN65" s="295">
        <f t="shared" si="289"/>
        <v>0</v>
      </c>
      <c r="AO65" s="295">
        <f t="shared" si="289"/>
        <v>0</v>
      </c>
      <c r="AP65" s="295">
        <f t="shared" si="289"/>
        <v>0</v>
      </c>
      <c r="AQ65" s="295">
        <f t="shared" si="289"/>
        <v>0</v>
      </c>
      <c r="AR65" s="295">
        <f t="shared" si="289"/>
        <v>0</v>
      </c>
      <c r="AS65" s="295">
        <f t="shared" si="289"/>
        <v>0</v>
      </c>
      <c r="AT65" s="295">
        <f t="shared" si="289"/>
        <v>0</v>
      </c>
      <c r="AU65" s="295">
        <f t="shared" si="289"/>
        <v>0</v>
      </c>
      <c r="AV65" s="295">
        <f t="shared" si="289"/>
        <v>0</v>
      </c>
      <c r="AW65" s="295">
        <f t="shared" si="289"/>
        <v>0</v>
      </c>
      <c r="AX65" s="295">
        <f t="shared" si="289"/>
        <v>0</v>
      </c>
      <c r="AY65" s="295">
        <f t="shared" si="289"/>
        <v>0</v>
      </c>
      <c r="AZ65" s="295">
        <f t="shared" si="289"/>
        <v>0</v>
      </c>
      <c r="BA65" s="295">
        <f t="shared" si="289"/>
        <v>0</v>
      </c>
      <c r="BB65" s="295">
        <f t="shared" si="289"/>
        <v>0</v>
      </c>
      <c r="BC65" s="295">
        <f t="shared" si="289"/>
        <v>0</v>
      </c>
      <c r="BD65" s="295">
        <f t="shared" si="289"/>
        <v>0</v>
      </c>
      <c r="BE65" s="295">
        <f t="shared" si="289"/>
        <v>0</v>
      </c>
      <c r="BF65" s="295">
        <f t="shared" si="289"/>
        <v>0</v>
      </c>
      <c r="BG65" s="295">
        <f t="shared" si="289"/>
        <v>0</v>
      </c>
      <c r="BH65" s="295">
        <f t="shared" si="289"/>
        <v>0</v>
      </c>
      <c r="BI65" s="295">
        <f t="shared" si="289"/>
        <v>0</v>
      </c>
      <c r="BJ65" s="295">
        <f t="shared" si="289"/>
        <v>0</v>
      </c>
      <c r="BK65" s="295">
        <f t="shared" si="289"/>
        <v>0</v>
      </c>
      <c r="BL65" s="295">
        <f t="shared" si="289"/>
        <v>0</v>
      </c>
      <c r="BM65" s="295">
        <f t="shared" si="289"/>
        <v>0</v>
      </c>
      <c r="BN65" s="295">
        <f t="shared" si="289"/>
        <v>0</v>
      </c>
      <c r="BO65" s="295">
        <f t="shared" si="289"/>
        <v>0</v>
      </c>
      <c r="BP65" s="295">
        <f t="shared" si="289"/>
        <v>0</v>
      </c>
      <c r="BQ65" s="295">
        <f t="shared" ref="BQ65:DS65" si="290">+SUM(BQ58:BQ62)+BQ54</f>
        <v>0</v>
      </c>
      <c r="BR65" s="295">
        <f t="shared" si="290"/>
        <v>0</v>
      </c>
      <c r="BS65" s="295">
        <f t="shared" si="290"/>
        <v>0</v>
      </c>
      <c r="BT65" s="295">
        <f t="shared" si="290"/>
        <v>0</v>
      </c>
      <c r="BU65" s="295">
        <f t="shared" si="290"/>
        <v>0</v>
      </c>
      <c r="BV65" s="295">
        <f t="shared" si="290"/>
        <v>0</v>
      </c>
      <c r="BW65" s="295">
        <f t="shared" si="290"/>
        <v>0</v>
      </c>
      <c r="BX65" s="295">
        <f t="shared" si="290"/>
        <v>0</v>
      </c>
      <c r="BY65" s="295">
        <f t="shared" si="290"/>
        <v>0</v>
      </c>
      <c r="BZ65" s="295">
        <f t="shared" si="290"/>
        <v>0</v>
      </c>
      <c r="CA65" s="295">
        <f t="shared" si="290"/>
        <v>0</v>
      </c>
      <c r="CB65" s="295">
        <f t="shared" si="290"/>
        <v>0</v>
      </c>
      <c r="CC65" s="295">
        <f t="shared" si="290"/>
        <v>0</v>
      </c>
      <c r="CD65" s="295">
        <f t="shared" si="290"/>
        <v>0</v>
      </c>
      <c r="CE65" s="295">
        <f t="shared" si="290"/>
        <v>0</v>
      </c>
      <c r="CF65" s="295">
        <f t="shared" si="290"/>
        <v>0</v>
      </c>
      <c r="CG65" s="295">
        <f t="shared" si="290"/>
        <v>0</v>
      </c>
      <c r="CH65" s="295">
        <f t="shared" si="290"/>
        <v>0</v>
      </c>
      <c r="CI65" s="295">
        <f t="shared" si="290"/>
        <v>0</v>
      </c>
      <c r="CJ65" s="295">
        <f t="shared" si="290"/>
        <v>0</v>
      </c>
      <c r="CK65" s="295">
        <f t="shared" si="290"/>
        <v>0</v>
      </c>
      <c r="CL65" s="295">
        <f t="shared" si="290"/>
        <v>0</v>
      </c>
      <c r="CM65" s="295">
        <f t="shared" si="290"/>
        <v>0</v>
      </c>
      <c r="CN65" s="295">
        <f t="shared" si="290"/>
        <v>0</v>
      </c>
      <c r="CO65" s="295">
        <f t="shared" si="290"/>
        <v>0</v>
      </c>
      <c r="CP65" s="295">
        <f t="shared" si="290"/>
        <v>0</v>
      </c>
      <c r="CQ65" s="295">
        <f t="shared" si="290"/>
        <v>0</v>
      </c>
      <c r="CR65" s="295">
        <f t="shared" si="290"/>
        <v>0</v>
      </c>
      <c r="CS65" s="295">
        <f t="shared" si="290"/>
        <v>0</v>
      </c>
      <c r="CT65" s="295">
        <f t="shared" si="290"/>
        <v>0</v>
      </c>
      <c r="CU65" s="295">
        <f t="shared" si="290"/>
        <v>0</v>
      </c>
      <c r="CV65" s="295">
        <f t="shared" si="290"/>
        <v>0</v>
      </c>
      <c r="CW65" s="295">
        <f t="shared" si="290"/>
        <v>0</v>
      </c>
      <c r="CX65" s="295">
        <f t="shared" si="290"/>
        <v>0</v>
      </c>
      <c r="CY65" s="295">
        <f t="shared" si="290"/>
        <v>0</v>
      </c>
      <c r="CZ65" s="295">
        <f t="shared" si="290"/>
        <v>0</v>
      </c>
      <c r="DA65" s="295">
        <f t="shared" si="290"/>
        <v>0</v>
      </c>
      <c r="DB65" s="295">
        <f t="shared" si="290"/>
        <v>0</v>
      </c>
      <c r="DC65" s="295">
        <f t="shared" si="290"/>
        <v>0</v>
      </c>
      <c r="DD65" s="295">
        <f t="shared" si="290"/>
        <v>0</v>
      </c>
      <c r="DE65" s="295">
        <f t="shared" si="290"/>
        <v>0</v>
      </c>
      <c r="DF65" s="295">
        <f t="shared" si="290"/>
        <v>0</v>
      </c>
      <c r="DG65" s="295">
        <f t="shared" si="290"/>
        <v>0</v>
      </c>
      <c r="DH65" s="295">
        <f t="shared" si="290"/>
        <v>0</v>
      </c>
      <c r="DI65" s="295">
        <f t="shared" si="290"/>
        <v>0</v>
      </c>
      <c r="DJ65" s="295">
        <f t="shared" si="290"/>
        <v>0</v>
      </c>
      <c r="DK65" s="295">
        <f t="shared" si="290"/>
        <v>0</v>
      </c>
      <c r="DL65" s="295">
        <f t="shared" si="290"/>
        <v>0</v>
      </c>
      <c r="DM65" s="295">
        <f t="shared" si="290"/>
        <v>0</v>
      </c>
      <c r="DN65" s="295">
        <f t="shared" si="290"/>
        <v>0</v>
      </c>
      <c r="DO65" s="295">
        <f t="shared" si="290"/>
        <v>0</v>
      </c>
      <c r="DP65" s="295">
        <f t="shared" si="290"/>
        <v>0</v>
      </c>
      <c r="DQ65" s="295">
        <f t="shared" si="290"/>
        <v>0</v>
      </c>
      <c r="DR65" s="295">
        <f t="shared" si="290"/>
        <v>0</v>
      </c>
      <c r="DS65" s="295">
        <f t="shared" si="290"/>
        <v>0</v>
      </c>
    </row>
    <row r="66" thickTop="1">
      <c r="A66" s="3"/>
      <c r="B66" s="3"/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4"/>
      <c r="R66" s="144"/>
      <c r="S66" s="144"/>
      <c r="T66" s="144"/>
      <c r="U66" s="144"/>
      <c r="V66" s="144"/>
      <c r="W66" s="144"/>
      <c r="X66" s="144"/>
      <c r="Y66" s="144"/>
      <c r="Z66" s="144"/>
      <c r="AA66" s="144"/>
      <c r="AB66" s="144"/>
      <c r="AC66" s="144"/>
      <c r="AD66" s="144"/>
      <c r="AE66" s="144"/>
      <c r="AF66" s="144"/>
      <c r="AG66" s="144"/>
      <c r="AH66" s="144"/>
      <c r="AI66" s="144"/>
      <c r="AJ66" s="144"/>
      <c r="AK66" s="144"/>
      <c r="AL66" s="144"/>
      <c r="AM66" s="144"/>
      <c r="AN66" s="144"/>
      <c r="AO66" s="144"/>
      <c r="AP66" s="144"/>
      <c r="AQ66" s="144"/>
      <c r="AR66" s="144"/>
      <c r="AS66" s="144"/>
      <c r="AT66" s="144"/>
      <c r="AU66" s="144"/>
      <c r="AV66" s="144"/>
      <c r="AW66" s="144"/>
      <c r="AX66" s="144"/>
      <c r="AY66" s="144"/>
      <c r="AZ66" s="144"/>
      <c r="BA66" s="144"/>
      <c r="BB66" s="144"/>
      <c r="BC66" s="144"/>
      <c r="BD66" s="144"/>
      <c r="BE66" s="144"/>
      <c r="BF66" s="144"/>
      <c r="BG66" s="144"/>
      <c r="BH66" s="144"/>
      <c r="BI66" s="144"/>
      <c r="BJ66" s="144"/>
      <c r="BK66" s="144"/>
      <c r="BL66" s="144"/>
      <c r="BM66" s="144"/>
      <c r="BN66" s="144"/>
      <c r="BO66" s="144"/>
      <c r="BP66" s="144"/>
      <c r="BQ66" s="144"/>
      <c r="BR66" s="144"/>
      <c r="BS66" s="144"/>
      <c r="BT66" s="144"/>
      <c r="BU66" s="144"/>
      <c r="BV66" s="144"/>
      <c r="BW66" s="144"/>
      <c r="BX66" s="144"/>
      <c r="BY66" s="144"/>
      <c r="BZ66" s="144"/>
      <c r="CA66" s="144"/>
      <c r="CB66" s="144"/>
      <c r="CC66" s="144"/>
      <c r="CD66" s="144"/>
      <c r="CE66" s="144"/>
      <c r="CF66" s="144"/>
      <c r="CG66" s="144"/>
      <c r="CH66" s="144"/>
      <c r="CI66" s="144"/>
      <c r="CJ66" s="144"/>
      <c r="CK66" s="144"/>
      <c r="CL66" s="144"/>
      <c r="CM66" s="144"/>
      <c r="CN66" s="144"/>
      <c r="CO66" s="144"/>
      <c r="CP66" s="144"/>
      <c r="CQ66" s="144"/>
      <c r="CR66" s="144"/>
      <c r="CS66" s="144"/>
      <c r="CT66" s="144"/>
      <c r="CU66" s="144"/>
      <c r="CV66" s="144"/>
      <c r="CW66" s="144"/>
      <c r="CX66" s="144"/>
      <c r="CY66" s="144"/>
      <c r="CZ66" s="144"/>
      <c r="DA66" s="144"/>
      <c r="DB66" s="144"/>
      <c r="DC66" s="144"/>
      <c r="DD66" s="144"/>
      <c r="DE66" s="144"/>
      <c r="DF66" s="144"/>
      <c r="DG66" s="144"/>
      <c r="DH66" s="144"/>
      <c r="DI66" s="144"/>
      <c r="DJ66" s="144"/>
      <c r="DK66" s="144"/>
      <c r="DL66" s="144"/>
      <c r="DM66" s="144"/>
      <c r="DN66" s="144"/>
      <c r="DO66" s="144"/>
      <c r="DP66" s="144"/>
      <c r="DQ66" s="144"/>
      <c r="DR66" s="144"/>
      <c r="DS66" s="144"/>
    </row>
    <row r="67" ht="18.5">
      <c r="A67" s="150" t="s">
        <v>985</v>
      </c>
      <c r="B67" s="337"/>
      <c r="C67" s="100">
        <f>+SUM(C68:C71)</f>
        <v>0</v>
      </c>
      <c r="D67" s="100">
        <f t="shared" ref="D67:BO67" si="291">+SUM(D68:D71)</f>
        <v>0</v>
      </c>
      <c r="E67" s="100">
        <f t="shared" si="291"/>
        <v>0</v>
      </c>
      <c r="F67" s="100">
        <f t="shared" si="291"/>
        <v>0</v>
      </c>
      <c r="G67" s="100">
        <f t="shared" si="291"/>
        <v>0</v>
      </c>
      <c r="H67" s="100">
        <f t="shared" si="291"/>
        <v>0</v>
      </c>
      <c r="I67" s="100">
        <f t="shared" si="291"/>
        <v>0</v>
      </c>
      <c r="J67" s="100">
        <f t="shared" si="291"/>
        <v>0</v>
      </c>
      <c r="K67" s="100">
        <f t="shared" si="291"/>
        <v>0</v>
      </c>
      <c r="L67" s="100">
        <f t="shared" si="291"/>
        <v>0</v>
      </c>
      <c r="M67" s="100">
        <f t="shared" si="291"/>
        <v>0</v>
      </c>
      <c r="N67" s="100">
        <f t="shared" si="291"/>
        <v>0</v>
      </c>
      <c r="O67" s="100">
        <f t="shared" si="291"/>
        <v>0</v>
      </c>
      <c r="P67" s="100">
        <f t="shared" si="291"/>
        <v>0</v>
      </c>
      <c r="Q67" s="100">
        <f t="shared" si="291"/>
        <v>0</v>
      </c>
      <c r="R67" s="100">
        <f t="shared" si="291"/>
        <v>0</v>
      </c>
      <c r="S67" s="100">
        <f t="shared" si="291"/>
        <v>0</v>
      </c>
      <c r="T67" s="100">
        <f t="shared" si="291"/>
        <v>0</v>
      </c>
      <c r="U67" s="100">
        <f t="shared" si="291"/>
        <v>0</v>
      </c>
      <c r="V67" s="100">
        <f t="shared" si="291"/>
        <v>0</v>
      </c>
      <c r="W67" s="100">
        <f t="shared" si="291"/>
        <v>0</v>
      </c>
      <c r="X67" s="100">
        <f t="shared" si="291"/>
        <v>0</v>
      </c>
      <c r="Y67" s="100">
        <f t="shared" si="291"/>
        <v>0</v>
      </c>
      <c r="Z67" s="100">
        <f t="shared" si="291"/>
        <v>0</v>
      </c>
      <c r="AA67" s="100">
        <f t="shared" si="291"/>
        <v>0</v>
      </c>
      <c r="AB67" s="100">
        <f t="shared" si="291"/>
        <v>0</v>
      </c>
      <c r="AC67" s="100">
        <f t="shared" si="291"/>
        <v>0</v>
      </c>
      <c r="AD67" s="100">
        <f t="shared" si="291"/>
        <v>0</v>
      </c>
      <c r="AE67" s="100">
        <f t="shared" si="291"/>
        <v>0</v>
      </c>
      <c r="AF67" s="100">
        <f t="shared" si="291"/>
        <v>0</v>
      </c>
      <c r="AG67" s="100">
        <f t="shared" si="291"/>
        <v>0</v>
      </c>
      <c r="AH67" s="100">
        <f t="shared" si="291"/>
        <v>0</v>
      </c>
      <c r="AI67" s="100">
        <f t="shared" si="291"/>
        <v>0</v>
      </c>
      <c r="AJ67" s="100">
        <f t="shared" si="291"/>
        <v>0</v>
      </c>
      <c r="AK67" s="100">
        <f t="shared" si="291"/>
        <v>0</v>
      </c>
      <c r="AL67" s="100">
        <f t="shared" si="291"/>
        <v>0</v>
      </c>
      <c r="AM67" s="100">
        <f t="shared" si="291"/>
        <v>0</v>
      </c>
      <c r="AN67" s="100">
        <f t="shared" si="291"/>
        <v>0</v>
      </c>
      <c r="AO67" s="100">
        <f t="shared" si="291"/>
        <v>0</v>
      </c>
      <c r="AP67" s="100">
        <f t="shared" si="291"/>
        <v>0</v>
      </c>
      <c r="AQ67" s="100">
        <f t="shared" si="291"/>
        <v>0</v>
      </c>
      <c r="AR67" s="100">
        <f t="shared" si="291"/>
        <v>0</v>
      </c>
      <c r="AS67" s="100">
        <f t="shared" si="291"/>
        <v>0</v>
      </c>
      <c r="AT67" s="100">
        <f t="shared" si="291"/>
        <v>0</v>
      </c>
      <c r="AU67" s="100">
        <f t="shared" si="291"/>
        <v>0</v>
      </c>
      <c r="AV67" s="100">
        <f t="shared" si="291"/>
        <v>0</v>
      </c>
      <c r="AW67" s="100">
        <f t="shared" si="291"/>
        <v>0</v>
      </c>
      <c r="AX67" s="100">
        <f t="shared" si="291"/>
        <v>0</v>
      </c>
      <c r="AY67" s="100">
        <f t="shared" si="291"/>
        <v>0</v>
      </c>
      <c r="AZ67" s="100">
        <f t="shared" si="291"/>
        <v>0</v>
      </c>
      <c r="BA67" s="100">
        <f t="shared" si="291"/>
        <v>0</v>
      </c>
      <c r="BB67" s="100">
        <f t="shared" si="291"/>
        <v>0</v>
      </c>
      <c r="BC67" s="100">
        <f t="shared" si="291"/>
        <v>0</v>
      </c>
      <c r="BD67" s="100">
        <f t="shared" si="291"/>
        <v>0</v>
      </c>
      <c r="BE67" s="100">
        <f t="shared" si="291"/>
        <v>0</v>
      </c>
      <c r="BF67" s="100">
        <f t="shared" si="291"/>
        <v>0</v>
      </c>
      <c r="BG67" s="100">
        <f t="shared" si="291"/>
        <v>0</v>
      </c>
      <c r="BH67" s="100">
        <f t="shared" si="291"/>
        <v>0</v>
      </c>
      <c r="BI67" s="100">
        <f t="shared" si="291"/>
        <v>0</v>
      </c>
      <c r="BJ67" s="100">
        <f t="shared" si="291"/>
        <v>0</v>
      </c>
      <c r="BK67" s="100">
        <f t="shared" si="291"/>
        <v>0</v>
      </c>
      <c r="BL67" s="100">
        <f t="shared" si="291"/>
        <v>0</v>
      </c>
      <c r="BM67" s="100">
        <f t="shared" si="291"/>
        <v>0</v>
      </c>
      <c r="BN67" s="100">
        <f t="shared" si="291"/>
        <v>0</v>
      </c>
      <c r="BO67" s="100">
        <f t="shared" si="291"/>
        <v>0</v>
      </c>
      <c r="BP67" s="100">
        <f t="shared" ref="BP67:DS67" si="292">+SUM(BP68:BP71)</f>
        <v>0</v>
      </c>
      <c r="BQ67" s="100">
        <f t="shared" si="292"/>
        <v>0</v>
      </c>
      <c r="BR67" s="100">
        <f t="shared" si="292"/>
        <v>0</v>
      </c>
      <c r="BS67" s="100">
        <f t="shared" si="292"/>
        <v>0</v>
      </c>
      <c r="BT67" s="100">
        <f t="shared" si="292"/>
        <v>0</v>
      </c>
      <c r="BU67" s="100">
        <f t="shared" si="292"/>
        <v>0</v>
      </c>
      <c r="BV67" s="100">
        <f t="shared" si="292"/>
        <v>0</v>
      </c>
      <c r="BW67" s="100">
        <f t="shared" si="292"/>
        <v>0</v>
      </c>
      <c r="BX67" s="100">
        <f t="shared" si="292"/>
        <v>0</v>
      </c>
      <c r="BY67" s="100">
        <f t="shared" si="292"/>
        <v>0</v>
      </c>
      <c r="BZ67" s="100">
        <f t="shared" si="292"/>
        <v>0</v>
      </c>
      <c r="CA67" s="100">
        <f t="shared" si="292"/>
        <v>0</v>
      </c>
      <c r="CB67" s="100">
        <f t="shared" si="292"/>
        <v>0</v>
      </c>
      <c r="CC67" s="100">
        <f t="shared" si="292"/>
        <v>0</v>
      </c>
      <c r="CD67" s="100">
        <f t="shared" si="292"/>
        <v>0</v>
      </c>
      <c r="CE67" s="100">
        <f t="shared" si="292"/>
        <v>0</v>
      </c>
      <c r="CF67" s="100">
        <f t="shared" si="292"/>
        <v>0</v>
      </c>
      <c r="CG67" s="100">
        <f t="shared" si="292"/>
        <v>0</v>
      </c>
      <c r="CH67" s="100">
        <f t="shared" si="292"/>
        <v>0</v>
      </c>
      <c r="CI67" s="100">
        <f t="shared" si="292"/>
        <v>0</v>
      </c>
      <c r="CJ67" s="100">
        <f t="shared" si="292"/>
        <v>0</v>
      </c>
      <c r="CK67" s="100">
        <f t="shared" si="292"/>
        <v>0</v>
      </c>
      <c r="CL67" s="100">
        <f t="shared" si="292"/>
        <v>0</v>
      </c>
      <c r="CM67" s="100">
        <f t="shared" si="292"/>
        <v>0</v>
      </c>
      <c r="CN67" s="100">
        <f t="shared" si="292"/>
        <v>0</v>
      </c>
      <c r="CO67" s="100">
        <f t="shared" si="292"/>
        <v>0</v>
      </c>
      <c r="CP67" s="100">
        <f t="shared" si="292"/>
        <v>0</v>
      </c>
      <c r="CQ67" s="100">
        <f t="shared" si="292"/>
        <v>0</v>
      </c>
      <c r="CR67" s="100">
        <f t="shared" si="292"/>
        <v>0</v>
      </c>
      <c r="CS67" s="100">
        <f t="shared" si="292"/>
        <v>0</v>
      </c>
      <c r="CT67" s="100">
        <f t="shared" si="292"/>
        <v>0</v>
      </c>
      <c r="CU67" s="100">
        <f t="shared" si="292"/>
        <v>0</v>
      </c>
      <c r="CV67" s="100">
        <f t="shared" si="292"/>
        <v>0</v>
      </c>
      <c r="CW67" s="100">
        <f t="shared" si="292"/>
        <v>0</v>
      </c>
      <c r="CX67" s="100">
        <f t="shared" si="292"/>
        <v>0</v>
      </c>
      <c r="CY67" s="100">
        <f t="shared" si="292"/>
        <v>0</v>
      </c>
      <c r="CZ67" s="100">
        <f t="shared" si="292"/>
        <v>0</v>
      </c>
      <c r="DA67" s="100">
        <f t="shared" si="292"/>
        <v>0</v>
      </c>
      <c r="DB67" s="100">
        <f t="shared" si="292"/>
        <v>0</v>
      </c>
      <c r="DC67" s="100">
        <f t="shared" si="292"/>
        <v>0</v>
      </c>
      <c r="DD67" s="100">
        <f t="shared" si="292"/>
        <v>0</v>
      </c>
      <c r="DE67" s="100">
        <f t="shared" si="292"/>
        <v>0</v>
      </c>
      <c r="DF67" s="100">
        <f t="shared" si="292"/>
        <v>0</v>
      </c>
      <c r="DG67" s="100">
        <f t="shared" si="292"/>
        <v>0</v>
      </c>
      <c r="DH67" s="100">
        <f t="shared" si="292"/>
        <v>0</v>
      </c>
      <c r="DI67" s="100">
        <f t="shared" si="292"/>
        <v>0</v>
      </c>
      <c r="DJ67" s="100">
        <f t="shared" si="292"/>
        <v>0</v>
      </c>
      <c r="DK67" s="100">
        <f t="shared" si="292"/>
        <v>0</v>
      </c>
      <c r="DL67" s="100">
        <f t="shared" si="292"/>
        <v>0</v>
      </c>
      <c r="DM67" s="100">
        <f t="shared" si="292"/>
        <v>0</v>
      </c>
      <c r="DN67" s="100">
        <f t="shared" si="292"/>
        <v>0</v>
      </c>
      <c r="DO67" s="100">
        <f t="shared" si="292"/>
        <v>0</v>
      </c>
      <c r="DP67" s="100">
        <f t="shared" si="292"/>
        <v>0</v>
      </c>
      <c r="DQ67" s="100">
        <f t="shared" si="292"/>
        <v>0</v>
      </c>
      <c r="DR67" s="100">
        <f t="shared" si="292"/>
        <v>0</v>
      </c>
      <c r="DS67" s="100">
        <f t="shared" si="292"/>
        <v>0</v>
      </c>
    </row>
    <row r="68" ht="14.5">
      <c r="A68" s="320" t="s">
        <v>1341</v>
      </c>
      <c r="B68" s="327"/>
      <c r="C68" s="144"/>
      <c r="D68" s="144">
        <f>+C68</f>
        <v>0</v>
      </c>
      <c r="E68" s="144">
        <f t="shared" ref="E68:BP69" si="293">+D68</f>
        <v>0</v>
      </c>
      <c r="F68" s="144">
        <f t="shared" si="293"/>
        <v>0</v>
      </c>
      <c r="G68" s="144">
        <f t="shared" si="293"/>
        <v>0</v>
      </c>
      <c r="H68" s="144">
        <f t="shared" si="293"/>
        <v>0</v>
      </c>
      <c r="I68" s="144">
        <f t="shared" si="293"/>
        <v>0</v>
      </c>
      <c r="J68" s="144">
        <f t="shared" si="293"/>
        <v>0</v>
      </c>
      <c r="K68" s="144">
        <f t="shared" si="293"/>
        <v>0</v>
      </c>
      <c r="L68" s="144">
        <f t="shared" si="293"/>
        <v>0</v>
      </c>
      <c r="M68" s="144">
        <f t="shared" si="293"/>
        <v>0</v>
      </c>
      <c r="N68" s="144">
        <f t="shared" si="293"/>
        <v>0</v>
      </c>
      <c r="O68" s="144">
        <f t="shared" si="293"/>
        <v>0</v>
      </c>
      <c r="P68" s="144">
        <f t="shared" si="293"/>
        <v>0</v>
      </c>
      <c r="Q68" s="144">
        <f t="shared" si="293"/>
        <v>0</v>
      </c>
      <c r="R68" s="144">
        <f t="shared" si="293"/>
        <v>0</v>
      </c>
      <c r="S68" s="144">
        <f t="shared" si="293"/>
        <v>0</v>
      </c>
      <c r="T68" s="144">
        <f t="shared" si="293"/>
        <v>0</v>
      </c>
      <c r="U68" s="144">
        <f t="shared" si="293"/>
        <v>0</v>
      </c>
      <c r="V68" s="144">
        <f t="shared" si="293"/>
        <v>0</v>
      </c>
      <c r="W68" s="144">
        <f t="shared" si="293"/>
        <v>0</v>
      </c>
      <c r="X68" s="144">
        <f t="shared" si="293"/>
        <v>0</v>
      </c>
      <c r="Y68" s="144">
        <f t="shared" si="293"/>
        <v>0</v>
      </c>
      <c r="Z68" s="144">
        <f t="shared" si="293"/>
        <v>0</v>
      </c>
      <c r="AA68" s="144">
        <f t="shared" si="293"/>
        <v>0</v>
      </c>
      <c r="AB68" s="144">
        <f t="shared" si="293"/>
        <v>0</v>
      </c>
      <c r="AC68" s="144">
        <f t="shared" si="293"/>
        <v>0</v>
      </c>
      <c r="AD68" s="144">
        <f t="shared" si="293"/>
        <v>0</v>
      </c>
      <c r="AE68" s="144">
        <f t="shared" si="293"/>
        <v>0</v>
      </c>
      <c r="AF68" s="144">
        <f t="shared" si="293"/>
        <v>0</v>
      </c>
      <c r="AG68" s="144">
        <f t="shared" si="293"/>
        <v>0</v>
      </c>
      <c r="AH68" s="144">
        <f t="shared" si="293"/>
        <v>0</v>
      </c>
      <c r="AI68" s="144">
        <f t="shared" si="293"/>
        <v>0</v>
      </c>
      <c r="AJ68" s="144">
        <f t="shared" si="293"/>
        <v>0</v>
      </c>
      <c r="AK68" s="144">
        <f t="shared" si="293"/>
        <v>0</v>
      </c>
      <c r="AL68" s="144">
        <f t="shared" si="293"/>
        <v>0</v>
      </c>
      <c r="AM68" s="144">
        <f t="shared" si="293"/>
        <v>0</v>
      </c>
      <c r="AN68" s="144">
        <f t="shared" si="293"/>
        <v>0</v>
      </c>
      <c r="AO68" s="144">
        <f t="shared" si="293"/>
        <v>0</v>
      </c>
      <c r="AP68" s="144">
        <f t="shared" si="293"/>
        <v>0</v>
      </c>
      <c r="AQ68" s="144">
        <f t="shared" si="293"/>
        <v>0</v>
      </c>
      <c r="AR68" s="144">
        <f t="shared" si="293"/>
        <v>0</v>
      </c>
      <c r="AS68" s="144">
        <f t="shared" si="293"/>
        <v>0</v>
      </c>
      <c r="AT68" s="144">
        <f t="shared" si="293"/>
        <v>0</v>
      </c>
      <c r="AU68" s="144">
        <f t="shared" si="293"/>
        <v>0</v>
      </c>
      <c r="AV68" s="144">
        <f t="shared" si="293"/>
        <v>0</v>
      </c>
      <c r="AW68" s="144">
        <f t="shared" si="293"/>
        <v>0</v>
      </c>
      <c r="AX68" s="144">
        <f t="shared" si="293"/>
        <v>0</v>
      </c>
      <c r="AY68" s="144">
        <f t="shared" si="293"/>
        <v>0</v>
      </c>
      <c r="AZ68" s="144">
        <f t="shared" si="293"/>
        <v>0</v>
      </c>
      <c r="BA68" s="144">
        <f t="shared" si="293"/>
        <v>0</v>
      </c>
      <c r="BB68" s="144">
        <f t="shared" si="293"/>
        <v>0</v>
      </c>
      <c r="BC68" s="144">
        <f t="shared" si="293"/>
        <v>0</v>
      </c>
      <c r="BD68" s="144">
        <f t="shared" si="293"/>
        <v>0</v>
      </c>
      <c r="BE68" s="144">
        <f t="shared" si="293"/>
        <v>0</v>
      </c>
      <c r="BF68" s="144">
        <f t="shared" si="293"/>
        <v>0</v>
      </c>
      <c r="BG68" s="144">
        <f t="shared" si="293"/>
        <v>0</v>
      </c>
      <c r="BH68" s="144">
        <f t="shared" si="293"/>
        <v>0</v>
      </c>
      <c r="BI68" s="144">
        <f t="shared" si="293"/>
        <v>0</v>
      </c>
      <c r="BJ68" s="144">
        <f t="shared" si="293"/>
        <v>0</v>
      </c>
      <c r="BK68" s="144">
        <f t="shared" si="293"/>
        <v>0</v>
      </c>
      <c r="BL68" s="144">
        <f t="shared" si="293"/>
        <v>0</v>
      </c>
      <c r="BM68" s="144">
        <f t="shared" si="293"/>
        <v>0</v>
      </c>
      <c r="BN68" s="144">
        <f t="shared" si="293"/>
        <v>0</v>
      </c>
      <c r="BO68" s="144">
        <f t="shared" si="293"/>
        <v>0</v>
      </c>
      <c r="BP68" s="144">
        <f t="shared" si="293"/>
        <v>0</v>
      </c>
      <c r="BQ68" s="144">
        <f t="shared" ref="BQ68:DS71" si="294">+BP68</f>
        <v>0</v>
      </c>
      <c r="BR68" s="144">
        <f t="shared" si="294"/>
        <v>0</v>
      </c>
      <c r="BS68" s="144">
        <f t="shared" si="294"/>
        <v>0</v>
      </c>
      <c r="BT68" s="144">
        <f t="shared" si="294"/>
        <v>0</v>
      </c>
      <c r="BU68" s="144">
        <f t="shared" si="294"/>
        <v>0</v>
      </c>
      <c r="BV68" s="144">
        <f t="shared" si="294"/>
        <v>0</v>
      </c>
      <c r="BW68" s="144">
        <f t="shared" si="294"/>
        <v>0</v>
      </c>
      <c r="BX68" s="144">
        <f t="shared" si="294"/>
        <v>0</v>
      </c>
      <c r="BY68" s="144">
        <f t="shared" si="294"/>
        <v>0</v>
      </c>
      <c r="BZ68" s="144">
        <f t="shared" si="294"/>
        <v>0</v>
      </c>
      <c r="CA68" s="144">
        <f t="shared" si="294"/>
        <v>0</v>
      </c>
      <c r="CB68" s="144">
        <f t="shared" si="294"/>
        <v>0</v>
      </c>
      <c r="CC68" s="144">
        <f t="shared" si="294"/>
        <v>0</v>
      </c>
      <c r="CD68" s="144">
        <f t="shared" si="294"/>
        <v>0</v>
      </c>
      <c r="CE68" s="144">
        <f t="shared" si="294"/>
        <v>0</v>
      </c>
      <c r="CF68" s="144">
        <f t="shared" si="294"/>
        <v>0</v>
      </c>
      <c r="CG68" s="144">
        <f t="shared" si="294"/>
        <v>0</v>
      </c>
      <c r="CH68" s="144">
        <f t="shared" si="294"/>
        <v>0</v>
      </c>
      <c r="CI68" s="144">
        <f t="shared" si="294"/>
        <v>0</v>
      </c>
      <c r="CJ68" s="144">
        <f t="shared" si="294"/>
        <v>0</v>
      </c>
      <c r="CK68" s="144">
        <f t="shared" si="294"/>
        <v>0</v>
      </c>
      <c r="CL68" s="144">
        <f t="shared" si="294"/>
        <v>0</v>
      </c>
      <c r="CM68" s="144">
        <f t="shared" si="294"/>
        <v>0</v>
      </c>
      <c r="CN68" s="144">
        <f t="shared" si="294"/>
        <v>0</v>
      </c>
      <c r="CO68" s="144">
        <f t="shared" si="294"/>
        <v>0</v>
      </c>
      <c r="CP68" s="144">
        <f t="shared" si="294"/>
        <v>0</v>
      </c>
      <c r="CQ68" s="144">
        <f t="shared" si="294"/>
        <v>0</v>
      </c>
      <c r="CR68" s="144">
        <f t="shared" si="294"/>
        <v>0</v>
      </c>
      <c r="CS68" s="144">
        <f t="shared" si="294"/>
        <v>0</v>
      </c>
      <c r="CT68" s="144">
        <f t="shared" si="294"/>
        <v>0</v>
      </c>
      <c r="CU68" s="144">
        <f t="shared" si="294"/>
        <v>0</v>
      </c>
      <c r="CV68" s="144">
        <f t="shared" si="294"/>
        <v>0</v>
      </c>
      <c r="CW68" s="144">
        <f t="shared" si="294"/>
        <v>0</v>
      </c>
      <c r="CX68" s="144">
        <f t="shared" si="294"/>
        <v>0</v>
      </c>
      <c r="CY68" s="144">
        <f t="shared" si="294"/>
        <v>0</v>
      </c>
      <c r="CZ68" s="144">
        <f t="shared" si="294"/>
        <v>0</v>
      </c>
      <c r="DA68" s="144">
        <f t="shared" si="294"/>
        <v>0</v>
      </c>
      <c r="DB68" s="144">
        <f t="shared" si="294"/>
        <v>0</v>
      </c>
      <c r="DC68" s="144">
        <f t="shared" si="294"/>
        <v>0</v>
      </c>
      <c r="DD68" s="144">
        <f t="shared" si="294"/>
        <v>0</v>
      </c>
      <c r="DE68" s="144">
        <f t="shared" si="294"/>
        <v>0</v>
      </c>
      <c r="DF68" s="144">
        <f t="shared" si="294"/>
        <v>0</v>
      </c>
      <c r="DG68" s="144">
        <f t="shared" si="294"/>
        <v>0</v>
      </c>
      <c r="DH68" s="144">
        <f t="shared" si="294"/>
        <v>0</v>
      </c>
      <c r="DI68" s="144">
        <f t="shared" si="294"/>
        <v>0</v>
      </c>
      <c r="DJ68" s="144">
        <f t="shared" si="294"/>
        <v>0</v>
      </c>
      <c r="DK68" s="144">
        <f t="shared" si="294"/>
        <v>0</v>
      </c>
      <c r="DL68" s="144">
        <f t="shared" si="294"/>
        <v>0</v>
      </c>
      <c r="DM68" s="144">
        <f t="shared" si="294"/>
        <v>0</v>
      </c>
      <c r="DN68" s="144">
        <f t="shared" si="294"/>
        <v>0</v>
      </c>
      <c r="DO68" s="144">
        <f t="shared" si="294"/>
        <v>0</v>
      </c>
      <c r="DP68" s="144">
        <f t="shared" si="294"/>
        <v>0</v>
      </c>
      <c r="DQ68" s="144">
        <f t="shared" si="294"/>
        <v>0</v>
      </c>
      <c r="DR68" s="144">
        <f t="shared" si="294"/>
        <v>0</v>
      </c>
      <c r="DS68" s="144">
        <f t="shared" si="294"/>
        <v>0</v>
      </c>
    </row>
    <row r="69" ht="14.5">
      <c r="A69" s="320" t="s">
        <v>1342</v>
      </c>
      <c r="B69" s="326"/>
      <c r="C69" s="144"/>
      <c r="D69" s="144">
        <f t="shared" ref="D69:S71" si="295">+C69</f>
        <v>0</v>
      </c>
      <c r="E69" s="144">
        <f t="shared" si="295"/>
        <v>0</v>
      </c>
      <c r="F69" s="144">
        <f t="shared" si="295"/>
        <v>0</v>
      </c>
      <c r="G69" s="144">
        <f t="shared" si="295"/>
        <v>0</v>
      </c>
      <c r="H69" s="144">
        <f t="shared" si="295"/>
        <v>0</v>
      </c>
      <c r="I69" s="144">
        <f t="shared" si="295"/>
        <v>0</v>
      </c>
      <c r="J69" s="144">
        <f t="shared" si="295"/>
        <v>0</v>
      </c>
      <c r="K69" s="144">
        <f t="shared" si="295"/>
        <v>0</v>
      </c>
      <c r="L69" s="144">
        <f t="shared" si="295"/>
        <v>0</v>
      </c>
      <c r="M69" s="144">
        <f t="shared" si="295"/>
        <v>0</v>
      </c>
      <c r="N69" s="144">
        <f t="shared" si="295"/>
        <v>0</v>
      </c>
      <c r="O69" s="144">
        <f t="shared" si="295"/>
        <v>0</v>
      </c>
      <c r="P69" s="144">
        <f t="shared" si="295"/>
        <v>0</v>
      </c>
      <c r="Q69" s="144">
        <f t="shared" si="295"/>
        <v>0</v>
      </c>
      <c r="R69" s="144">
        <f t="shared" si="295"/>
        <v>0</v>
      </c>
      <c r="S69" s="144">
        <f t="shared" si="295"/>
        <v>0</v>
      </c>
      <c r="T69" s="144">
        <f t="shared" si="293"/>
        <v>0</v>
      </c>
      <c r="U69" s="144">
        <f t="shared" si="293"/>
        <v>0</v>
      </c>
      <c r="V69" s="144">
        <f t="shared" si="293"/>
        <v>0</v>
      </c>
      <c r="W69" s="144">
        <f t="shared" si="293"/>
        <v>0</v>
      </c>
      <c r="X69" s="144">
        <f t="shared" si="293"/>
        <v>0</v>
      </c>
      <c r="Y69" s="144">
        <f t="shared" si="293"/>
        <v>0</v>
      </c>
      <c r="Z69" s="144">
        <f t="shared" si="293"/>
        <v>0</v>
      </c>
      <c r="AA69" s="144">
        <f t="shared" si="293"/>
        <v>0</v>
      </c>
      <c r="AB69" s="144">
        <f t="shared" si="293"/>
        <v>0</v>
      </c>
      <c r="AC69" s="144">
        <f t="shared" si="293"/>
        <v>0</v>
      </c>
      <c r="AD69" s="144">
        <f t="shared" si="293"/>
        <v>0</v>
      </c>
      <c r="AE69" s="144">
        <f t="shared" si="293"/>
        <v>0</v>
      </c>
      <c r="AF69" s="144">
        <f t="shared" si="293"/>
        <v>0</v>
      </c>
      <c r="AG69" s="144">
        <f t="shared" si="293"/>
        <v>0</v>
      </c>
      <c r="AH69" s="144">
        <f t="shared" si="293"/>
        <v>0</v>
      </c>
      <c r="AI69" s="144">
        <f t="shared" si="293"/>
        <v>0</v>
      </c>
      <c r="AJ69" s="144">
        <f t="shared" si="293"/>
        <v>0</v>
      </c>
      <c r="AK69" s="144">
        <f t="shared" si="293"/>
        <v>0</v>
      </c>
      <c r="AL69" s="144">
        <f t="shared" si="293"/>
        <v>0</v>
      </c>
      <c r="AM69" s="144">
        <f t="shared" si="293"/>
        <v>0</v>
      </c>
      <c r="AN69" s="144">
        <f t="shared" si="293"/>
        <v>0</v>
      </c>
      <c r="AO69" s="144">
        <f t="shared" si="293"/>
        <v>0</v>
      </c>
      <c r="AP69" s="144">
        <f t="shared" si="293"/>
        <v>0</v>
      </c>
      <c r="AQ69" s="144">
        <f t="shared" si="293"/>
        <v>0</v>
      </c>
      <c r="AR69" s="144">
        <f t="shared" si="293"/>
        <v>0</v>
      </c>
      <c r="AS69" s="144">
        <f t="shared" si="293"/>
        <v>0</v>
      </c>
      <c r="AT69" s="144">
        <f t="shared" si="293"/>
        <v>0</v>
      </c>
      <c r="AU69" s="144">
        <f t="shared" si="293"/>
        <v>0</v>
      </c>
      <c r="AV69" s="144">
        <f t="shared" si="293"/>
        <v>0</v>
      </c>
      <c r="AW69" s="144">
        <f t="shared" si="293"/>
        <v>0</v>
      </c>
      <c r="AX69" s="144">
        <f t="shared" si="293"/>
        <v>0</v>
      </c>
      <c r="AY69" s="144">
        <f t="shared" si="293"/>
        <v>0</v>
      </c>
      <c r="AZ69" s="144">
        <f t="shared" si="293"/>
        <v>0</v>
      </c>
      <c r="BA69" s="144">
        <f t="shared" si="293"/>
        <v>0</v>
      </c>
      <c r="BB69" s="144">
        <f t="shared" si="293"/>
        <v>0</v>
      </c>
      <c r="BC69" s="144">
        <f t="shared" si="293"/>
        <v>0</v>
      </c>
      <c r="BD69" s="144">
        <f t="shared" si="293"/>
        <v>0</v>
      </c>
      <c r="BE69" s="144">
        <f t="shared" si="293"/>
        <v>0</v>
      </c>
      <c r="BF69" s="144">
        <f t="shared" si="293"/>
        <v>0</v>
      </c>
      <c r="BG69" s="144">
        <f t="shared" si="293"/>
        <v>0</v>
      </c>
      <c r="BH69" s="144">
        <f t="shared" si="293"/>
        <v>0</v>
      </c>
      <c r="BI69" s="144">
        <f t="shared" si="293"/>
        <v>0</v>
      </c>
      <c r="BJ69" s="144">
        <f t="shared" si="293"/>
        <v>0</v>
      </c>
      <c r="BK69" s="144">
        <f t="shared" si="293"/>
        <v>0</v>
      </c>
      <c r="BL69" s="144">
        <f t="shared" si="293"/>
        <v>0</v>
      </c>
      <c r="BM69" s="144">
        <f t="shared" si="293"/>
        <v>0</v>
      </c>
      <c r="BN69" s="144">
        <f t="shared" si="293"/>
        <v>0</v>
      </c>
      <c r="BO69" s="144">
        <f t="shared" si="293"/>
        <v>0</v>
      </c>
      <c r="BP69" s="144">
        <f t="shared" si="293"/>
        <v>0</v>
      </c>
      <c r="BQ69" s="144">
        <f t="shared" si="294"/>
        <v>0</v>
      </c>
      <c r="BR69" s="144">
        <f t="shared" si="294"/>
        <v>0</v>
      </c>
      <c r="BS69" s="144">
        <f t="shared" si="294"/>
        <v>0</v>
      </c>
      <c r="BT69" s="144">
        <f t="shared" si="294"/>
        <v>0</v>
      </c>
      <c r="BU69" s="144">
        <f t="shared" si="294"/>
        <v>0</v>
      </c>
      <c r="BV69" s="144">
        <f t="shared" si="294"/>
        <v>0</v>
      </c>
      <c r="BW69" s="144">
        <f t="shared" si="294"/>
        <v>0</v>
      </c>
      <c r="BX69" s="144">
        <f t="shared" si="294"/>
        <v>0</v>
      </c>
      <c r="BY69" s="144">
        <f t="shared" si="294"/>
        <v>0</v>
      </c>
      <c r="BZ69" s="144">
        <f t="shared" si="294"/>
        <v>0</v>
      </c>
      <c r="CA69" s="144">
        <f t="shared" si="294"/>
        <v>0</v>
      </c>
      <c r="CB69" s="144">
        <f t="shared" si="294"/>
        <v>0</v>
      </c>
      <c r="CC69" s="144">
        <f t="shared" si="294"/>
        <v>0</v>
      </c>
      <c r="CD69" s="144">
        <f t="shared" si="294"/>
        <v>0</v>
      </c>
      <c r="CE69" s="144">
        <f t="shared" si="294"/>
        <v>0</v>
      </c>
      <c r="CF69" s="144">
        <f t="shared" si="294"/>
        <v>0</v>
      </c>
      <c r="CG69" s="144">
        <f t="shared" si="294"/>
        <v>0</v>
      </c>
      <c r="CH69" s="144">
        <f t="shared" si="294"/>
        <v>0</v>
      </c>
      <c r="CI69" s="144">
        <f t="shared" si="294"/>
        <v>0</v>
      </c>
      <c r="CJ69" s="144">
        <f t="shared" si="294"/>
        <v>0</v>
      </c>
      <c r="CK69" s="144">
        <f t="shared" si="294"/>
        <v>0</v>
      </c>
      <c r="CL69" s="144">
        <f t="shared" si="294"/>
        <v>0</v>
      </c>
      <c r="CM69" s="144">
        <f t="shared" si="294"/>
        <v>0</v>
      </c>
      <c r="CN69" s="144">
        <f t="shared" si="294"/>
        <v>0</v>
      </c>
      <c r="CO69" s="144">
        <f t="shared" si="294"/>
        <v>0</v>
      </c>
      <c r="CP69" s="144">
        <f t="shared" si="294"/>
        <v>0</v>
      </c>
      <c r="CQ69" s="144">
        <f t="shared" si="294"/>
        <v>0</v>
      </c>
      <c r="CR69" s="144">
        <f t="shared" si="294"/>
        <v>0</v>
      </c>
      <c r="CS69" s="144">
        <f t="shared" si="294"/>
        <v>0</v>
      </c>
      <c r="CT69" s="144">
        <f t="shared" si="294"/>
        <v>0</v>
      </c>
      <c r="CU69" s="144">
        <f t="shared" si="294"/>
        <v>0</v>
      </c>
      <c r="CV69" s="144">
        <f t="shared" si="294"/>
        <v>0</v>
      </c>
      <c r="CW69" s="144">
        <f t="shared" si="294"/>
        <v>0</v>
      </c>
      <c r="CX69" s="144">
        <f t="shared" si="294"/>
        <v>0</v>
      </c>
      <c r="CY69" s="144">
        <f t="shared" si="294"/>
        <v>0</v>
      </c>
      <c r="CZ69" s="144">
        <f t="shared" si="294"/>
        <v>0</v>
      </c>
      <c r="DA69" s="144">
        <f t="shared" si="294"/>
        <v>0</v>
      </c>
      <c r="DB69" s="144">
        <f t="shared" si="294"/>
        <v>0</v>
      </c>
      <c r="DC69" s="144">
        <f t="shared" si="294"/>
        <v>0</v>
      </c>
      <c r="DD69" s="144">
        <f t="shared" si="294"/>
        <v>0</v>
      </c>
      <c r="DE69" s="144">
        <f t="shared" si="294"/>
        <v>0</v>
      </c>
      <c r="DF69" s="144">
        <f t="shared" si="294"/>
        <v>0</v>
      </c>
      <c r="DG69" s="144">
        <f t="shared" si="294"/>
        <v>0</v>
      </c>
      <c r="DH69" s="144">
        <f t="shared" si="294"/>
        <v>0</v>
      </c>
      <c r="DI69" s="144">
        <f t="shared" si="294"/>
        <v>0</v>
      </c>
      <c r="DJ69" s="144">
        <f t="shared" si="294"/>
        <v>0</v>
      </c>
      <c r="DK69" s="144">
        <f t="shared" si="294"/>
        <v>0</v>
      </c>
      <c r="DL69" s="144">
        <f t="shared" si="294"/>
        <v>0</v>
      </c>
      <c r="DM69" s="144">
        <f t="shared" si="294"/>
        <v>0</v>
      </c>
      <c r="DN69" s="144">
        <f t="shared" si="294"/>
        <v>0</v>
      </c>
      <c r="DO69" s="144">
        <f t="shared" si="294"/>
        <v>0</v>
      </c>
      <c r="DP69" s="144">
        <f t="shared" si="294"/>
        <v>0</v>
      </c>
      <c r="DQ69" s="144">
        <f t="shared" si="294"/>
        <v>0</v>
      </c>
      <c r="DR69" s="144">
        <f t="shared" si="294"/>
        <v>0</v>
      </c>
      <c r="DS69" s="144">
        <f t="shared" si="294"/>
        <v>0</v>
      </c>
    </row>
    <row r="70" ht="14.5">
      <c r="A70" s="320" t="s">
        <v>1152</v>
      </c>
      <c r="B70" s="326"/>
      <c r="C70" s="144"/>
      <c r="D70" s="144">
        <f t="shared" si="295"/>
        <v>0</v>
      </c>
      <c r="E70" s="144">
        <f t="shared" ref="E70:BP71" si="296">+D70</f>
        <v>0</v>
      </c>
      <c r="F70" s="144">
        <f t="shared" si="296"/>
        <v>0</v>
      </c>
      <c r="G70" s="144">
        <f t="shared" si="296"/>
        <v>0</v>
      </c>
      <c r="H70" s="144">
        <f t="shared" si="296"/>
        <v>0</v>
      </c>
      <c r="I70" s="144">
        <f t="shared" si="296"/>
        <v>0</v>
      </c>
      <c r="J70" s="144">
        <f t="shared" si="296"/>
        <v>0</v>
      </c>
      <c r="K70" s="144">
        <f t="shared" si="296"/>
        <v>0</v>
      </c>
      <c r="L70" s="144">
        <f t="shared" si="296"/>
        <v>0</v>
      </c>
      <c r="M70" s="144">
        <f t="shared" si="296"/>
        <v>0</v>
      </c>
      <c r="N70" s="144">
        <f t="shared" si="296"/>
        <v>0</v>
      </c>
      <c r="O70" s="144">
        <f t="shared" si="296"/>
        <v>0</v>
      </c>
      <c r="P70" s="144">
        <f t="shared" si="296"/>
        <v>0</v>
      </c>
      <c r="Q70" s="144">
        <f t="shared" si="296"/>
        <v>0</v>
      </c>
      <c r="R70" s="144">
        <f t="shared" si="296"/>
        <v>0</v>
      </c>
      <c r="S70" s="144">
        <f t="shared" si="296"/>
        <v>0</v>
      </c>
      <c r="T70" s="144">
        <f t="shared" si="296"/>
        <v>0</v>
      </c>
      <c r="U70" s="144">
        <f t="shared" si="296"/>
        <v>0</v>
      </c>
      <c r="V70" s="144">
        <f t="shared" si="296"/>
        <v>0</v>
      </c>
      <c r="W70" s="144">
        <f t="shared" si="296"/>
        <v>0</v>
      </c>
      <c r="X70" s="144">
        <f t="shared" si="296"/>
        <v>0</v>
      </c>
      <c r="Y70" s="144">
        <f t="shared" si="296"/>
        <v>0</v>
      </c>
      <c r="Z70" s="144">
        <f t="shared" si="296"/>
        <v>0</v>
      </c>
      <c r="AA70" s="144">
        <f t="shared" si="296"/>
        <v>0</v>
      </c>
      <c r="AB70" s="144">
        <f t="shared" si="296"/>
        <v>0</v>
      </c>
      <c r="AC70" s="144">
        <f t="shared" si="296"/>
        <v>0</v>
      </c>
      <c r="AD70" s="144">
        <f t="shared" si="296"/>
        <v>0</v>
      </c>
      <c r="AE70" s="144">
        <f t="shared" si="296"/>
        <v>0</v>
      </c>
      <c r="AF70" s="144">
        <f t="shared" si="296"/>
        <v>0</v>
      </c>
      <c r="AG70" s="144">
        <f t="shared" si="296"/>
        <v>0</v>
      </c>
      <c r="AH70" s="144">
        <f t="shared" si="296"/>
        <v>0</v>
      </c>
      <c r="AI70" s="144">
        <f t="shared" si="296"/>
        <v>0</v>
      </c>
      <c r="AJ70" s="144">
        <f t="shared" si="296"/>
        <v>0</v>
      </c>
      <c r="AK70" s="144">
        <f t="shared" si="296"/>
        <v>0</v>
      </c>
      <c r="AL70" s="144">
        <f t="shared" si="296"/>
        <v>0</v>
      </c>
      <c r="AM70" s="144">
        <f t="shared" si="296"/>
        <v>0</v>
      </c>
      <c r="AN70" s="144">
        <f t="shared" si="296"/>
        <v>0</v>
      </c>
      <c r="AO70" s="144">
        <f t="shared" si="296"/>
        <v>0</v>
      </c>
      <c r="AP70" s="144">
        <f t="shared" si="296"/>
        <v>0</v>
      </c>
      <c r="AQ70" s="144">
        <f t="shared" si="296"/>
        <v>0</v>
      </c>
      <c r="AR70" s="144">
        <f t="shared" si="296"/>
        <v>0</v>
      </c>
      <c r="AS70" s="144">
        <f t="shared" si="296"/>
        <v>0</v>
      </c>
      <c r="AT70" s="144">
        <f t="shared" si="296"/>
        <v>0</v>
      </c>
      <c r="AU70" s="144">
        <f t="shared" si="296"/>
        <v>0</v>
      </c>
      <c r="AV70" s="144">
        <f t="shared" si="296"/>
        <v>0</v>
      </c>
      <c r="AW70" s="144">
        <f t="shared" si="296"/>
        <v>0</v>
      </c>
      <c r="AX70" s="144">
        <f t="shared" si="296"/>
        <v>0</v>
      </c>
      <c r="AY70" s="144">
        <f t="shared" si="296"/>
        <v>0</v>
      </c>
      <c r="AZ70" s="144">
        <f t="shared" si="296"/>
        <v>0</v>
      </c>
      <c r="BA70" s="144">
        <f t="shared" si="296"/>
        <v>0</v>
      </c>
      <c r="BB70" s="144">
        <f t="shared" si="296"/>
        <v>0</v>
      </c>
      <c r="BC70" s="144">
        <f t="shared" si="296"/>
        <v>0</v>
      </c>
      <c r="BD70" s="144">
        <f t="shared" si="296"/>
        <v>0</v>
      </c>
      <c r="BE70" s="144">
        <f t="shared" si="296"/>
        <v>0</v>
      </c>
      <c r="BF70" s="144">
        <f t="shared" si="296"/>
        <v>0</v>
      </c>
      <c r="BG70" s="144">
        <f t="shared" si="296"/>
        <v>0</v>
      </c>
      <c r="BH70" s="144">
        <f t="shared" si="296"/>
        <v>0</v>
      </c>
      <c r="BI70" s="144">
        <f t="shared" si="296"/>
        <v>0</v>
      </c>
      <c r="BJ70" s="144">
        <f t="shared" si="296"/>
        <v>0</v>
      </c>
      <c r="BK70" s="144">
        <f t="shared" si="296"/>
        <v>0</v>
      </c>
      <c r="BL70" s="144">
        <f t="shared" si="296"/>
        <v>0</v>
      </c>
      <c r="BM70" s="144">
        <f t="shared" si="296"/>
        <v>0</v>
      </c>
      <c r="BN70" s="144">
        <f t="shared" si="296"/>
        <v>0</v>
      </c>
      <c r="BO70" s="144">
        <f t="shared" si="296"/>
        <v>0</v>
      </c>
      <c r="BP70" s="144">
        <f t="shared" si="296"/>
        <v>0</v>
      </c>
      <c r="BQ70" s="144">
        <f t="shared" si="294"/>
        <v>0</v>
      </c>
      <c r="BR70" s="144">
        <f t="shared" si="294"/>
        <v>0</v>
      </c>
      <c r="BS70" s="144">
        <f t="shared" si="294"/>
        <v>0</v>
      </c>
      <c r="BT70" s="144">
        <f t="shared" si="294"/>
        <v>0</v>
      </c>
      <c r="BU70" s="144">
        <f t="shared" si="294"/>
        <v>0</v>
      </c>
      <c r="BV70" s="144">
        <f t="shared" si="294"/>
        <v>0</v>
      </c>
      <c r="BW70" s="144">
        <f t="shared" si="294"/>
        <v>0</v>
      </c>
      <c r="BX70" s="144">
        <f t="shared" si="294"/>
        <v>0</v>
      </c>
      <c r="BY70" s="144">
        <f t="shared" si="294"/>
        <v>0</v>
      </c>
      <c r="BZ70" s="144">
        <f t="shared" si="294"/>
        <v>0</v>
      </c>
      <c r="CA70" s="144">
        <f t="shared" si="294"/>
        <v>0</v>
      </c>
      <c r="CB70" s="144">
        <f t="shared" si="294"/>
        <v>0</v>
      </c>
      <c r="CC70" s="144">
        <f t="shared" si="294"/>
        <v>0</v>
      </c>
      <c r="CD70" s="144">
        <f t="shared" si="294"/>
        <v>0</v>
      </c>
      <c r="CE70" s="144">
        <f t="shared" si="294"/>
        <v>0</v>
      </c>
      <c r="CF70" s="144">
        <f t="shared" si="294"/>
        <v>0</v>
      </c>
      <c r="CG70" s="144">
        <f t="shared" si="294"/>
        <v>0</v>
      </c>
      <c r="CH70" s="144">
        <f t="shared" si="294"/>
        <v>0</v>
      </c>
      <c r="CI70" s="144">
        <f t="shared" si="294"/>
        <v>0</v>
      </c>
      <c r="CJ70" s="144">
        <f t="shared" si="294"/>
        <v>0</v>
      </c>
      <c r="CK70" s="144">
        <f t="shared" si="294"/>
        <v>0</v>
      </c>
      <c r="CL70" s="144">
        <f t="shared" si="294"/>
        <v>0</v>
      </c>
      <c r="CM70" s="144">
        <f t="shared" si="294"/>
        <v>0</v>
      </c>
      <c r="CN70" s="144">
        <f t="shared" si="294"/>
        <v>0</v>
      </c>
      <c r="CO70" s="144">
        <f t="shared" si="294"/>
        <v>0</v>
      </c>
      <c r="CP70" s="144">
        <f t="shared" si="294"/>
        <v>0</v>
      </c>
      <c r="CQ70" s="144">
        <f t="shared" si="294"/>
        <v>0</v>
      </c>
      <c r="CR70" s="144">
        <f t="shared" si="294"/>
        <v>0</v>
      </c>
      <c r="CS70" s="144">
        <f t="shared" si="294"/>
        <v>0</v>
      </c>
      <c r="CT70" s="144">
        <f t="shared" si="294"/>
        <v>0</v>
      </c>
      <c r="CU70" s="144">
        <f t="shared" si="294"/>
        <v>0</v>
      </c>
      <c r="CV70" s="144">
        <f t="shared" si="294"/>
        <v>0</v>
      </c>
      <c r="CW70" s="144">
        <f t="shared" si="294"/>
        <v>0</v>
      </c>
      <c r="CX70" s="144">
        <f t="shared" si="294"/>
        <v>0</v>
      </c>
      <c r="CY70" s="144">
        <f t="shared" si="294"/>
        <v>0</v>
      </c>
      <c r="CZ70" s="144">
        <f t="shared" si="294"/>
        <v>0</v>
      </c>
      <c r="DA70" s="144">
        <f t="shared" si="294"/>
        <v>0</v>
      </c>
      <c r="DB70" s="144">
        <f t="shared" si="294"/>
        <v>0</v>
      </c>
      <c r="DC70" s="144">
        <f t="shared" si="294"/>
        <v>0</v>
      </c>
      <c r="DD70" s="144">
        <f t="shared" si="294"/>
        <v>0</v>
      </c>
      <c r="DE70" s="144">
        <f t="shared" si="294"/>
        <v>0</v>
      </c>
      <c r="DF70" s="144">
        <f t="shared" si="294"/>
        <v>0</v>
      </c>
      <c r="DG70" s="144">
        <f t="shared" si="294"/>
        <v>0</v>
      </c>
      <c r="DH70" s="144">
        <f t="shared" si="294"/>
        <v>0</v>
      </c>
      <c r="DI70" s="144">
        <f t="shared" si="294"/>
        <v>0</v>
      </c>
      <c r="DJ70" s="144">
        <f t="shared" si="294"/>
        <v>0</v>
      </c>
      <c r="DK70" s="144">
        <f t="shared" si="294"/>
        <v>0</v>
      </c>
      <c r="DL70" s="144">
        <f t="shared" si="294"/>
        <v>0</v>
      </c>
      <c r="DM70" s="144">
        <f t="shared" si="294"/>
        <v>0</v>
      </c>
      <c r="DN70" s="144">
        <f t="shared" si="294"/>
        <v>0</v>
      </c>
      <c r="DO70" s="144">
        <f t="shared" si="294"/>
        <v>0</v>
      </c>
      <c r="DP70" s="144">
        <f t="shared" si="294"/>
        <v>0</v>
      </c>
      <c r="DQ70" s="144">
        <f t="shared" si="294"/>
        <v>0</v>
      </c>
      <c r="DR70" s="144">
        <f t="shared" si="294"/>
        <v>0</v>
      </c>
      <c r="DS70" s="144">
        <f t="shared" si="294"/>
        <v>0</v>
      </c>
    </row>
    <row r="71" ht="14.5">
      <c r="A71" s="320" t="s">
        <v>1343</v>
      </c>
      <c r="B71" s="326"/>
      <c r="C71" s="144"/>
      <c r="D71" s="144">
        <f t="shared" si="295"/>
        <v>0</v>
      </c>
      <c r="E71" s="144">
        <f t="shared" si="296"/>
        <v>0</v>
      </c>
      <c r="F71" s="144">
        <f t="shared" si="296"/>
        <v>0</v>
      </c>
      <c r="G71" s="144">
        <f t="shared" si="296"/>
        <v>0</v>
      </c>
      <c r="H71" s="144">
        <f t="shared" si="296"/>
        <v>0</v>
      </c>
      <c r="I71" s="144">
        <f t="shared" si="296"/>
        <v>0</v>
      </c>
      <c r="J71" s="144">
        <f t="shared" si="296"/>
        <v>0</v>
      </c>
      <c r="K71" s="144">
        <f t="shared" si="296"/>
        <v>0</v>
      </c>
      <c r="L71" s="144">
        <f t="shared" si="296"/>
        <v>0</v>
      </c>
      <c r="M71" s="144">
        <f t="shared" si="296"/>
        <v>0</v>
      </c>
      <c r="N71" s="144">
        <f t="shared" si="296"/>
        <v>0</v>
      </c>
      <c r="O71" s="144">
        <f t="shared" si="296"/>
        <v>0</v>
      </c>
      <c r="P71" s="144">
        <f t="shared" si="296"/>
        <v>0</v>
      </c>
      <c r="Q71" s="144">
        <f t="shared" si="296"/>
        <v>0</v>
      </c>
      <c r="R71" s="144">
        <f t="shared" si="296"/>
        <v>0</v>
      </c>
      <c r="S71" s="144">
        <f t="shared" si="296"/>
        <v>0</v>
      </c>
      <c r="T71" s="144">
        <f t="shared" si="296"/>
        <v>0</v>
      </c>
      <c r="U71" s="144">
        <f t="shared" si="296"/>
        <v>0</v>
      </c>
      <c r="V71" s="144">
        <f t="shared" si="296"/>
        <v>0</v>
      </c>
      <c r="W71" s="144">
        <f t="shared" si="296"/>
        <v>0</v>
      </c>
      <c r="X71" s="144">
        <f t="shared" si="296"/>
        <v>0</v>
      </c>
      <c r="Y71" s="144">
        <f t="shared" si="296"/>
        <v>0</v>
      </c>
      <c r="Z71" s="144">
        <f t="shared" si="296"/>
        <v>0</v>
      </c>
      <c r="AA71" s="144">
        <f t="shared" si="296"/>
        <v>0</v>
      </c>
      <c r="AB71" s="144">
        <f t="shared" si="296"/>
        <v>0</v>
      </c>
      <c r="AC71" s="144">
        <f t="shared" si="296"/>
        <v>0</v>
      </c>
      <c r="AD71" s="144">
        <f t="shared" si="296"/>
        <v>0</v>
      </c>
      <c r="AE71" s="144">
        <f t="shared" si="296"/>
        <v>0</v>
      </c>
      <c r="AF71" s="144">
        <f t="shared" si="296"/>
        <v>0</v>
      </c>
      <c r="AG71" s="144">
        <f t="shared" si="296"/>
        <v>0</v>
      </c>
      <c r="AH71" s="144">
        <f t="shared" si="296"/>
        <v>0</v>
      </c>
      <c r="AI71" s="144">
        <f t="shared" si="296"/>
        <v>0</v>
      </c>
      <c r="AJ71" s="144">
        <f t="shared" si="296"/>
        <v>0</v>
      </c>
      <c r="AK71" s="144">
        <f t="shared" si="296"/>
        <v>0</v>
      </c>
      <c r="AL71" s="144">
        <f t="shared" si="296"/>
        <v>0</v>
      </c>
      <c r="AM71" s="144">
        <f t="shared" si="296"/>
        <v>0</v>
      </c>
      <c r="AN71" s="144">
        <f t="shared" si="296"/>
        <v>0</v>
      </c>
      <c r="AO71" s="144">
        <f t="shared" si="296"/>
        <v>0</v>
      </c>
      <c r="AP71" s="144">
        <f t="shared" si="296"/>
        <v>0</v>
      </c>
      <c r="AQ71" s="144">
        <f t="shared" si="296"/>
        <v>0</v>
      </c>
      <c r="AR71" s="144">
        <f t="shared" si="296"/>
        <v>0</v>
      </c>
      <c r="AS71" s="144">
        <f t="shared" si="296"/>
        <v>0</v>
      </c>
      <c r="AT71" s="144">
        <f t="shared" si="296"/>
        <v>0</v>
      </c>
      <c r="AU71" s="144">
        <f t="shared" si="296"/>
        <v>0</v>
      </c>
      <c r="AV71" s="144">
        <f t="shared" si="296"/>
        <v>0</v>
      </c>
      <c r="AW71" s="144">
        <f t="shared" si="296"/>
        <v>0</v>
      </c>
      <c r="AX71" s="144">
        <f t="shared" si="296"/>
        <v>0</v>
      </c>
      <c r="AY71" s="144">
        <f t="shared" si="296"/>
        <v>0</v>
      </c>
      <c r="AZ71" s="144">
        <f t="shared" si="296"/>
        <v>0</v>
      </c>
      <c r="BA71" s="144">
        <f t="shared" si="296"/>
        <v>0</v>
      </c>
      <c r="BB71" s="144">
        <f t="shared" si="296"/>
        <v>0</v>
      </c>
      <c r="BC71" s="144">
        <f t="shared" si="296"/>
        <v>0</v>
      </c>
      <c r="BD71" s="144">
        <f t="shared" si="296"/>
        <v>0</v>
      </c>
      <c r="BE71" s="144">
        <f t="shared" si="296"/>
        <v>0</v>
      </c>
      <c r="BF71" s="144">
        <f t="shared" si="296"/>
        <v>0</v>
      </c>
      <c r="BG71" s="144">
        <f t="shared" si="296"/>
        <v>0</v>
      </c>
      <c r="BH71" s="144">
        <f t="shared" si="296"/>
        <v>0</v>
      </c>
      <c r="BI71" s="144">
        <f t="shared" si="296"/>
        <v>0</v>
      </c>
      <c r="BJ71" s="144">
        <f t="shared" si="296"/>
        <v>0</v>
      </c>
      <c r="BK71" s="144">
        <f t="shared" si="296"/>
        <v>0</v>
      </c>
      <c r="BL71" s="144">
        <f t="shared" si="296"/>
        <v>0</v>
      </c>
      <c r="BM71" s="144">
        <f t="shared" si="296"/>
        <v>0</v>
      </c>
      <c r="BN71" s="144">
        <f t="shared" si="296"/>
        <v>0</v>
      </c>
      <c r="BO71" s="144">
        <f t="shared" si="296"/>
        <v>0</v>
      </c>
      <c r="BP71" s="144">
        <f t="shared" si="296"/>
        <v>0</v>
      </c>
      <c r="BQ71" s="144">
        <f t="shared" si="294"/>
        <v>0</v>
      </c>
      <c r="BR71" s="144">
        <f t="shared" si="294"/>
        <v>0</v>
      </c>
      <c r="BS71" s="144">
        <f t="shared" si="294"/>
        <v>0</v>
      </c>
      <c r="BT71" s="144">
        <f t="shared" si="294"/>
        <v>0</v>
      </c>
      <c r="BU71" s="144">
        <f t="shared" si="294"/>
        <v>0</v>
      </c>
      <c r="BV71" s="144">
        <f t="shared" si="294"/>
        <v>0</v>
      </c>
      <c r="BW71" s="144">
        <f t="shared" si="294"/>
        <v>0</v>
      </c>
      <c r="BX71" s="144">
        <f t="shared" si="294"/>
        <v>0</v>
      </c>
      <c r="BY71" s="144">
        <f t="shared" si="294"/>
        <v>0</v>
      </c>
      <c r="BZ71" s="144">
        <f t="shared" si="294"/>
        <v>0</v>
      </c>
      <c r="CA71" s="144">
        <f t="shared" si="294"/>
        <v>0</v>
      </c>
      <c r="CB71" s="144">
        <f t="shared" si="294"/>
        <v>0</v>
      </c>
      <c r="CC71" s="144">
        <f t="shared" si="294"/>
        <v>0</v>
      </c>
      <c r="CD71" s="144">
        <f t="shared" si="294"/>
        <v>0</v>
      </c>
      <c r="CE71" s="144">
        <f t="shared" si="294"/>
        <v>0</v>
      </c>
      <c r="CF71" s="144">
        <f t="shared" si="294"/>
        <v>0</v>
      </c>
      <c r="CG71" s="144">
        <f t="shared" si="294"/>
        <v>0</v>
      </c>
      <c r="CH71" s="144">
        <f t="shared" si="294"/>
        <v>0</v>
      </c>
      <c r="CI71" s="144">
        <f t="shared" si="294"/>
        <v>0</v>
      </c>
      <c r="CJ71" s="144">
        <f t="shared" si="294"/>
        <v>0</v>
      </c>
      <c r="CK71" s="144">
        <f t="shared" si="294"/>
        <v>0</v>
      </c>
      <c r="CL71" s="144">
        <f t="shared" si="294"/>
        <v>0</v>
      </c>
      <c r="CM71" s="144">
        <f t="shared" si="294"/>
        <v>0</v>
      </c>
      <c r="CN71" s="144">
        <f t="shared" si="294"/>
        <v>0</v>
      </c>
      <c r="CO71" s="144">
        <f t="shared" si="294"/>
        <v>0</v>
      </c>
      <c r="CP71" s="144">
        <f t="shared" si="294"/>
        <v>0</v>
      </c>
      <c r="CQ71" s="144">
        <f t="shared" si="294"/>
        <v>0</v>
      </c>
      <c r="CR71" s="144">
        <f t="shared" si="294"/>
        <v>0</v>
      </c>
      <c r="CS71" s="144">
        <f t="shared" si="294"/>
        <v>0</v>
      </c>
      <c r="CT71" s="144">
        <f t="shared" si="294"/>
        <v>0</v>
      </c>
      <c r="CU71" s="144">
        <f t="shared" si="294"/>
        <v>0</v>
      </c>
      <c r="CV71" s="144">
        <f t="shared" si="294"/>
        <v>0</v>
      </c>
      <c r="CW71" s="144">
        <f t="shared" si="294"/>
        <v>0</v>
      </c>
      <c r="CX71" s="144">
        <f t="shared" si="294"/>
        <v>0</v>
      </c>
      <c r="CY71" s="144">
        <f t="shared" si="294"/>
        <v>0</v>
      </c>
      <c r="CZ71" s="144">
        <f t="shared" si="294"/>
        <v>0</v>
      </c>
      <c r="DA71" s="144">
        <f t="shared" si="294"/>
        <v>0</v>
      </c>
      <c r="DB71" s="144">
        <f t="shared" si="294"/>
        <v>0</v>
      </c>
      <c r="DC71" s="144">
        <f t="shared" si="294"/>
        <v>0</v>
      </c>
      <c r="DD71" s="144">
        <f t="shared" si="294"/>
        <v>0</v>
      </c>
      <c r="DE71" s="144">
        <f t="shared" si="294"/>
        <v>0</v>
      </c>
      <c r="DF71" s="144">
        <f t="shared" si="294"/>
        <v>0</v>
      </c>
      <c r="DG71" s="144">
        <f t="shared" si="294"/>
        <v>0</v>
      </c>
      <c r="DH71" s="144">
        <f t="shared" si="294"/>
        <v>0</v>
      </c>
      <c r="DI71" s="144">
        <f t="shared" si="294"/>
        <v>0</v>
      </c>
      <c r="DJ71" s="144">
        <f t="shared" si="294"/>
        <v>0</v>
      </c>
      <c r="DK71" s="144">
        <f t="shared" si="294"/>
        <v>0</v>
      </c>
      <c r="DL71" s="144">
        <f t="shared" si="294"/>
        <v>0</v>
      </c>
      <c r="DM71" s="144">
        <f t="shared" si="294"/>
        <v>0</v>
      </c>
      <c r="DN71" s="144">
        <f t="shared" si="294"/>
        <v>0</v>
      </c>
      <c r="DO71" s="144">
        <f t="shared" si="294"/>
        <v>0</v>
      </c>
      <c r="DP71" s="144">
        <f t="shared" si="294"/>
        <v>0</v>
      </c>
      <c r="DQ71" s="144">
        <f t="shared" si="294"/>
        <v>0</v>
      </c>
      <c r="DR71" s="144">
        <f t="shared" si="294"/>
        <v>0</v>
      </c>
      <c r="DS71" s="144">
        <f t="shared" si="294"/>
        <v>0</v>
      </c>
    </row>
    <row r="72" ht="14.5">
      <c r="B72" s="3"/>
      <c r="C72" s="144"/>
      <c r="D72" s="144"/>
      <c r="E72" s="144"/>
      <c r="F72" s="144"/>
      <c r="G72" s="144"/>
      <c r="H72" s="144"/>
      <c r="I72" s="144"/>
      <c r="J72" s="144"/>
      <c r="K72" s="144"/>
      <c r="L72" s="144"/>
      <c r="M72" s="144"/>
      <c r="N72" s="144"/>
      <c r="O72" s="144"/>
      <c r="P72" s="144"/>
      <c r="Q72" s="144"/>
      <c r="R72" s="144"/>
      <c r="S72" s="144"/>
      <c r="T72" s="144"/>
      <c r="U72" s="144"/>
      <c r="V72" s="144"/>
      <c r="W72" s="144"/>
      <c r="X72" s="144"/>
      <c r="Y72" s="144"/>
      <c r="Z72" s="144"/>
      <c r="AA72" s="144"/>
      <c r="AB72" s="144"/>
      <c r="AC72" s="144"/>
      <c r="AD72" s="144"/>
      <c r="AE72" s="144"/>
      <c r="AF72" s="144"/>
      <c r="AG72" s="144"/>
      <c r="AH72" s="144"/>
      <c r="AI72" s="144"/>
      <c r="AJ72" s="144"/>
      <c r="AK72" s="144"/>
      <c r="AL72" s="144"/>
      <c r="AM72" s="144"/>
      <c r="AN72" s="144"/>
      <c r="AO72" s="144"/>
      <c r="AP72" s="144"/>
      <c r="AQ72" s="144"/>
      <c r="AR72" s="144"/>
      <c r="AS72" s="144"/>
      <c r="AT72" s="144"/>
      <c r="AU72" s="144"/>
      <c r="AV72" s="144"/>
      <c r="AW72" s="144"/>
      <c r="AX72" s="144"/>
      <c r="AY72" s="144"/>
      <c r="AZ72" s="144"/>
      <c r="BA72" s="144"/>
      <c r="BB72" s="144"/>
      <c r="BC72" s="144"/>
      <c r="BD72" s="144"/>
      <c r="BE72" s="144"/>
      <c r="BF72" s="144"/>
      <c r="BG72" s="144"/>
      <c r="BH72" s="144"/>
      <c r="BI72" s="144"/>
      <c r="BJ72" s="144"/>
      <c r="BK72" s="144"/>
      <c r="BL72" s="144"/>
      <c r="BM72" s="144"/>
      <c r="BN72" s="144"/>
      <c r="BO72" s="144"/>
      <c r="BP72" s="144"/>
      <c r="BQ72" s="144"/>
      <c r="BR72" s="144"/>
      <c r="BS72" s="144"/>
      <c r="BT72" s="144"/>
      <c r="BU72" s="144"/>
      <c r="BV72" s="144"/>
      <c r="BW72" s="144"/>
      <c r="BX72" s="144"/>
      <c r="BY72" s="144"/>
      <c r="BZ72" s="144"/>
      <c r="CA72" s="144"/>
      <c r="CB72" s="144"/>
      <c r="CC72" s="144"/>
      <c r="CD72" s="144"/>
      <c r="CE72" s="144"/>
      <c r="CF72" s="144"/>
      <c r="CG72" s="144"/>
      <c r="CH72" s="144"/>
      <c r="CI72" s="144"/>
      <c r="CJ72" s="144"/>
      <c r="CK72" s="144"/>
      <c r="CL72" s="144"/>
      <c r="CM72" s="144"/>
      <c r="CN72" s="144"/>
      <c r="CO72" s="144"/>
      <c r="CP72" s="144"/>
      <c r="CQ72" s="144"/>
      <c r="CR72" s="144"/>
      <c r="CS72" s="144"/>
      <c r="CT72" s="144"/>
      <c r="CU72" s="144"/>
      <c r="CV72" s="144"/>
      <c r="CW72" s="144"/>
      <c r="CX72" s="144"/>
      <c r="CY72" s="144"/>
      <c r="CZ72" s="144"/>
      <c r="DA72" s="144"/>
      <c r="DB72" s="144"/>
      <c r="DC72" s="144"/>
      <c r="DD72" s="144"/>
      <c r="DE72" s="144"/>
      <c r="DF72" s="144"/>
      <c r="DG72" s="144"/>
      <c r="DH72" s="144"/>
      <c r="DI72" s="144"/>
      <c r="DJ72" s="144"/>
      <c r="DK72" s="144"/>
      <c r="DL72" s="144"/>
      <c r="DM72" s="144"/>
      <c r="DN72" s="144"/>
      <c r="DO72" s="144"/>
      <c r="DP72" s="144"/>
      <c r="DQ72" s="144"/>
      <c r="DR72" s="144"/>
      <c r="DS72" s="144"/>
    </row>
    <row r="73" thickBot="1">
      <c r="B73" s="3"/>
      <c r="C73" s="144"/>
      <c r="D73" s="144"/>
      <c r="E73" s="144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44"/>
      <c r="S73" s="144"/>
      <c r="T73" s="144"/>
      <c r="U73" s="144"/>
      <c r="V73" s="144"/>
      <c r="W73" s="144"/>
      <c r="X73" s="144"/>
      <c r="Y73" s="144"/>
      <c r="Z73" s="144"/>
      <c r="AA73" s="144"/>
      <c r="AB73" s="144"/>
      <c r="AC73" s="144"/>
      <c r="AD73" s="144"/>
      <c r="AE73" s="144"/>
      <c r="AF73" s="144"/>
      <c r="AG73" s="144"/>
      <c r="AH73" s="144"/>
      <c r="AI73" s="144"/>
      <c r="AJ73" s="144"/>
      <c r="AK73" s="144"/>
      <c r="AL73" s="144"/>
      <c r="AM73" s="144"/>
      <c r="AN73" s="144"/>
      <c r="AO73" s="144"/>
      <c r="AP73" s="144"/>
      <c r="AQ73" s="144"/>
      <c r="AR73" s="144"/>
      <c r="AS73" s="144"/>
      <c r="AT73" s="144"/>
      <c r="AU73" s="144"/>
      <c r="AV73" s="144"/>
      <c r="AW73" s="144"/>
      <c r="AX73" s="144"/>
      <c r="AY73" s="144"/>
      <c r="AZ73" s="144"/>
      <c r="BA73" s="144"/>
      <c r="BB73" s="144"/>
      <c r="BC73" s="144"/>
      <c r="BD73" s="144"/>
      <c r="BE73" s="144"/>
      <c r="BF73" s="144"/>
      <c r="BG73" s="144"/>
      <c r="BH73" s="144"/>
      <c r="BI73" s="144"/>
      <c r="BJ73" s="144"/>
      <c r="BK73" s="144"/>
      <c r="BL73" s="144"/>
      <c r="BM73" s="144"/>
      <c r="BN73" s="144"/>
      <c r="BO73" s="144"/>
      <c r="BP73" s="144"/>
      <c r="BQ73" s="144"/>
      <c r="BR73" s="144"/>
      <c r="BS73" s="144"/>
      <c r="BT73" s="144"/>
      <c r="BU73" s="144"/>
      <c r="BV73" s="144"/>
      <c r="BW73" s="144"/>
      <c r="BX73" s="144"/>
      <c r="BY73" s="144"/>
      <c r="BZ73" s="144"/>
      <c r="CA73" s="144"/>
      <c r="CB73" s="144"/>
      <c r="CC73" s="144"/>
      <c r="CD73" s="144"/>
      <c r="CE73" s="144"/>
      <c r="CF73" s="144"/>
      <c r="CG73" s="144"/>
      <c r="CH73" s="144"/>
      <c r="CI73" s="144"/>
      <c r="CJ73" s="144"/>
      <c r="CK73" s="144"/>
      <c r="CL73" s="144"/>
      <c r="CM73" s="144"/>
      <c r="CN73" s="144"/>
      <c r="CO73" s="144"/>
      <c r="CP73" s="144"/>
      <c r="CQ73" s="144"/>
      <c r="CR73" s="144"/>
      <c r="CS73" s="144"/>
      <c r="CT73" s="144"/>
      <c r="CU73" s="144"/>
      <c r="CV73" s="144"/>
      <c r="CW73" s="144"/>
      <c r="CX73" s="144"/>
      <c r="CY73" s="144"/>
      <c r="CZ73" s="144"/>
      <c r="DA73" s="144"/>
      <c r="DB73" s="144"/>
      <c r="DC73" s="144"/>
      <c r="DD73" s="144"/>
      <c r="DE73" s="144"/>
      <c r="DF73" s="144"/>
      <c r="DG73" s="144"/>
      <c r="DH73" s="144"/>
      <c r="DI73" s="144"/>
      <c r="DJ73" s="144"/>
      <c r="DK73" s="144"/>
      <c r="DL73" s="144"/>
      <c r="DM73" s="144"/>
      <c r="DN73" s="144"/>
      <c r="DO73" s="144"/>
      <c r="DP73" s="144"/>
      <c r="DQ73" s="144"/>
      <c r="DR73" s="144"/>
      <c r="DS73" s="144"/>
    </row>
    <row r="74" thickTop="1" thickBot="1" ht="18.75" customHeight="1">
      <c r="A74" s="293" t="s">
        <v>1344</v>
      </c>
      <c r="B74" s="294"/>
      <c r="C74" s="295">
        <f>+C67</f>
        <v>0</v>
      </c>
      <c r="D74" s="295">
        <f>+D67</f>
        <v>0</v>
      </c>
      <c r="E74" s="295">
        <f t="shared" ref="E74:BP74" si="297">+E67</f>
        <v>0</v>
      </c>
      <c r="F74" s="295">
        <f t="shared" si="297"/>
        <v>0</v>
      </c>
      <c r="G74" s="295">
        <f t="shared" si="297"/>
        <v>0</v>
      </c>
      <c r="H74" s="295">
        <f t="shared" si="297"/>
        <v>0</v>
      </c>
      <c r="I74" s="295">
        <f t="shared" si="297"/>
        <v>0</v>
      </c>
      <c r="J74" s="295">
        <f t="shared" si="297"/>
        <v>0</v>
      </c>
      <c r="K74" s="295">
        <f t="shared" si="297"/>
        <v>0</v>
      </c>
      <c r="L74" s="295">
        <f t="shared" si="297"/>
        <v>0</v>
      </c>
      <c r="M74" s="295">
        <f t="shared" si="297"/>
        <v>0</v>
      </c>
      <c r="N74" s="295">
        <f t="shared" si="297"/>
        <v>0</v>
      </c>
      <c r="O74" s="295">
        <f t="shared" si="297"/>
        <v>0</v>
      </c>
      <c r="P74" s="295">
        <f t="shared" si="297"/>
        <v>0</v>
      </c>
      <c r="Q74" s="295">
        <f t="shared" si="297"/>
        <v>0</v>
      </c>
      <c r="R74" s="295">
        <f t="shared" si="297"/>
        <v>0</v>
      </c>
      <c r="S74" s="295">
        <f t="shared" si="297"/>
        <v>0</v>
      </c>
      <c r="T74" s="295">
        <f t="shared" si="297"/>
        <v>0</v>
      </c>
      <c r="U74" s="295">
        <f t="shared" si="297"/>
        <v>0</v>
      </c>
      <c r="V74" s="295">
        <f t="shared" si="297"/>
        <v>0</v>
      </c>
      <c r="W74" s="295">
        <f t="shared" si="297"/>
        <v>0</v>
      </c>
      <c r="X74" s="295">
        <f t="shared" si="297"/>
        <v>0</v>
      </c>
      <c r="Y74" s="295">
        <f t="shared" si="297"/>
        <v>0</v>
      </c>
      <c r="Z74" s="295">
        <f t="shared" si="297"/>
        <v>0</v>
      </c>
      <c r="AA74" s="295">
        <f t="shared" si="297"/>
        <v>0</v>
      </c>
      <c r="AB74" s="295">
        <f t="shared" si="297"/>
        <v>0</v>
      </c>
      <c r="AC74" s="295">
        <f t="shared" si="297"/>
        <v>0</v>
      </c>
      <c r="AD74" s="295">
        <f t="shared" si="297"/>
        <v>0</v>
      </c>
      <c r="AE74" s="295">
        <f t="shared" si="297"/>
        <v>0</v>
      </c>
      <c r="AF74" s="295">
        <f t="shared" si="297"/>
        <v>0</v>
      </c>
      <c r="AG74" s="295">
        <f t="shared" si="297"/>
        <v>0</v>
      </c>
      <c r="AH74" s="295">
        <f t="shared" si="297"/>
        <v>0</v>
      </c>
      <c r="AI74" s="295">
        <f t="shared" si="297"/>
        <v>0</v>
      </c>
      <c r="AJ74" s="295">
        <f t="shared" si="297"/>
        <v>0</v>
      </c>
      <c r="AK74" s="295">
        <f t="shared" si="297"/>
        <v>0</v>
      </c>
      <c r="AL74" s="295">
        <f t="shared" si="297"/>
        <v>0</v>
      </c>
      <c r="AM74" s="295">
        <f t="shared" si="297"/>
        <v>0</v>
      </c>
      <c r="AN74" s="295">
        <f t="shared" si="297"/>
        <v>0</v>
      </c>
      <c r="AO74" s="295">
        <f t="shared" si="297"/>
        <v>0</v>
      </c>
      <c r="AP74" s="295">
        <f t="shared" si="297"/>
        <v>0</v>
      </c>
      <c r="AQ74" s="295">
        <f t="shared" si="297"/>
        <v>0</v>
      </c>
      <c r="AR74" s="295">
        <f t="shared" si="297"/>
        <v>0</v>
      </c>
      <c r="AS74" s="295">
        <f t="shared" si="297"/>
        <v>0</v>
      </c>
      <c r="AT74" s="295">
        <f t="shared" si="297"/>
        <v>0</v>
      </c>
      <c r="AU74" s="295">
        <f t="shared" si="297"/>
        <v>0</v>
      </c>
      <c r="AV74" s="295">
        <f t="shared" si="297"/>
        <v>0</v>
      </c>
      <c r="AW74" s="295">
        <f t="shared" si="297"/>
        <v>0</v>
      </c>
      <c r="AX74" s="295">
        <f t="shared" si="297"/>
        <v>0</v>
      </c>
      <c r="AY74" s="295">
        <f t="shared" si="297"/>
        <v>0</v>
      </c>
      <c r="AZ74" s="295">
        <f t="shared" si="297"/>
        <v>0</v>
      </c>
      <c r="BA74" s="295">
        <f t="shared" si="297"/>
        <v>0</v>
      </c>
      <c r="BB74" s="295">
        <f t="shared" si="297"/>
        <v>0</v>
      </c>
      <c r="BC74" s="295">
        <f t="shared" si="297"/>
        <v>0</v>
      </c>
      <c r="BD74" s="295">
        <f t="shared" si="297"/>
        <v>0</v>
      </c>
      <c r="BE74" s="295">
        <f t="shared" si="297"/>
        <v>0</v>
      </c>
      <c r="BF74" s="295">
        <f t="shared" si="297"/>
        <v>0</v>
      </c>
      <c r="BG74" s="295">
        <f t="shared" si="297"/>
        <v>0</v>
      </c>
      <c r="BH74" s="295">
        <f t="shared" si="297"/>
        <v>0</v>
      </c>
      <c r="BI74" s="295">
        <f t="shared" si="297"/>
        <v>0</v>
      </c>
      <c r="BJ74" s="295">
        <f t="shared" si="297"/>
        <v>0</v>
      </c>
      <c r="BK74" s="295">
        <f t="shared" si="297"/>
        <v>0</v>
      </c>
      <c r="BL74" s="295">
        <f t="shared" si="297"/>
        <v>0</v>
      </c>
      <c r="BM74" s="295">
        <f t="shared" si="297"/>
        <v>0</v>
      </c>
      <c r="BN74" s="295">
        <f t="shared" si="297"/>
        <v>0</v>
      </c>
      <c r="BO74" s="295">
        <f t="shared" si="297"/>
        <v>0</v>
      </c>
      <c r="BP74" s="295">
        <f t="shared" si="297"/>
        <v>0</v>
      </c>
      <c r="BQ74" s="295">
        <f t="shared" ref="BQ74:DS74" si="298">+BQ67</f>
        <v>0</v>
      </c>
      <c r="BR74" s="295">
        <f t="shared" si="298"/>
        <v>0</v>
      </c>
      <c r="BS74" s="295">
        <f t="shared" si="298"/>
        <v>0</v>
      </c>
      <c r="BT74" s="295">
        <f t="shared" si="298"/>
        <v>0</v>
      </c>
      <c r="BU74" s="295">
        <f t="shared" si="298"/>
        <v>0</v>
      </c>
      <c r="BV74" s="295">
        <f t="shared" si="298"/>
        <v>0</v>
      </c>
      <c r="BW74" s="295">
        <f t="shared" si="298"/>
        <v>0</v>
      </c>
      <c r="BX74" s="295">
        <f t="shared" si="298"/>
        <v>0</v>
      </c>
      <c r="BY74" s="295">
        <f t="shared" si="298"/>
        <v>0</v>
      </c>
      <c r="BZ74" s="295">
        <f t="shared" si="298"/>
        <v>0</v>
      </c>
      <c r="CA74" s="295">
        <f t="shared" si="298"/>
        <v>0</v>
      </c>
      <c r="CB74" s="295">
        <f t="shared" si="298"/>
        <v>0</v>
      </c>
      <c r="CC74" s="295">
        <f t="shared" si="298"/>
        <v>0</v>
      </c>
      <c r="CD74" s="295">
        <f t="shared" si="298"/>
        <v>0</v>
      </c>
      <c r="CE74" s="295">
        <f t="shared" si="298"/>
        <v>0</v>
      </c>
      <c r="CF74" s="295">
        <f t="shared" si="298"/>
        <v>0</v>
      </c>
      <c r="CG74" s="295">
        <f t="shared" si="298"/>
        <v>0</v>
      </c>
      <c r="CH74" s="295">
        <f t="shared" si="298"/>
        <v>0</v>
      </c>
      <c r="CI74" s="295">
        <f t="shared" si="298"/>
        <v>0</v>
      </c>
      <c r="CJ74" s="295">
        <f t="shared" si="298"/>
        <v>0</v>
      </c>
      <c r="CK74" s="295">
        <f t="shared" si="298"/>
        <v>0</v>
      </c>
      <c r="CL74" s="295">
        <f t="shared" si="298"/>
        <v>0</v>
      </c>
      <c r="CM74" s="295">
        <f t="shared" si="298"/>
        <v>0</v>
      </c>
      <c r="CN74" s="295">
        <f t="shared" si="298"/>
        <v>0</v>
      </c>
      <c r="CO74" s="295">
        <f t="shared" si="298"/>
        <v>0</v>
      </c>
      <c r="CP74" s="295">
        <f t="shared" si="298"/>
        <v>0</v>
      </c>
      <c r="CQ74" s="295">
        <f t="shared" si="298"/>
        <v>0</v>
      </c>
      <c r="CR74" s="295">
        <f t="shared" si="298"/>
        <v>0</v>
      </c>
      <c r="CS74" s="295">
        <f t="shared" si="298"/>
        <v>0</v>
      </c>
      <c r="CT74" s="295">
        <f t="shared" si="298"/>
        <v>0</v>
      </c>
      <c r="CU74" s="295">
        <f t="shared" si="298"/>
        <v>0</v>
      </c>
      <c r="CV74" s="295">
        <f t="shared" si="298"/>
        <v>0</v>
      </c>
      <c r="CW74" s="295">
        <f t="shared" si="298"/>
        <v>0</v>
      </c>
      <c r="CX74" s="295">
        <f t="shared" si="298"/>
        <v>0</v>
      </c>
      <c r="CY74" s="295">
        <f t="shared" si="298"/>
        <v>0</v>
      </c>
      <c r="CZ74" s="295">
        <f t="shared" si="298"/>
        <v>0</v>
      </c>
      <c r="DA74" s="295">
        <f t="shared" si="298"/>
        <v>0</v>
      </c>
      <c r="DB74" s="295">
        <f t="shared" si="298"/>
        <v>0</v>
      </c>
      <c r="DC74" s="295">
        <f t="shared" si="298"/>
        <v>0</v>
      </c>
      <c r="DD74" s="295">
        <f t="shared" si="298"/>
        <v>0</v>
      </c>
      <c r="DE74" s="295">
        <f t="shared" si="298"/>
        <v>0</v>
      </c>
      <c r="DF74" s="295">
        <f t="shared" si="298"/>
        <v>0</v>
      </c>
      <c r="DG74" s="295">
        <f t="shared" si="298"/>
        <v>0</v>
      </c>
      <c r="DH74" s="295">
        <f t="shared" si="298"/>
        <v>0</v>
      </c>
      <c r="DI74" s="295">
        <f t="shared" si="298"/>
        <v>0</v>
      </c>
      <c r="DJ74" s="295">
        <f t="shared" si="298"/>
        <v>0</v>
      </c>
      <c r="DK74" s="295">
        <f t="shared" si="298"/>
        <v>0</v>
      </c>
      <c r="DL74" s="295">
        <f t="shared" si="298"/>
        <v>0</v>
      </c>
      <c r="DM74" s="295">
        <f t="shared" si="298"/>
        <v>0</v>
      </c>
      <c r="DN74" s="295">
        <f t="shared" si="298"/>
        <v>0</v>
      </c>
      <c r="DO74" s="295">
        <f t="shared" si="298"/>
        <v>0</v>
      </c>
      <c r="DP74" s="295">
        <f t="shared" si="298"/>
        <v>0</v>
      </c>
      <c r="DQ74" s="295">
        <f t="shared" si="298"/>
        <v>0</v>
      </c>
      <c r="DR74" s="295">
        <f t="shared" si="298"/>
        <v>0</v>
      </c>
      <c r="DS74" s="295">
        <f t="shared" si="298"/>
        <v>0</v>
      </c>
    </row>
    <row r="75" thickTop="1">
      <c r="A75" s="3"/>
      <c r="B75" s="3"/>
      <c r="C75" s="144"/>
      <c r="D75" s="144"/>
      <c r="E75" s="144"/>
      <c r="F75" s="144"/>
      <c r="G75" s="144"/>
      <c r="H75" s="144"/>
      <c r="I75" s="144"/>
      <c r="J75" s="144"/>
      <c r="K75" s="144"/>
      <c r="L75" s="144"/>
      <c r="M75" s="144"/>
      <c r="N75" s="144"/>
      <c r="O75" s="144"/>
      <c r="P75" s="144"/>
      <c r="Q75" s="144"/>
      <c r="R75" s="144"/>
      <c r="S75" s="144"/>
      <c r="T75" s="144"/>
      <c r="U75" s="144"/>
      <c r="V75" s="144"/>
      <c r="W75" s="144"/>
      <c r="X75" s="144"/>
      <c r="Y75" s="144"/>
      <c r="Z75" s="144"/>
      <c r="AA75" s="144"/>
      <c r="AB75" s="144"/>
      <c r="AC75" s="144"/>
      <c r="AD75" s="144"/>
      <c r="AE75" s="144"/>
      <c r="AF75" s="144"/>
      <c r="AG75" s="144"/>
      <c r="AH75" s="144"/>
      <c r="AI75" s="144"/>
      <c r="AJ75" s="144"/>
      <c r="AK75" s="144"/>
      <c r="AL75" s="144"/>
      <c r="AM75" s="144"/>
      <c r="AN75" s="144"/>
      <c r="AO75" s="144"/>
      <c r="AP75" s="144"/>
      <c r="AQ75" s="144"/>
      <c r="AR75" s="144"/>
      <c r="AS75" s="144"/>
      <c r="AT75" s="144"/>
      <c r="AU75" s="144"/>
      <c r="AV75" s="144"/>
      <c r="AW75" s="144"/>
      <c r="AX75" s="144"/>
      <c r="AY75" s="144"/>
      <c r="AZ75" s="144"/>
      <c r="BA75" s="144"/>
      <c r="BB75" s="144"/>
      <c r="BC75" s="144"/>
      <c r="BD75" s="144"/>
      <c r="BE75" s="144"/>
      <c r="BF75" s="144"/>
      <c r="BG75" s="144"/>
      <c r="BH75" s="144"/>
      <c r="BI75" s="144"/>
      <c r="BJ75" s="144"/>
      <c r="BK75" s="144"/>
      <c r="BL75" s="144"/>
      <c r="BM75" s="144"/>
      <c r="BN75" s="144"/>
      <c r="BO75" s="144"/>
      <c r="BP75" s="144"/>
      <c r="BQ75" s="144"/>
      <c r="BR75" s="144"/>
      <c r="BS75" s="144"/>
      <c r="BT75" s="144"/>
      <c r="BU75" s="144"/>
      <c r="BV75" s="144"/>
      <c r="BW75" s="144"/>
      <c r="BX75" s="144"/>
      <c r="BY75" s="144"/>
      <c r="BZ75" s="144"/>
      <c r="CA75" s="144"/>
      <c r="CB75" s="144"/>
      <c r="CC75" s="144"/>
      <c r="CD75" s="144"/>
      <c r="CE75" s="144"/>
      <c r="CF75" s="144"/>
      <c r="CG75" s="144"/>
      <c r="CH75" s="144"/>
      <c r="CI75" s="144"/>
      <c r="CJ75" s="144"/>
      <c r="CK75" s="144"/>
      <c r="CL75" s="144"/>
      <c r="CM75" s="144"/>
      <c r="CN75" s="144"/>
      <c r="CO75" s="144"/>
      <c r="CP75" s="144"/>
      <c r="CQ75" s="144"/>
      <c r="CR75" s="144"/>
      <c r="CS75" s="144"/>
      <c r="CT75" s="144"/>
      <c r="CU75" s="144"/>
      <c r="CV75" s="144"/>
      <c r="CW75" s="144"/>
      <c r="CX75" s="144"/>
      <c r="CY75" s="144"/>
      <c r="CZ75" s="144"/>
      <c r="DA75" s="144"/>
      <c r="DB75" s="144"/>
      <c r="DC75" s="144"/>
      <c r="DD75" s="144"/>
      <c r="DE75" s="144"/>
      <c r="DF75" s="144"/>
      <c r="DG75" s="144"/>
      <c r="DH75" s="144"/>
      <c r="DI75" s="144"/>
      <c r="DJ75" s="144"/>
      <c r="DK75" s="144"/>
      <c r="DL75" s="144"/>
      <c r="DM75" s="144"/>
      <c r="DN75" s="144"/>
      <c r="DO75" s="144"/>
      <c r="DP75" s="144"/>
      <c r="DQ75" s="144"/>
      <c r="DR75" s="144"/>
      <c r="DS75" s="144"/>
    </row>
    <row r="76" ht="18.5">
      <c r="A76" s="150" t="s">
        <v>986</v>
      </c>
      <c r="B76" s="337"/>
      <c r="C76" s="144"/>
      <c r="D76" s="144"/>
      <c r="E76" s="144"/>
      <c r="F76" s="144"/>
      <c r="G76" s="144"/>
      <c r="H76" s="144"/>
      <c r="I76" s="144"/>
      <c r="J76" s="144"/>
      <c r="K76" s="144"/>
      <c r="L76" s="144"/>
      <c r="M76" s="144"/>
      <c r="N76" s="144"/>
      <c r="O76" s="144"/>
      <c r="P76" s="144"/>
      <c r="Q76" s="144"/>
      <c r="R76" s="144"/>
      <c r="S76" s="144"/>
      <c r="T76" s="144"/>
      <c r="U76" s="144"/>
      <c r="V76" s="144"/>
      <c r="W76" s="144"/>
      <c r="X76" s="144"/>
      <c r="Y76" s="144"/>
      <c r="Z76" s="144"/>
      <c r="AA76" s="144"/>
      <c r="AB76" s="144"/>
      <c r="AC76" s="144"/>
      <c r="AD76" s="144"/>
      <c r="AE76" s="144"/>
      <c r="AF76" s="144"/>
      <c r="AG76" s="144"/>
      <c r="AH76" s="144"/>
      <c r="AI76" s="144"/>
      <c r="AJ76" s="144"/>
      <c r="AK76" s="144"/>
      <c r="AL76" s="144"/>
      <c r="AM76" s="144"/>
      <c r="AN76" s="144"/>
      <c r="AO76" s="144"/>
      <c r="AP76" s="144"/>
      <c r="AQ76" s="144"/>
      <c r="AR76" s="144"/>
      <c r="AS76" s="144"/>
      <c r="AT76" s="144"/>
      <c r="AU76" s="144"/>
      <c r="AV76" s="144"/>
      <c r="AW76" s="144"/>
      <c r="AX76" s="144"/>
      <c r="AY76" s="144"/>
      <c r="AZ76" s="144"/>
      <c r="BA76" s="144"/>
      <c r="BB76" s="144"/>
      <c r="BC76" s="144"/>
      <c r="BD76" s="144"/>
      <c r="BE76" s="144"/>
      <c r="BF76" s="144"/>
      <c r="BG76" s="144"/>
      <c r="BH76" s="144"/>
      <c r="BI76" s="144"/>
      <c r="BJ76" s="144"/>
      <c r="BK76" s="144"/>
      <c r="BL76" s="144"/>
      <c r="BM76" s="144"/>
      <c r="BN76" s="144"/>
      <c r="BO76" s="144"/>
      <c r="BP76" s="144"/>
      <c r="BQ76" s="144"/>
      <c r="BR76" s="144"/>
      <c r="BS76" s="144"/>
      <c r="BT76" s="144"/>
      <c r="BU76" s="144"/>
      <c r="BV76" s="144"/>
      <c r="BW76" s="144"/>
      <c r="BX76" s="144"/>
      <c r="BY76" s="144"/>
      <c r="BZ76" s="144"/>
      <c r="CA76" s="144"/>
      <c r="CB76" s="144"/>
      <c r="CC76" s="144"/>
      <c r="CD76" s="144"/>
      <c r="CE76" s="144"/>
      <c r="CF76" s="144"/>
      <c r="CG76" s="144"/>
      <c r="CH76" s="144"/>
      <c r="CI76" s="144"/>
      <c r="CJ76" s="144"/>
      <c r="CK76" s="144"/>
      <c r="CL76" s="144"/>
      <c r="CM76" s="144"/>
      <c r="CN76" s="144"/>
      <c r="CO76" s="144"/>
      <c r="CP76" s="144"/>
      <c r="CQ76" s="144"/>
      <c r="CR76" s="144"/>
      <c r="CS76" s="144"/>
      <c r="CT76" s="144"/>
      <c r="CU76" s="144"/>
      <c r="CV76" s="144"/>
      <c r="CW76" s="144"/>
      <c r="CX76" s="144"/>
      <c r="CY76" s="144"/>
      <c r="CZ76" s="144"/>
      <c r="DA76" s="144"/>
      <c r="DB76" s="144"/>
      <c r="DC76" s="144"/>
      <c r="DD76" s="144"/>
      <c r="DE76" s="144"/>
      <c r="DF76" s="144"/>
      <c r="DG76" s="144"/>
      <c r="DH76" s="144"/>
      <c r="DI76" s="144"/>
      <c r="DJ76" s="144"/>
      <c r="DK76" s="144"/>
      <c r="DL76" s="144"/>
      <c r="DM76" s="144"/>
      <c r="DN76" s="144"/>
      <c r="DO76" s="144"/>
      <c r="DP76" s="144"/>
      <c r="DQ76" s="144"/>
      <c r="DR76" s="144"/>
      <c r="DS76" s="144"/>
    </row>
    <row r="77" ht="14.5">
      <c r="A77" s="320" t="s">
        <v>1345</v>
      </c>
      <c r="B77" s="327"/>
      <c r="C77" s="339">
        <f>+C14+C18+C33+C45</f>
        <v>0</v>
      </c>
      <c r="D77" s="144"/>
      <c r="E77" s="144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44"/>
      <c r="R77" s="144"/>
      <c r="S77" s="144"/>
      <c r="T77" s="144"/>
      <c r="U77" s="144"/>
      <c r="V77" s="144"/>
      <c r="W77" s="144"/>
      <c r="X77" s="144"/>
      <c r="Y77" s="144"/>
      <c r="Z77" s="144"/>
      <c r="AA77" s="144"/>
      <c r="AB77" s="144"/>
      <c r="AC77" s="144"/>
      <c r="AD77" s="144"/>
      <c r="AE77" s="144"/>
      <c r="AF77" s="144"/>
      <c r="AG77" s="144"/>
      <c r="AH77" s="144"/>
      <c r="AI77" s="144"/>
      <c r="AJ77" s="144"/>
      <c r="AK77" s="144"/>
      <c r="AL77" s="144"/>
      <c r="AM77" s="144"/>
      <c r="AN77" s="144"/>
      <c r="AO77" s="144"/>
      <c r="AP77" s="144"/>
      <c r="AQ77" s="144"/>
      <c r="AR77" s="144"/>
      <c r="AS77" s="144"/>
      <c r="AT77" s="144"/>
      <c r="AU77" s="144"/>
      <c r="AV77" s="144"/>
      <c r="AW77" s="144"/>
      <c r="AX77" s="144"/>
      <c r="AY77" s="144"/>
      <c r="AZ77" s="144"/>
      <c r="BA77" s="144"/>
      <c r="BB77" s="144"/>
      <c r="BC77" s="144"/>
      <c r="BD77" s="144"/>
      <c r="BE77" s="144"/>
      <c r="BF77" s="144"/>
      <c r="BG77" s="144"/>
      <c r="BH77" s="144"/>
      <c r="BI77" s="144"/>
      <c r="BJ77" s="144"/>
      <c r="BK77" s="144"/>
      <c r="BL77" s="144"/>
      <c r="BM77" s="144"/>
      <c r="BN77" s="144"/>
      <c r="BO77" s="144"/>
      <c r="BP77" s="144"/>
      <c r="BQ77" s="144"/>
      <c r="BR77" s="144"/>
      <c r="BS77" s="144"/>
      <c r="BT77" s="144"/>
      <c r="BU77" s="144"/>
      <c r="BV77" s="144"/>
      <c r="BW77" s="144"/>
      <c r="BX77" s="144"/>
      <c r="BY77" s="144"/>
      <c r="BZ77" s="144"/>
      <c r="CA77" s="144"/>
      <c r="CB77" s="144"/>
      <c r="CC77" s="144"/>
      <c r="CD77" s="144"/>
      <c r="CE77" s="144"/>
      <c r="CF77" s="144"/>
      <c r="CG77" s="144"/>
      <c r="CH77" s="144"/>
      <c r="CI77" s="144"/>
      <c r="CJ77" s="144"/>
      <c r="CK77" s="144"/>
      <c r="CL77" s="144"/>
      <c r="CM77" s="144"/>
      <c r="CN77" s="144"/>
      <c r="CO77" s="144"/>
      <c r="CP77" s="144"/>
      <c r="CQ77" s="144"/>
      <c r="CR77" s="144"/>
      <c r="CS77" s="144"/>
      <c r="CT77" s="144"/>
      <c r="CU77" s="144"/>
      <c r="CV77" s="144"/>
      <c r="CW77" s="144"/>
      <c r="CX77" s="144"/>
      <c r="CY77" s="144"/>
      <c r="CZ77" s="144"/>
      <c r="DA77" s="144"/>
      <c r="DB77" s="144"/>
      <c r="DC77" s="144"/>
      <c r="DD77" s="144"/>
      <c r="DE77" s="144"/>
      <c r="DF77" s="144"/>
      <c r="DG77" s="144"/>
      <c r="DH77" s="144"/>
      <c r="DI77" s="144"/>
      <c r="DJ77" s="144"/>
      <c r="DK77" s="144"/>
      <c r="DL77" s="144"/>
      <c r="DM77" s="144"/>
      <c r="DN77" s="144"/>
      <c r="DO77" s="144"/>
      <c r="DP77" s="144"/>
      <c r="DQ77" s="144"/>
      <c r="DR77" s="144"/>
      <c r="DS77" s="144"/>
    </row>
    <row r="78" ht="14.5">
      <c r="A78" s="320" t="s">
        <v>1346</v>
      </c>
      <c r="B78" s="327"/>
      <c r="C78" s="144"/>
      <c r="D78" s="144"/>
      <c r="E78" s="144"/>
      <c r="F78" s="144"/>
      <c r="G78" s="144"/>
      <c r="H78" s="144"/>
      <c r="I78" s="144"/>
      <c r="J78" s="144"/>
      <c r="K78" s="144"/>
      <c r="L78" s="144"/>
      <c r="M78" s="144"/>
      <c r="N78" s="144"/>
      <c r="O78" s="144"/>
      <c r="P78" s="144"/>
      <c r="Q78" s="144"/>
      <c r="R78" s="144"/>
      <c r="S78" s="144"/>
      <c r="T78" s="144"/>
      <c r="U78" s="144"/>
      <c r="V78" s="144"/>
      <c r="W78" s="144"/>
      <c r="X78" s="144"/>
      <c r="Y78" s="144"/>
      <c r="Z78" s="144"/>
      <c r="AA78" s="144"/>
      <c r="AB78" s="144"/>
      <c r="AC78" s="144"/>
      <c r="AD78" s="144"/>
      <c r="AE78" s="144"/>
      <c r="AF78" s="144"/>
      <c r="AG78" s="144"/>
      <c r="AH78" s="144"/>
      <c r="AI78" s="144"/>
      <c r="AJ78" s="144"/>
      <c r="AK78" s="144"/>
      <c r="AL78" s="144"/>
      <c r="AM78" s="144"/>
      <c r="AN78" s="144"/>
      <c r="AO78" s="144"/>
      <c r="AP78" s="144"/>
      <c r="AQ78" s="144"/>
      <c r="AR78" s="144"/>
      <c r="AS78" s="144"/>
      <c r="AT78" s="144"/>
      <c r="AU78" s="144"/>
      <c r="AV78" s="144"/>
      <c r="AW78" s="144"/>
      <c r="AX78" s="144"/>
      <c r="AY78" s="144"/>
      <c r="AZ78" s="144"/>
      <c r="BA78" s="144"/>
      <c r="BB78" s="144"/>
      <c r="BC78" s="144"/>
      <c r="BD78" s="144"/>
      <c r="BE78" s="144"/>
      <c r="BF78" s="144"/>
      <c r="BG78" s="144"/>
      <c r="BH78" s="144"/>
      <c r="BI78" s="144"/>
      <c r="BJ78" s="144"/>
      <c r="BK78" s="144"/>
      <c r="BL78" s="144"/>
      <c r="BM78" s="144"/>
      <c r="BN78" s="144"/>
      <c r="BO78" s="144"/>
      <c r="BP78" s="144"/>
      <c r="BQ78" s="144"/>
      <c r="BR78" s="144"/>
      <c r="BS78" s="144"/>
      <c r="BT78" s="144"/>
      <c r="BU78" s="144"/>
      <c r="BV78" s="144"/>
      <c r="BW78" s="144"/>
      <c r="BX78" s="144"/>
      <c r="BY78" s="144"/>
      <c r="BZ78" s="144"/>
      <c r="CA78" s="144"/>
      <c r="CB78" s="144"/>
      <c r="CC78" s="144"/>
      <c r="CD78" s="144"/>
      <c r="CE78" s="144"/>
      <c r="CF78" s="144"/>
      <c r="CG78" s="144"/>
      <c r="CH78" s="144"/>
      <c r="CI78" s="144"/>
      <c r="CJ78" s="144"/>
      <c r="CK78" s="144"/>
      <c r="CL78" s="144"/>
      <c r="CM78" s="144"/>
      <c r="CN78" s="144"/>
      <c r="CO78" s="144"/>
      <c r="CP78" s="144"/>
      <c r="CQ78" s="144"/>
      <c r="CR78" s="144"/>
      <c r="CS78" s="144"/>
      <c r="CT78" s="144"/>
      <c r="CU78" s="144"/>
      <c r="CV78" s="144"/>
      <c r="CW78" s="144"/>
      <c r="CX78" s="144"/>
      <c r="CY78" s="144"/>
      <c r="CZ78" s="144"/>
      <c r="DA78" s="144"/>
      <c r="DB78" s="144"/>
      <c r="DC78" s="144"/>
      <c r="DD78" s="144"/>
      <c r="DE78" s="144"/>
      <c r="DF78" s="144"/>
      <c r="DG78" s="144"/>
      <c r="DH78" s="144"/>
      <c r="DI78" s="144"/>
      <c r="DJ78" s="144"/>
      <c r="DK78" s="144"/>
      <c r="DL78" s="144"/>
      <c r="DM78" s="144"/>
      <c r="DN78" s="144"/>
      <c r="DO78" s="144"/>
      <c r="DP78" s="144"/>
      <c r="DQ78" s="144"/>
      <c r="DR78" s="144"/>
      <c r="DS78" s="144"/>
    </row>
    <row r="79" ht="14.5">
      <c r="A79" s="320" t="s">
        <v>1347</v>
      </c>
      <c r="B79" s="327"/>
      <c r="C79" s="144"/>
      <c r="D79" s="144"/>
      <c r="E79" s="144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44"/>
      <c r="S79" s="144"/>
      <c r="T79" s="144"/>
      <c r="U79" s="144"/>
      <c r="V79" s="144"/>
      <c r="W79" s="144"/>
      <c r="X79" s="144"/>
      <c r="Y79" s="144"/>
      <c r="Z79" s="144"/>
      <c r="AA79" s="144"/>
      <c r="AB79" s="144"/>
      <c r="AC79" s="144"/>
      <c r="AD79" s="144"/>
      <c r="AE79" s="144"/>
      <c r="AF79" s="144"/>
      <c r="AG79" s="144"/>
      <c r="AH79" s="144"/>
      <c r="AI79" s="144"/>
      <c r="AJ79" s="144"/>
      <c r="AK79" s="144"/>
      <c r="AL79" s="144"/>
      <c r="AM79" s="144"/>
      <c r="AN79" s="144"/>
      <c r="AO79" s="144"/>
      <c r="AP79" s="144"/>
      <c r="AQ79" s="144"/>
      <c r="AR79" s="144"/>
      <c r="AS79" s="144"/>
      <c r="AT79" s="144"/>
      <c r="AU79" s="144"/>
      <c r="AV79" s="144"/>
      <c r="AW79" s="144"/>
      <c r="AX79" s="144"/>
      <c r="AY79" s="144"/>
      <c r="AZ79" s="144"/>
      <c r="BA79" s="144"/>
      <c r="BB79" s="144"/>
      <c r="BC79" s="144"/>
      <c r="BD79" s="144"/>
      <c r="BE79" s="144"/>
      <c r="BF79" s="144"/>
      <c r="BG79" s="144"/>
      <c r="BH79" s="144"/>
      <c r="BI79" s="144"/>
      <c r="BJ79" s="144"/>
      <c r="BK79" s="144"/>
      <c r="BL79" s="144"/>
      <c r="BM79" s="144"/>
      <c r="BN79" s="144"/>
      <c r="BO79" s="144"/>
      <c r="BP79" s="144"/>
      <c r="BQ79" s="144"/>
      <c r="BR79" s="144"/>
      <c r="BS79" s="144"/>
      <c r="BT79" s="144"/>
      <c r="BU79" s="144"/>
      <c r="BV79" s="144"/>
      <c r="BW79" s="144"/>
      <c r="BX79" s="144"/>
      <c r="BY79" s="144"/>
      <c r="BZ79" s="144"/>
      <c r="CA79" s="144"/>
      <c r="CB79" s="144"/>
      <c r="CC79" s="144"/>
      <c r="CD79" s="144"/>
      <c r="CE79" s="144"/>
      <c r="CF79" s="144"/>
      <c r="CG79" s="144"/>
      <c r="CH79" s="144"/>
      <c r="CI79" s="144"/>
      <c r="CJ79" s="144"/>
      <c r="CK79" s="144"/>
      <c r="CL79" s="144"/>
      <c r="CM79" s="144"/>
      <c r="CN79" s="144"/>
      <c r="CO79" s="144"/>
      <c r="CP79" s="144"/>
      <c r="CQ79" s="144"/>
      <c r="CR79" s="144"/>
      <c r="CS79" s="144"/>
      <c r="CT79" s="144"/>
      <c r="CU79" s="144"/>
      <c r="CV79" s="144"/>
      <c r="CW79" s="144"/>
      <c r="CX79" s="144"/>
      <c r="CY79" s="144"/>
      <c r="CZ79" s="144"/>
      <c r="DA79" s="144"/>
      <c r="DB79" s="144"/>
      <c r="DC79" s="144"/>
      <c r="DD79" s="144"/>
      <c r="DE79" s="144"/>
      <c r="DF79" s="144"/>
      <c r="DG79" s="144"/>
      <c r="DH79" s="144"/>
      <c r="DI79" s="144"/>
      <c r="DJ79" s="144"/>
      <c r="DK79" s="144"/>
      <c r="DL79" s="144"/>
      <c r="DM79" s="144"/>
      <c r="DN79" s="144"/>
      <c r="DO79" s="144"/>
      <c r="DP79" s="144"/>
      <c r="DQ79" s="144"/>
      <c r="DR79" s="144"/>
      <c r="DS79" s="144"/>
    </row>
    <row r="80" ht="14.5">
      <c r="A80" s="320" t="s">
        <v>1348</v>
      </c>
      <c r="B80" s="327"/>
      <c r="C80" s="144"/>
      <c r="D80" s="144"/>
      <c r="E80" s="144"/>
      <c r="F80" s="144"/>
      <c r="G80" s="144"/>
      <c r="H80" s="144"/>
      <c r="I80" s="144"/>
      <c r="J80" s="144"/>
      <c r="K80" s="144"/>
      <c r="L80" s="144"/>
      <c r="M80" s="144"/>
      <c r="N80" s="144"/>
      <c r="O80" s="144"/>
      <c r="P80" s="144"/>
      <c r="Q80" s="144"/>
      <c r="R80" s="144"/>
      <c r="S80" s="144"/>
      <c r="T80" s="144"/>
      <c r="U80" s="144"/>
      <c r="V80" s="144"/>
      <c r="W80" s="144"/>
      <c r="X80" s="144"/>
      <c r="Y80" s="144"/>
      <c r="Z80" s="144"/>
      <c r="AA80" s="144"/>
      <c r="AB80" s="144"/>
      <c r="AC80" s="144"/>
      <c r="AD80" s="144"/>
      <c r="AE80" s="144"/>
      <c r="AF80" s="144"/>
      <c r="AG80" s="144"/>
      <c r="AH80" s="144"/>
      <c r="AI80" s="144"/>
      <c r="AJ80" s="144"/>
      <c r="AK80" s="144"/>
      <c r="AL80" s="144"/>
      <c r="AM80" s="144"/>
      <c r="AN80" s="144"/>
      <c r="AO80" s="144"/>
      <c r="AP80" s="144"/>
      <c r="AQ80" s="144"/>
      <c r="AR80" s="144"/>
      <c r="AS80" s="144"/>
      <c r="AT80" s="144"/>
      <c r="AU80" s="144"/>
      <c r="AV80" s="144"/>
      <c r="AW80" s="144"/>
      <c r="AX80" s="144"/>
      <c r="AY80" s="144"/>
      <c r="AZ80" s="144"/>
      <c r="BA80" s="144"/>
      <c r="BB80" s="144"/>
      <c r="BC80" s="144"/>
      <c r="BD80" s="144"/>
      <c r="BE80" s="144"/>
      <c r="BF80" s="144"/>
      <c r="BG80" s="144"/>
      <c r="BH80" s="144"/>
      <c r="BI80" s="144"/>
      <c r="BJ80" s="144"/>
      <c r="BK80" s="144"/>
      <c r="BL80" s="144"/>
      <c r="BM80" s="144"/>
      <c r="BN80" s="144"/>
      <c r="BO80" s="144"/>
      <c r="BP80" s="144"/>
      <c r="BQ80" s="144"/>
      <c r="BR80" s="144"/>
      <c r="BS80" s="144"/>
      <c r="BT80" s="144"/>
      <c r="BU80" s="144"/>
      <c r="BV80" s="144"/>
      <c r="BW80" s="144"/>
      <c r="BX80" s="144"/>
      <c r="BY80" s="144"/>
      <c r="BZ80" s="144"/>
      <c r="CA80" s="144"/>
      <c r="CB80" s="144"/>
      <c r="CC80" s="144"/>
      <c r="CD80" s="144"/>
      <c r="CE80" s="144"/>
      <c r="CF80" s="144"/>
      <c r="CG80" s="144"/>
      <c r="CH80" s="144"/>
      <c r="CI80" s="144"/>
      <c r="CJ80" s="144"/>
      <c r="CK80" s="144"/>
      <c r="CL80" s="144"/>
      <c r="CM80" s="144"/>
      <c r="CN80" s="144"/>
      <c r="CO80" s="144"/>
      <c r="CP80" s="144"/>
      <c r="CQ80" s="144"/>
      <c r="CR80" s="144"/>
      <c r="CS80" s="144"/>
      <c r="CT80" s="144"/>
      <c r="CU80" s="144"/>
      <c r="CV80" s="144"/>
      <c r="CW80" s="144"/>
      <c r="CX80" s="144"/>
      <c r="CY80" s="144"/>
      <c r="CZ80" s="144"/>
      <c r="DA80" s="144"/>
      <c r="DB80" s="144"/>
      <c r="DC80" s="144"/>
      <c r="DD80" s="144"/>
      <c r="DE80" s="144"/>
      <c r="DF80" s="144"/>
      <c r="DG80" s="144"/>
      <c r="DH80" s="144"/>
      <c r="DI80" s="144"/>
      <c r="DJ80" s="144"/>
      <c r="DK80" s="144"/>
      <c r="DL80" s="144"/>
      <c r="DM80" s="144"/>
      <c r="DN80" s="144"/>
      <c r="DO80" s="144"/>
      <c r="DP80" s="144"/>
      <c r="DQ80" s="144"/>
      <c r="DR80" s="144"/>
      <c r="DS80" s="144"/>
    </row>
    <row r="81" ht="14.5">
      <c r="A81" s="320" t="s">
        <v>1349</v>
      </c>
      <c r="B81" s="327"/>
      <c r="C81" s="144"/>
      <c r="D81" s="144">
        <f>+'CE-mese'!C69</f>
        <v>0</v>
      </c>
      <c r="E81" s="144">
        <f>+'CE-mese'!D69</f>
        <v>0</v>
      </c>
      <c r="F81" s="144">
        <f>+'CE-mese'!E69</f>
        <v>0</v>
      </c>
      <c r="G81" s="144">
        <f>+'CE-mese'!F69</f>
        <v>0</v>
      </c>
      <c r="H81" s="144">
        <f>+'CE-mese'!G69</f>
        <v>0</v>
      </c>
      <c r="I81" s="144">
        <f>+'CE-mese'!H69</f>
        <v>0</v>
      </c>
      <c r="J81" s="144">
        <f>+'CE-mese'!I69</f>
        <v>0</v>
      </c>
      <c r="K81" s="144">
        <f>+'CE-mese'!J69</f>
        <v>0</v>
      </c>
      <c r="L81" s="144">
        <f>+'CE-mese'!K69</f>
        <v>0</v>
      </c>
      <c r="M81" s="144">
        <f>+'CE-mese'!L69</f>
        <v>0</v>
      </c>
      <c r="N81" s="144">
        <f>+'CE-mese'!M69</f>
        <v>0</v>
      </c>
      <c r="O81" s="144">
        <f>+'CE-mese'!N69</f>
        <v>0</v>
      </c>
      <c r="P81" s="144">
        <f>+'CE-mese'!O69</f>
        <v>0</v>
      </c>
      <c r="Q81" s="144">
        <f>+'CE-mese'!P69</f>
        <v>0</v>
      </c>
      <c r="R81" s="144">
        <f>+'CE-mese'!Q69</f>
        <v>0</v>
      </c>
      <c r="S81" s="144">
        <f>+'CE-mese'!R69</f>
        <v>0</v>
      </c>
      <c r="T81" s="144">
        <f>+'CE-mese'!S69</f>
        <v>0</v>
      </c>
      <c r="U81" s="144">
        <f>+'CE-mese'!T69</f>
        <v>0</v>
      </c>
      <c r="V81" s="144">
        <f>+'CE-mese'!U69</f>
        <v>0</v>
      </c>
      <c r="W81" s="144">
        <f>+'CE-mese'!V69</f>
        <v>0</v>
      </c>
      <c r="X81" s="144">
        <f>+'CE-mese'!W69</f>
        <v>0</v>
      </c>
      <c r="Y81" s="144">
        <f>+'CE-mese'!X69</f>
        <v>0</v>
      </c>
      <c r="Z81" s="144">
        <f>+'CE-mese'!Y69</f>
        <v>0</v>
      </c>
      <c r="AA81" s="144">
        <f>+'CE-mese'!Z69</f>
        <v>0</v>
      </c>
      <c r="AB81" s="144">
        <f>+'CE-mese'!AA69</f>
        <v>0</v>
      </c>
      <c r="AC81" s="144">
        <f>+'CE-mese'!AB69</f>
        <v>0</v>
      </c>
      <c r="AD81" s="144">
        <f>+'CE-mese'!AC69</f>
        <v>0</v>
      </c>
      <c r="AE81" s="144">
        <f>+'CE-mese'!AD69</f>
        <v>0</v>
      </c>
      <c r="AF81" s="144">
        <f>+'CE-mese'!AE69</f>
        <v>0</v>
      </c>
      <c r="AG81" s="144">
        <f>+'CE-mese'!AF69</f>
        <v>0</v>
      </c>
      <c r="AH81" s="144">
        <f>+'CE-mese'!AG69</f>
        <v>0</v>
      </c>
      <c r="AI81" s="144">
        <f>+'CE-mese'!AH69</f>
        <v>0</v>
      </c>
      <c r="AJ81" s="144">
        <f>+'CE-mese'!AI69</f>
        <v>0</v>
      </c>
      <c r="AK81" s="144">
        <f>+'CE-mese'!AJ69</f>
        <v>0</v>
      </c>
      <c r="AL81" s="144">
        <f>+'CE-mese'!AK69</f>
        <v>0</v>
      </c>
      <c r="AM81" s="144">
        <f>+'CE-mese'!AL69</f>
        <v>0</v>
      </c>
      <c r="AN81" s="144">
        <f>+'CE-mese'!AM69</f>
        <v>0</v>
      </c>
      <c r="AO81" s="144">
        <f>+'CE-mese'!AN69</f>
        <v>0</v>
      </c>
      <c r="AP81" s="144">
        <f>+'CE-mese'!AO69</f>
        <v>0</v>
      </c>
      <c r="AQ81" s="144">
        <f>+'CE-mese'!AP69</f>
        <v>0</v>
      </c>
      <c r="AR81" s="144">
        <f>+'CE-mese'!AQ69</f>
        <v>0</v>
      </c>
      <c r="AS81" s="144">
        <f>+'CE-mese'!AR69</f>
        <v>0</v>
      </c>
      <c r="AT81" s="144">
        <f>+'CE-mese'!AS69</f>
        <v>0</v>
      </c>
      <c r="AU81" s="144">
        <f>+'CE-mese'!AT69</f>
        <v>0</v>
      </c>
      <c r="AV81" s="144">
        <f>+'CE-mese'!AU69</f>
        <v>0</v>
      </c>
      <c r="AW81" s="144">
        <f>+'CE-mese'!AV69</f>
        <v>0</v>
      </c>
      <c r="AX81" s="144">
        <f>+'CE-mese'!AW69</f>
        <v>0</v>
      </c>
      <c r="AY81" s="144">
        <f>+'CE-mese'!AX69</f>
        <v>0</v>
      </c>
      <c r="AZ81" s="144">
        <f>+'CE-mese'!AY69</f>
        <v>0</v>
      </c>
      <c r="BA81" s="144">
        <f>+'CE-mese'!AZ69</f>
        <v>0</v>
      </c>
      <c r="BB81" s="144">
        <f>+'CE-mese'!BA69</f>
        <v>0</v>
      </c>
      <c r="BC81" s="144">
        <f>+'CE-mese'!BB69</f>
        <v>0</v>
      </c>
      <c r="BD81" s="144">
        <f>+'CE-mese'!BC69</f>
        <v>0</v>
      </c>
      <c r="BE81" s="144">
        <f>+'CE-mese'!BD69</f>
        <v>0</v>
      </c>
      <c r="BF81" s="144">
        <f>+'CE-mese'!BE69</f>
        <v>0</v>
      </c>
      <c r="BG81" s="144">
        <f>+'CE-mese'!BF69</f>
        <v>0</v>
      </c>
      <c r="BH81" s="144">
        <f>+'CE-mese'!BG69</f>
        <v>0</v>
      </c>
      <c r="BI81" s="144">
        <f>+'CE-mese'!BH69</f>
        <v>0</v>
      </c>
      <c r="BJ81" s="144">
        <f>+'CE-mese'!BI69</f>
        <v>0</v>
      </c>
      <c r="BK81" s="144">
        <f>+'CE-mese'!BJ69</f>
        <v>0</v>
      </c>
      <c r="BL81" s="144">
        <f>+'CE-mese'!BK69</f>
        <v>0</v>
      </c>
      <c r="BM81" s="144">
        <f>+'CE-mese'!BL69</f>
        <v>0</v>
      </c>
      <c r="BN81" s="144">
        <f>+'CE-mese'!BM69</f>
        <v>0</v>
      </c>
      <c r="BO81" s="144">
        <f>+'CE-mese'!BN69</f>
        <v>0</v>
      </c>
      <c r="BP81" s="144">
        <f>+'CE-mese'!BO69</f>
        <v>0</v>
      </c>
      <c r="BQ81" s="144">
        <f>+'CE-mese'!BP69</f>
        <v>0</v>
      </c>
      <c r="BR81" s="144">
        <f>+'CE-mese'!BQ69</f>
        <v>0</v>
      </c>
      <c r="BS81" s="144">
        <f>+'CE-mese'!BR69</f>
        <v>0</v>
      </c>
      <c r="BT81" s="144">
        <f>+'CE-mese'!BS69</f>
        <v>0</v>
      </c>
      <c r="BU81" s="144">
        <f>+'CE-mese'!BT69</f>
        <v>0</v>
      </c>
      <c r="BV81" s="144">
        <f>+'CE-mese'!BU69</f>
        <v>0</v>
      </c>
      <c r="BW81" s="144">
        <f>+'CE-mese'!BV69</f>
        <v>0</v>
      </c>
      <c r="BX81" s="144">
        <f>+'CE-mese'!BW69</f>
        <v>0</v>
      </c>
      <c r="BY81" s="144">
        <f>+'CE-mese'!BX69</f>
        <v>0</v>
      </c>
      <c r="BZ81" s="144">
        <f>+'CE-mese'!BY69</f>
        <v>0</v>
      </c>
      <c r="CA81" s="144">
        <f>+'CE-mese'!BZ69</f>
        <v>0</v>
      </c>
      <c r="CB81" s="144">
        <f>+'CE-mese'!CA69</f>
        <v>0</v>
      </c>
      <c r="CC81" s="144">
        <f>+'CE-mese'!CB69</f>
        <v>0</v>
      </c>
      <c r="CD81" s="144">
        <f>+'CE-mese'!CC69</f>
        <v>0</v>
      </c>
      <c r="CE81" s="144">
        <f>+'CE-mese'!CD69</f>
        <v>0</v>
      </c>
      <c r="CF81" s="144">
        <f>+'CE-mese'!CE69</f>
        <v>0</v>
      </c>
      <c r="CG81" s="144">
        <f>+'CE-mese'!CF69</f>
        <v>0</v>
      </c>
      <c r="CH81" s="144">
        <f>+'CE-mese'!CG69</f>
        <v>0</v>
      </c>
      <c r="CI81" s="144">
        <f>+'CE-mese'!CH69</f>
        <v>0</v>
      </c>
      <c r="CJ81" s="144">
        <f>+'CE-mese'!CI69</f>
        <v>0</v>
      </c>
      <c r="CK81" s="144">
        <f>+'CE-mese'!CJ69</f>
        <v>0</v>
      </c>
      <c r="CL81" s="144">
        <f>+'CE-mese'!CK69</f>
        <v>0</v>
      </c>
      <c r="CM81" s="144">
        <f>+'CE-mese'!CL69</f>
        <v>0</v>
      </c>
      <c r="CN81" s="144">
        <f>+'CE-mese'!CM69</f>
        <v>0</v>
      </c>
      <c r="CO81" s="144">
        <f>+'CE-mese'!CN69</f>
        <v>0</v>
      </c>
      <c r="CP81" s="144">
        <f>+'CE-mese'!CO69</f>
        <v>0</v>
      </c>
      <c r="CQ81" s="144">
        <f>+'CE-mese'!CP69</f>
        <v>0</v>
      </c>
      <c r="CR81" s="144">
        <f>+'CE-mese'!CQ69</f>
        <v>0</v>
      </c>
      <c r="CS81" s="144">
        <f>+'CE-mese'!CR69</f>
        <v>0</v>
      </c>
      <c r="CT81" s="144">
        <f>+'CE-mese'!CS69</f>
        <v>0</v>
      </c>
      <c r="CU81" s="144">
        <f>+'CE-mese'!CT69</f>
        <v>0</v>
      </c>
      <c r="CV81" s="144">
        <f>+'CE-mese'!CU69</f>
        <v>0</v>
      </c>
      <c r="CW81" s="144">
        <f>+'CE-mese'!CV69</f>
        <v>0</v>
      </c>
      <c r="CX81" s="144">
        <f>+'CE-mese'!CW69</f>
        <v>0</v>
      </c>
      <c r="CY81" s="144">
        <f>+'CE-mese'!CX69</f>
        <v>0</v>
      </c>
      <c r="CZ81" s="144">
        <f>+'CE-mese'!CY69</f>
        <v>0</v>
      </c>
      <c r="DA81" s="144">
        <f>+'CE-mese'!CZ69</f>
        <v>0</v>
      </c>
      <c r="DB81" s="144">
        <f>+'CE-mese'!DA69</f>
        <v>0</v>
      </c>
      <c r="DC81" s="144">
        <f>+'CE-mese'!DB69</f>
        <v>0</v>
      </c>
      <c r="DD81" s="144">
        <f>+'CE-mese'!DC69</f>
        <v>0</v>
      </c>
      <c r="DE81" s="144">
        <f>+'CE-mese'!DD69</f>
        <v>0</v>
      </c>
      <c r="DF81" s="144">
        <f>+'CE-mese'!DE69</f>
        <v>0</v>
      </c>
      <c r="DG81" s="144">
        <f>+'CE-mese'!DF69</f>
        <v>0</v>
      </c>
      <c r="DH81" s="144">
        <f>+'CE-mese'!DG69</f>
        <v>0</v>
      </c>
      <c r="DI81" s="144">
        <f>+'CE-mese'!DH69</f>
        <v>0</v>
      </c>
      <c r="DJ81" s="144">
        <f>+'CE-mese'!DI69</f>
        <v>0</v>
      </c>
      <c r="DK81" s="144">
        <f>+'CE-mese'!DJ69</f>
        <v>0</v>
      </c>
      <c r="DL81" s="144">
        <f>+'CE-mese'!DK69</f>
        <v>0</v>
      </c>
      <c r="DM81" s="144">
        <f>+'CE-mese'!DL69</f>
        <v>0</v>
      </c>
      <c r="DN81" s="144">
        <f>+'CE-mese'!DM69</f>
        <v>0</v>
      </c>
      <c r="DO81" s="144">
        <f>+'CE-mese'!DN69</f>
        <v>0</v>
      </c>
      <c r="DP81" s="144">
        <f>+'CE-mese'!DO69</f>
        <v>0</v>
      </c>
      <c r="DQ81" s="144">
        <f>+'CE-mese'!DP69</f>
        <v>0</v>
      </c>
      <c r="DR81" s="144">
        <f>+'CE-mese'!DQ69</f>
        <v>0</v>
      </c>
      <c r="DS81" s="144">
        <f>+'CE-mese'!DR69</f>
        <v>0</v>
      </c>
    </row>
    <row r="82" thickBot="1">
      <c r="A82" s="3"/>
      <c r="B82" s="3"/>
      <c r="C82" s="144"/>
      <c r="D82" s="144"/>
      <c r="E82" s="144"/>
      <c r="F82" s="144"/>
      <c r="G82" s="144"/>
      <c r="H82" s="144"/>
      <c r="I82" s="144"/>
      <c r="J82" s="144"/>
      <c r="K82" s="144"/>
      <c r="L82" s="144"/>
      <c r="M82" s="144"/>
      <c r="N82" s="144"/>
      <c r="O82" s="144"/>
      <c r="P82" s="144"/>
      <c r="Q82" s="144"/>
      <c r="R82" s="144"/>
      <c r="S82" s="144"/>
      <c r="T82" s="144"/>
      <c r="U82" s="144"/>
      <c r="V82" s="144"/>
      <c r="W82" s="144"/>
      <c r="X82" s="144"/>
      <c r="Y82" s="144"/>
      <c r="Z82" s="144"/>
      <c r="AA82" s="144"/>
      <c r="AB82" s="144"/>
      <c r="AC82" s="144"/>
      <c r="AD82" s="144"/>
      <c r="AE82" s="144"/>
      <c r="AF82" s="144"/>
      <c r="AG82" s="144"/>
      <c r="AH82" s="144"/>
      <c r="AI82" s="144"/>
      <c r="AJ82" s="144"/>
      <c r="AK82" s="144"/>
      <c r="AL82" s="144"/>
      <c r="AM82" s="144"/>
      <c r="AN82" s="144"/>
      <c r="AO82" s="144"/>
      <c r="AP82" s="144"/>
      <c r="AQ82" s="144"/>
      <c r="AR82" s="144"/>
      <c r="AS82" s="144"/>
      <c r="AT82" s="144"/>
      <c r="AU82" s="144"/>
      <c r="AV82" s="144"/>
      <c r="AW82" s="144"/>
      <c r="AX82" s="144"/>
      <c r="AY82" s="144"/>
      <c r="AZ82" s="144"/>
      <c r="BA82" s="144"/>
      <c r="BB82" s="144"/>
      <c r="BC82" s="144"/>
      <c r="BD82" s="144"/>
      <c r="BE82" s="144"/>
      <c r="BF82" s="144"/>
      <c r="BG82" s="144"/>
      <c r="BH82" s="144"/>
      <c r="BI82" s="144"/>
      <c r="BJ82" s="144"/>
      <c r="BK82" s="144"/>
      <c r="BL82" s="144"/>
      <c r="BM82" s="144"/>
      <c r="BN82" s="144"/>
      <c r="BO82" s="144"/>
      <c r="BP82" s="144"/>
      <c r="BQ82" s="144"/>
      <c r="BR82" s="144"/>
      <c r="BS82" s="144"/>
      <c r="BT82" s="144"/>
      <c r="BU82" s="144"/>
      <c r="BV82" s="144"/>
      <c r="BW82" s="144"/>
      <c r="BX82" s="144"/>
      <c r="BY82" s="144"/>
      <c r="BZ82" s="144"/>
      <c r="CA82" s="144"/>
      <c r="CB82" s="144"/>
      <c r="CC82" s="144"/>
      <c r="CD82" s="144"/>
      <c r="CE82" s="144"/>
      <c r="CF82" s="144"/>
      <c r="CG82" s="144"/>
      <c r="CH82" s="144"/>
      <c r="CI82" s="144"/>
      <c r="CJ82" s="144"/>
      <c r="CK82" s="144"/>
      <c r="CL82" s="144"/>
      <c r="CM82" s="144"/>
      <c r="CN82" s="144"/>
      <c r="CO82" s="144"/>
      <c r="CP82" s="144"/>
      <c r="CQ82" s="144"/>
      <c r="CR82" s="144"/>
      <c r="CS82" s="144"/>
      <c r="CT82" s="144"/>
      <c r="CU82" s="144"/>
      <c r="CV82" s="144"/>
      <c r="CW82" s="144"/>
      <c r="CX82" s="144"/>
      <c r="CY82" s="144"/>
      <c r="CZ82" s="144"/>
      <c r="DA82" s="144"/>
      <c r="DB82" s="144"/>
      <c r="DC82" s="144"/>
      <c r="DD82" s="144"/>
      <c r="DE82" s="144"/>
      <c r="DF82" s="144"/>
      <c r="DG82" s="144"/>
      <c r="DH82" s="144"/>
      <c r="DI82" s="144"/>
      <c r="DJ82" s="144"/>
      <c r="DK82" s="144"/>
      <c r="DL82" s="144"/>
      <c r="DM82" s="144"/>
      <c r="DN82" s="144"/>
      <c r="DO82" s="144"/>
      <c r="DP82" s="144"/>
      <c r="DQ82" s="144"/>
      <c r="DR82" s="144"/>
      <c r="DS82" s="144"/>
    </row>
    <row r="83" thickTop="1" thickBot="1" ht="18.75" customHeight="1">
      <c r="A83" s="293" t="s">
        <v>1350</v>
      </c>
      <c r="B83" s="294"/>
      <c r="C83" s="295">
        <f>+SUM(C77:C81)</f>
        <v>0</v>
      </c>
      <c r="D83" s="295">
        <f>+SUM(D77:D81)</f>
        <v>0</v>
      </c>
      <c r="E83" s="295">
        <f t="shared" ref="E83:BJ83" si="299">+SUM(E77:E81)</f>
        <v>0</v>
      </c>
      <c r="F83" s="295">
        <f t="shared" si="299"/>
        <v>0</v>
      </c>
      <c r="G83" s="295">
        <f t="shared" si="299"/>
        <v>0</v>
      </c>
      <c r="H83" s="295">
        <f t="shared" si="299"/>
        <v>0</v>
      </c>
      <c r="I83" s="295">
        <f t="shared" si="299"/>
        <v>0</v>
      </c>
      <c r="J83" s="295">
        <f t="shared" si="299"/>
        <v>0</v>
      </c>
      <c r="K83" s="295">
        <f t="shared" si="299"/>
        <v>0</v>
      </c>
      <c r="L83" s="295">
        <f t="shared" si="299"/>
        <v>0</v>
      </c>
      <c r="M83" s="295">
        <f t="shared" si="299"/>
        <v>0</v>
      </c>
      <c r="N83" s="295">
        <f t="shared" si="299"/>
        <v>0</v>
      </c>
      <c r="O83" s="295">
        <f t="shared" si="299"/>
        <v>0</v>
      </c>
      <c r="P83" s="295">
        <f t="shared" si="299"/>
        <v>0</v>
      </c>
      <c r="Q83" s="295">
        <f t="shared" si="299"/>
        <v>0</v>
      </c>
      <c r="R83" s="295">
        <f t="shared" si="299"/>
        <v>0</v>
      </c>
      <c r="S83" s="295">
        <f t="shared" si="299"/>
        <v>0</v>
      </c>
      <c r="T83" s="295">
        <f t="shared" si="299"/>
        <v>0</v>
      </c>
      <c r="U83" s="295">
        <f t="shared" si="299"/>
        <v>0</v>
      </c>
      <c r="V83" s="295">
        <f t="shared" si="299"/>
        <v>0</v>
      </c>
      <c r="W83" s="295">
        <f t="shared" si="299"/>
        <v>0</v>
      </c>
      <c r="X83" s="295">
        <f t="shared" si="299"/>
        <v>0</v>
      </c>
      <c r="Y83" s="295">
        <f t="shared" si="299"/>
        <v>0</v>
      </c>
      <c r="Z83" s="295">
        <f t="shared" si="299"/>
        <v>0</v>
      </c>
      <c r="AA83" s="295">
        <f t="shared" si="299"/>
        <v>0</v>
      </c>
      <c r="AB83" s="295">
        <f t="shared" si="299"/>
        <v>0</v>
      </c>
      <c r="AC83" s="295">
        <f t="shared" si="299"/>
        <v>0</v>
      </c>
      <c r="AD83" s="295">
        <f t="shared" si="299"/>
        <v>0</v>
      </c>
      <c r="AE83" s="295">
        <f t="shared" si="299"/>
        <v>0</v>
      </c>
      <c r="AF83" s="295">
        <f t="shared" si="299"/>
        <v>0</v>
      </c>
      <c r="AG83" s="295">
        <f t="shared" si="299"/>
        <v>0</v>
      </c>
      <c r="AH83" s="295">
        <f t="shared" si="299"/>
        <v>0</v>
      </c>
      <c r="AI83" s="295">
        <f t="shared" si="299"/>
        <v>0</v>
      </c>
      <c r="AJ83" s="295">
        <f t="shared" si="299"/>
        <v>0</v>
      </c>
      <c r="AK83" s="295">
        <f t="shared" si="299"/>
        <v>0</v>
      </c>
      <c r="AL83" s="295">
        <f t="shared" si="299"/>
        <v>0</v>
      </c>
      <c r="AM83" s="295">
        <f t="shared" si="299"/>
        <v>0</v>
      </c>
      <c r="AN83" s="295">
        <f t="shared" si="299"/>
        <v>0</v>
      </c>
      <c r="AO83" s="295">
        <f t="shared" si="299"/>
        <v>0</v>
      </c>
      <c r="AP83" s="295">
        <f t="shared" si="299"/>
        <v>0</v>
      </c>
      <c r="AQ83" s="295">
        <f t="shared" si="299"/>
        <v>0</v>
      </c>
      <c r="AR83" s="295">
        <f t="shared" si="299"/>
        <v>0</v>
      </c>
      <c r="AS83" s="295">
        <f t="shared" si="299"/>
        <v>0</v>
      </c>
      <c r="AT83" s="295">
        <f t="shared" si="299"/>
        <v>0</v>
      </c>
      <c r="AU83" s="295">
        <f t="shared" si="299"/>
        <v>0</v>
      </c>
      <c r="AV83" s="295">
        <f t="shared" si="299"/>
        <v>0</v>
      </c>
      <c r="AW83" s="295">
        <f t="shared" si="299"/>
        <v>0</v>
      </c>
      <c r="AX83" s="295">
        <f t="shared" si="299"/>
        <v>0</v>
      </c>
      <c r="AY83" s="295">
        <f t="shared" si="299"/>
        <v>0</v>
      </c>
      <c r="AZ83" s="295">
        <f t="shared" si="299"/>
        <v>0</v>
      </c>
      <c r="BA83" s="295">
        <f t="shared" si="299"/>
        <v>0</v>
      </c>
      <c r="BB83" s="295">
        <f t="shared" si="299"/>
        <v>0</v>
      </c>
      <c r="BC83" s="295">
        <f t="shared" si="299"/>
        <v>0</v>
      </c>
      <c r="BD83" s="295">
        <f t="shared" si="299"/>
        <v>0</v>
      </c>
      <c r="BE83" s="295">
        <f t="shared" si="299"/>
        <v>0</v>
      </c>
      <c r="BF83" s="295">
        <f t="shared" si="299"/>
        <v>0</v>
      </c>
      <c r="BG83" s="295">
        <f t="shared" si="299"/>
        <v>0</v>
      </c>
      <c r="BH83" s="295">
        <f t="shared" si="299"/>
        <v>0</v>
      </c>
      <c r="BI83" s="295">
        <f t="shared" si="299"/>
        <v>0</v>
      </c>
      <c r="BJ83" s="295">
        <f t="shared" si="299"/>
        <v>0</v>
      </c>
      <c r="BK83" s="295">
        <f t="shared" ref="BK83:DQ83" si="300">+SUM(BK77:BK81)</f>
        <v>0</v>
      </c>
      <c r="BL83" s="295">
        <f t="shared" si="300"/>
        <v>0</v>
      </c>
      <c r="BM83" s="295">
        <f t="shared" si="300"/>
        <v>0</v>
      </c>
      <c r="BN83" s="295">
        <f t="shared" si="300"/>
        <v>0</v>
      </c>
      <c r="BO83" s="295">
        <f t="shared" si="300"/>
        <v>0</v>
      </c>
      <c r="BP83" s="295">
        <f t="shared" si="300"/>
        <v>0</v>
      </c>
      <c r="BQ83" s="295">
        <f t="shared" si="300"/>
        <v>0</v>
      </c>
      <c r="BR83" s="295">
        <f t="shared" si="300"/>
        <v>0</v>
      </c>
      <c r="BS83" s="295">
        <f t="shared" si="300"/>
        <v>0</v>
      </c>
      <c r="BT83" s="295">
        <f t="shared" si="300"/>
        <v>0</v>
      </c>
      <c r="BU83" s="295">
        <f t="shared" si="300"/>
        <v>0</v>
      </c>
      <c r="BV83" s="295">
        <f t="shared" si="300"/>
        <v>0</v>
      </c>
      <c r="BW83" s="295">
        <f t="shared" si="300"/>
        <v>0</v>
      </c>
      <c r="BX83" s="295">
        <f t="shared" si="300"/>
        <v>0</v>
      </c>
      <c r="BY83" s="295">
        <f t="shared" si="300"/>
        <v>0</v>
      </c>
      <c r="BZ83" s="295">
        <f t="shared" si="300"/>
        <v>0</v>
      </c>
      <c r="CA83" s="295">
        <f t="shared" si="300"/>
        <v>0</v>
      </c>
      <c r="CB83" s="295">
        <f t="shared" si="300"/>
        <v>0</v>
      </c>
      <c r="CC83" s="295">
        <f t="shared" si="300"/>
        <v>0</v>
      </c>
      <c r="CD83" s="295">
        <f t="shared" si="300"/>
        <v>0</v>
      </c>
      <c r="CE83" s="295">
        <f t="shared" si="300"/>
        <v>0</v>
      </c>
      <c r="CF83" s="295">
        <f t="shared" si="300"/>
        <v>0</v>
      </c>
      <c r="CG83" s="295">
        <f t="shared" si="300"/>
        <v>0</v>
      </c>
      <c r="CH83" s="295">
        <f t="shared" si="300"/>
        <v>0</v>
      </c>
      <c r="CI83" s="295">
        <f t="shared" si="300"/>
        <v>0</v>
      </c>
      <c r="CJ83" s="295">
        <f t="shared" si="300"/>
        <v>0</v>
      </c>
      <c r="CK83" s="295">
        <f t="shared" si="300"/>
        <v>0</v>
      </c>
      <c r="CL83" s="295">
        <f t="shared" si="300"/>
        <v>0</v>
      </c>
      <c r="CM83" s="295">
        <f t="shared" si="300"/>
        <v>0</v>
      </c>
      <c r="CN83" s="295">
        <f t="shared" si="300"/>
        <v>0</v>
      </c>
      <c r="CO83" s="295">
        <f t="shared" si="300"/>
        <v>0</v>
      </c>
      <c r="CP83" s="295">
        <f t="shared" si="300"/>
        <v>0</v>
      </c>
      <c r="CQ83" s="295">
        <f t="shared" si="300"/>
        <v>0</v>
      </c>
      <c r="CR83" s="295">
        <f t="shared" si="300"/>
        <v>0</v>
      </c>
      <c r="CS83" s="295">
        <f t="shared" si="300"/>
        <v>0</v>
      </c>
      <c r="CT83" s="295">
        <f t="shared" si="300"/>
        <v>0</v>
      </c>
      <c r="CU83" s="295">
        <f t="shared" si="300"/>
        <v>0</v>
      </c>
      <c r="CV83" s="295">
        <f t="shared" si="300"/>
        <v>0</v>
      </c>
      <c r="CW83" s="295">
        <f t="shared" si="300"/>
        <v>0</v>
      </c>
      <c r="CX83" s="295">
        <f t="shared" si="300"/>
        <v>0</v>
      </c>
      <c r="CY83" s="295">
        <f t="shared" si="300"/>
        <v>0</v>
      </c>
      <c r="CZ83" s="295">
        <f t="shared" si="300"/>
        <v>0</v>
      </c>
      <c r="DA83" s="295">
        <f t="shared" si="300"/>
        <v>0</v>
      </c>
      <c r="DB83" s="295">
        <f t="shared" si="300"/>
        <v>0</v>
      </c>
      <c r="DC83" s="295">
        <f t="shared" si="300"/>
        <v>0</v>
      </c>
      <c r="DD83" s="295">
        <f t="shared" si="300"/>
        <v>0</v>
      </c>
      <c r="DE83" s="295">
        <f t="shared" si="300"/>
        <v>0</v>
      </c>
      <c r="DF83" s="295">
        <f t="shared" si="300"/>
        <v>0</v>
      </c>
      <c r="DG83" s="295">
        <f t="shared" si="300"/>
        <v>0</v>
      </c>
      <c r="DH83" s="295">
        <f t="shared" si="300"/>
        <v>0</v>
      </c>
      <c r="DI83" s="295">
        <f t="shared" si="300"/>
        <v>0</v>
      </c>
      <c r="DJ83" s="295">
        <f t="shared" si="300"/>
        <v>0</v>
      </c>
      <c r="DK83" s="295">
        <f t="shared" si="300"/>
        <v>0</v>
      </c>
      <c r="DL83" s="295">
        <f t="shared" si="300"/>
        <v>0</v>
      </c>
      <c r="DM83" s="295">
        <f t="shared" si="300"/>
        <v>0</v>
      </c>
      <c r="DN83" s="295">
        <f t="shared" si="300"/>
        <v>0</v>
      </c>
      <c r="DO83" s="295">
        <f t="shared" si="300"/>
        <v>0</v>
      </c>
      <c r="DP83" s="295">
        <f t="shared" si="300"/>
        <v>0</v>
      </c>
      <c r="DQ83" s="295">
        <f t="shared" si="300"/>
        <v>0</v>
      </c>
      <c r="DR83" s="295">
        <f>+SUM(DR77:DR81)</f>
        <v>0</v>
      </c>
      <c r="DS83" s="295">
        <f t="shared" ref="DS83" si="301">+SUM(DS77:DS81)</f>
        <v>0</v>
      </c>
    </row>
    <row r="84" thickTop="1">
      <c r="A84" s="325"/>
      <c r="B84" s="3"/>
      <c r="C84" s="144"/>
      <c r="D84" s="144"/>
      <c r="E84" s="144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44"/>
      <c r="S84" s="144"/>
      <c r="T84" s="144"/>
      <c r="U84" s="144"/>
      <c r="V84" s="144"/>
      <c r="W84" s="144"/>
      <c r="X84" s="144"/>
      <c r="Y84" s="144"/>
      <c r="Z84" s="144"/>
      <c r="AA84" s="144"/>
      <c r="AB84" s="144"/>
      <c r="AC84" s="144"/>
      <c r="AD84" s="144"/>
      <c r="AE84" s="144"/>
      <c r="AF84" s="144"/>
      <c r="AG84" s="144"/>
      <c r="AH84" s="144"/>
      <c r="AI84" s="144"/>
      <c r="AJ84" s="144"/>
      <c r="AK84" s="144"/>
      <c r="AL84" s="144"/>
      <c r="AM84" s="144"/>
      <c r="AN84" s="144"/>
      <c r="AO84" s="144"/>
      <c r="AP84" s="144"/>
      <c r="AQ84" s="144"/>
      <c r="AR84" s="144"/>
      <c r="AS84" s="144"/>
      <c r="AT84" s="144"/>
      <c r="AU84" s="144"/>
      <c r="AV84" s="144"/>
      <c r="AW84" s="144"/>
      <c r="AX84" s="144"/>
      <c r="AY84" s="144"/>
      <c r="AZ84" s="144"/>
      <c r="BA84" s="144"/>
      <c r="BB84" s="144"/>
      <c r="BC84" s="144"/>
      <c r="BD84" s="144"/>
      <c r="BE84" s="144"/>
      <c r="BF84" s="144"/>
      <c r="BG84" s="144"/>
      <c r="BH84" s="144"/>
      <c r="BI84" s="144"/>
      <c r="BJ84" s="144"/>
      <c r="BK84" s="144"/>
      <c r="BL84" s="144"/>
      <c r="BM84" s="144"/>
      <c r="BN84" s="144"/>
      <c r="BO84" s="144"/>
      <c r="BP84" s="144"/>
      <c r="BQ84" s="144"/>
      <c r="BR84" s="144"/>
      <c r="BS84" s="144"/>
      <c r="BT84" s="144"/>
      <c r="BU84" s="144"/>
      <c r="BV84" s="144"/>
      <c r="BW84" s="144"/>
      <c r="BX84" s="144"/>
      <c r="BY84" s="144"/>
      <c r="BZ84" s="144"/>
      <c r="CA84" s="144"/>
      <c r="CB84" s="144"/>
      <c r="CC84" s="144"/>
      <c r="CD84" s="144"/>
      <c r="CE84" s="144"/>
      <c r="CF84" s="144"/>
      <c r="CG84" s="144"/>
      <c r="CH84" s="144"/>
      <c r="CI84" s="144"/>
      <c r="CJ84" s="144"/>
      <c r="CK84" s="144"/>
      <c r="CL84" s="144"/>
      <c r="CM84" s="144"/>
      <c r="CN84" s="144"/>
      <c r="CO84" s="144"/>
      <c r="CP84" s="144"/>
      <c r="CQ84" s="144"/>
      <c r="CR84" s="144"/>
      <c r="CS84" s="144"/>
      <c r="CT84" s="144"/>
      <c r="CU84" s="144"/>
      <c r="CV84" s="144"/>
      <c r="CW84" s="144"/>
      <c r="CX84" s="144"/>
      <c r="CY84" s="144"/>
      <c r="CZ84" s="144"/>
      <c r="DA84" s="144"/>
      <c r="DB84" s="144"/>
      <c r="DC84" s="144"/>
      <c r="DD84" s="144"/>
      <c r="DE84" s="144"/>
      <c r="DF84" s="144"/>
      <c r="DG84" s="144"/>
      <c r="DH84" s="144"/>
      <c r="DI84" s="144"/>
      <c r="DJ84" s="144"/>
      <c r="DK84" s="144"/>
      <c r="DL84" s="144"/>
      <c r="DM84" s="144"/>
      <c r="DN84" s="144"/>
      <c r="DO84" s="144"/>
      <c r="DP84" s="144"/>
      <c r="DQ84" s="144"/>
      <c r="DR84" s="144"/>
      <c r="DS84" s="144"/>
    </row>
    <row r="85" thickBot="1">
      <c r="A85" s="325"/>
      <c r="B85" s="3"/>
      <c r="C85" s="144"/>
      <c r="D85" s="144"/>
      <c r="E85" s="144"/>
      <c r="F85" s="144"/>
      <c r="G85" s="144"/>
      <c r="H85" s="144"/>
      <c r="I85" s="144"/>
      <c r="J85" s="144"/>
      <c r="K85" s="144"/>
      <c r="L85" s="144"/>
      <c r="M85" s="144"/>
      <c r="N85" s="144"/>
      <c r="O85" s="144"/>
      <c r="P85" s="144"/>
      <c r="Q85" s="144"/>
      <c r="R85" s="144"/>
      <c r="S85" s="144"/>
      <c r="T85" s="144"/>
      <c r="U85" s="144"/>
      <c r="V85" s="144"/>
      <c r="W85" s="144"/>
      <c r="X85" s="144"/>
      <c r="Y85" s="144"/>
      <c r="Z85" s="144"/>
      <c r="AA85" s="144"/>
      <c r="AB85" s="144"/>
      <c r="AC85" s="144"/>
      <c r="AD85" s="144"/>
      <c r="AE85" s="144"/>
      <c r="AF85" s="144"/>
      <c r="AG85" s="144"/>
      <c r="AH85" s="144"/>
      <c r="AI85" s="144"/>
      <c r="AJ85" s="144"/>
      <c r="AK85" s="144"/>
      <c r="AL85" s="144"/>
      <c r="AM85" s="144"/>
      <c r="AN85" s="144"/>
      <c r="AO85" s="144"/>
      <c r="AP85" s="144"/>
      <c r="AQ85" s="144"/>
      <c r="AR85" s="144"/>
      <c r="AS85" s="144"/>
      <c r="AT85" s="144"/>
      <c r="AU85" s="144"/>
      <c r="AV85" s="144"/>
      <c r="AW85" s="144"/>
      <c r="AX85" s="144"/>
      <c r="AY85" s="144"/>
      <c r="AZ85" s="144"/>
      <c r="BA85" s="144"/>
      <c r="BB85" s="144"/>
      <c r="BC85" s="144"/>
      <c r="BD85" s="144"/>
      <c r="BE85" s="144"/>
      <c r="BF85" s="144"/>
      <c r="BG85" s="144"/>
      <c r="BH85" s="144"/>
      <c r="BI85" s="144"/>
      <c r="BJ85" s="144"/>
      <c r="BK85" s="144"/>
      <c r="BL85" s="144"/>
      <c r="BM85" s="144"/>
      <c r="BN85" s="144"/>
      <c r="BO85" s="144"/>
      <c r="BP85" s="144"/>
      <c r="BQ85" s="144"/>
      <c r="BR85" s="144"/>
      <c r="BS85" s="144"/>
      <c r="BT85" s="144"/>
      <c r="BU85" s="144"/>
      <c r="BV85" s="144"/>
      <c r="BW85" s="144"/>
      <c r="BX85" s="144"/>
      <c r="BY85" s="144"/>
      <c r="BZ85" s="144"/>
      <c r="CA85" s="144"/>
      <c r="CB85" s="144"/>
      <c r="CC85" s="144"/>
      <c r="CD85" s="144"/>
      <c r="CE85" s="144"/>
      <c r="CF85" s="144"/>
      <c r="CG85" s="144"/>
      <c r="CH85" s="144"/>
      <c r="CI85" s="144"/>
      <c r="CJ85" s="144"/>
      <c r="CK85" s="144"/>
      <c r="CL85" s="144"/>
      <c r="CM85" s="144"/>
      <c r="CN85" s="144"/>
      <c r="CO85" s="144"/>
      <c r="CP85" s="144"/>
      <c r="CQ85" s="144"/>
      <c r="CR85" s="144"/>
      <c r="CS85" s="144"/>
      <c r="CT85" s="144"/>
      <c r="CU85" s="144"/>
      <c r="CV85" s="144"/>
      <c r="CW85" s="144"/>
      <c r="CX85" s="144"/>
      <c r="CY85" s="144"/>
      <c r="CZ85" s="144"/>
      <c r="DA85" s="144"/>
      <c r="DB85" s="144"/>
      <c r="DC85" s="144"/>
      <c r="DD85" s="144"/>
      <c r="DE85" s="144"/>
      <c r="DF85" s="144"/>
      <c r="DG85" s="144"/>
      <c r="DH85" s="144"/>
      <c r="DI85" s="144"/>
      <c r="DJ85" s="144"/>
      <c r="DK85" s="144"/>
      <c r="DL85" s="144"/>
      <c r="DM85" s="144"/>
      <c r="DN85" s="144"/>
      <c r="DO85" s="144"/>
      <c r="DP85" s="144"/>
      <c r="DQ85" s="144"/>
      <c r="DR85" s="144"/>
      <c r="DS85" s="144"/>
    </row>
    <row r="86" thickTop="1" thickBot="1" ht="19.5">
      <c r="A86" s="299" t="s">
        <v>1351</v>
      </c>
      <c r="B86" s="300"/>
      <c r="C86" s="301">
        <f>+C83+C74+C65+C51</f>
        <v>0</v>
      </c>
      <c r="D86" s="301">
        <f>+D83+D74+D65+D51</f>
        <v>0</v>
      </c>
      <c r="E86" s="301">
        <f t="shared" ref="E86:BP86" si="302">+E83+E74+E65+E51</f>
        <v>0</v>
      </c>
      <c r="F86" s="301">
        <f t="shared" si="302"/>
        <v>0</v>
      </c>
      <c r="G86" s="301">
        <f t="shared" si="302"/>
        <v>0</v>
      </c>
      <c r="H86" s="301">
        <f t="shared" si="302"/>
        <v>0</v>
      </c>
      <c r="I86" s="301">
        <f t="shared" si="302"/>
        <v>0</v>
      </c>
      <c r="J86" s="301">
        <f t="shared" si="302"/>
        <v>0</v>
      </c>
      <c r="K86" s="301">
        <f t="shared" si="302"/>
        <v>0</v>
      </c>
      <c r="L86" s="301">
        <f t="shared" si="302"/>
        <v>0</v>
      </c>
      <c r="M86" s="301">
        <f t="shared" si="302"/>
        <v>0</v>
      </c>
      <c r="N86" s="301">
        <f t="shared" si="302"/>
        <v>0</v>
      </c>
      <c r="O86" s="301">
        <f t="shared" si="302"/>
        <v>0</v>
      </c>
      <c r="P86" s="301">
        <f t="shared" si="302"/>
        <v>0</v>
      </c>
      <c r="Q86" s="301">
        <f t="shared" si="302"/>
        <v>0</v>
      </c>
      <c r="R86" s="301">
        <f t="shared" si="302"/>
        <v>0</v>
      </c>
      <c r="S86" s="301">
        <f t="shared" si="302"/>
        <v>0</v>
      </c>
      <c r="T86" s="301">
        <f t="shared" si="302"/>
        <v>0</v>
      </c>
      <c r="U86" s="301">
        <f t="shared" si="302"/>
        <v>0</v>
      </c>
      <c r="V86" s="301">
        <f t="shared" si="302"/>
        <v>0</v>
      </c>
      <c r="W86" s="301">
        <f t="shared" si="302"/>
        <v>0</v>
      </c>
      <c r="X86" s="301">
        <f t="shared" si="302"/>
        <v>0</v>
      </c>
      <c r="Y86" s="301">
        <f t="shared" si="302"/>
        <v>0</v>
      </c>
      <c r="Z86" s="301">
        <f t="shared" si="302"/>
        <v>0</v>
      </c>
      <c r="AA86" s="301">
        <f t="shared" si="302"/>
        <v>0</v>
      </c>
      <c r="AB86" s="301">
        <f t="shared" si="302"/>
        <v>0</v>
      </c>
      <c r="AC86" s="301">
        <f t="shared" si="302"/>
        <v>0</v>
      </c>
      <c r="AD86" s="301">
        <f t="shared" si="302"/>
        <v>0</v>
      </c>
      <c r="AE86" s="301">
        <f t="shared" si="302"/>
        <v>0</v>
      </c>
      <c r="AF86" s="301">
        <f t="shared" si="302"/>
        <v>0</v>
      </c>
      <c r="AG86" s="301">
        <f t="shared" si="302"/>
        <v>0</v>
      </c>
      <c r="AH86" s="301">
        <f t="shared" si="302"/>
        <v>0</v>
      </c>
      <c r="AI86" s="301">
        <f t="shared" si="302"/>
        <v>0</v>
      </c>
      <c r="AJ86" s="301">
        <f t="shared" si="302"/>
        <v>0</v>
      </c>
      <c r="AK86" s="301">
        <f t="shared" si="302"/>
        <v>0</v>
      </c>
      <c r="AL86" s="301">
        <f t="shared" si="302"/>
        <v>0</v>
      </c>
      <c r="AM86" s="301">
        <f t="shared" si="302"/>
        <v>0</v>
      </c>
      <c r="AN86" s="301">
        <f t="shared" si="302"/>
        <v>0</v>
      </c>
      <c r="AO86" s="301">
        <f t="shared" si="302"/>
        <v>0</v>
      </c>
      <c r="AP86" s="301">
        <f t="shared" si="302"/>
        <v>0</v>
      </c>
      <c r="AQ86" s="301">
        <f t="shared" si="302"/>
        <v>0</v>
      </c>
      <c r="AR86" s="301">
        <f t="shared" si="302"/>
        <v>0</v>
      </c>
      <c r="AS86" s="301">
        <f t="shared" si="302"/>
        <v>0</v>
      </c>
      <c r="AT86" s="301">
        <f t="shared" si="302"/>
        <v>0</v>
      </c>
      <c r="AU86" s="301">
        <f t="shared" si="302"/>
        <v>0</v>
      </c>
      <c r="AV86" s="301">
        <f t="shared" si="302"/>
        <v>0</v>
      </c>
      <c r="AW86" s="301">
        <f t="shared" si="302"/>
        <v>0</v>
      </c>
      <c r="AX86" s="301">
        <f t="shared" si="302"/>
        <v>0</v>
      </c>
      <c r="AY86" s="301">
        <f t="shared" si="302"/>
        <v>0</v>
      </c>
      <c r="AZ86" s="301">
        <f t="shared" si="302"/>
        <v>0</v>
      </c>
      <c r="BA86" s="301">
        <f t="shared" si="302"/>
        <v>0</v>
      </c>
      <c r="BB86" s="301">
        <f t="shared" si="302"/>
        <v>0</v>
      </c>
      <c r="BC86" s="301">
        <f t="shared" si="302"/>
        <v>0</v>
      </c>
      <c r="BD86" s="301">
        <f t="shared" si="302"/>
        <v>0</v>
      </c>
      <c r="BE86" s="301">
        <f t="shared" si="302"/>
        <v>0</v>
      </c>
      <c r="BF86" s="301">
        <f t="shared" si="302"/>
        <v>0</v>
      </c>
      <c r="BG86" s="301">
        <f t="shared" si="302"/>
        <v>0</v>
      </c>
      <c r="BH86" s="301">
        <f t="shared" si="302"/>
        <v>0</v>
      </c>
      <c r="BI86" s="301">
        <f t="shared" si="302"/>
        <v>0</v>
      </c>
      <c r="BJ86" s="301">
        <f t="shared" si="302"/>
        <v>0</v>
      </c>
      <c r="BK86" s="301">
        <f t="shared" si="302"/>
        <v>0</v>
      </c>
      <c r="BL86" s="301">
        <f t="shared" si="302"/>
        <v>0</v>
      </c>
      <c r="BM86" s="301">
        <f t="shared" si="302"/>
        <v>0</v>
      </c>
      <c r="BN86" s="301">
        <f t="shared" si="302"/>
        <v>0</v>
      </c>
      <c r="BO86" s="301">
        <f t="shared" si="302"/>
        <v>0</v>
      </c>
      <c r="BP86" s="301">
        <f t="shared" si="302"/>
        <v>0</v>
      </c>
      <c r="BQ86" s="301">
        <f t="shared" ref="BQ86:DS86" si="303">+BQ83+BQ74+BQ65+BQ51</f>
        <v>0</v>
      </c>
      <c r="BR86" s="301">
        <f t="shared" si="303"/>
        <v>0</v>
      </c>
      <c r="BS86" s="301">
        <f t="shared" si="303"/>
        <v>0</v>
      </c>
      <c r="BT86" s="301">
        <f t="shared" si="303"/>
        <v>0</v>
      </c>
      <c r="BU86" s="301">
        <f t="shared" si="303"/>
        <v>0</v>
      </c>
      <c r="BV86" s="301">
        <f t="shared" si="303"/>
        <v>0</v>
      </c>
      <c r="BW86" s="301">
        <f t="shared" si="303"/>
        <v>0</v>
      </c>
      <c r="BX86" s="301">
        <f t="shared" si="303"/>
        <v>0</v>
      </c>
      <c r="BY86" s="301">
        <f t="shared" si="303"/>
        <v>0</v>
      </c>
      <c r="BZ86" s="301">
        <f t="shared" si="303"/>
        <v>0</v>
      </c>
      <c r="CA86" s="301">
        <f t="shared" si="303"/>
        <v>0</v>
      </c>
      <c r="CB86" s="301">
        <f t="shared" si="303"/>
        <v>0</v>
      </c>
      <c r="CC86" s="301">
        <f t="shared" si="303"/>
        <v>0</v>
      </c>
      <c r="CD86" s="301">
        <f t="shared" si="303"/>
        <v>0</v>
      </c>
      <c r="CE86" s="301">
        <f t="shared" si="303"/>
        <v>0</v>
      </c>
      <c r="CF86" s="301">
        <f t="shared" si="303"/>
        <v>0</v>
      </c>
      <c r="CG86" s="301">
        <f t="shared" si="303"/>
        <v>0</v>
      </c>
      <c r="CH86" s="301">
        <f t="shared" si="303"/>
        <v>0</v>
      </c>
      <c r="CI86" s="301">
        <f t="shared" si="303"/>
        <v>0</v>
      </c>
      <c r="CJ86" s="301">
        <f t="shared" si="303"/>
        <v>0</v>
      </c>
      <c r="CK86" s="301">
        <f t="shared" si="303"/>
        <v>0</v>
      </c>
      <c r="CL86" s="301">
        <f t="shared" si="303"/>
        <v>0</v>
      </c>
      <c r="CM86" s="301">
        <f t="shared" si="303"/>
        <v>0</v>
      </c>
      <c r="CN86" s="301">
        <f t="shared" si="303"/>
        <v>0</v>
      </c>
      <c r="CO86" s="301">
        <f t="shared" si="303"/>
        <v>0</v>
      </c>
      <c r="CP86" s="301">
        <f t="shared" si="303"/>
        <v>0</v>
      </c>
      <c r="CQ86" s="301">
        <f t="shared" si="303"/>
        <v>0</v>
      </c>
      <c r="CR86" s="301">
        <f t="shared" si="303"/>
        <v>0</v>
      </c>
      <c r="CS86" s="301">
        <f t="shared" si="303"/>
        <v>0</v>
      </c>
      <c r="CT86" s="301">
        <f t="shared" si="303"/>
        <v>0</v>
      </c>
      <c r="CU86" s="301">
        <f t="shared" si="303"/>
        <v>0</v>
      </c>
      <c r="CV86" s="301">
        <f t="shared" si="303"/>
        <v>0</v>
      </c>
      <c r="CW86" s="301">
        <f t="shared" si="303"/>
        <v>0</v>
      </c>
      <c r="CX86" s="301">
        <f t="shared" si="303"/>
        <v>0</v>
      </c>
      <c r="CY86" s="301">
        <f t="shared" si="303"/>
        <v>0</v>
      </c>
      <c r="CZ86" s="301">
        <f t="shared" si="303"/>
        <v>0</v>
      </c>
      <c r="DA86" s="301">
        <f t="shared" si="303"/>
        <v>0</v>
      </c>
      <c r="DB86" s="301">
        <f t="shared" si="303"/>
        <v>0</v>
      </c>
      <c r="DC86" s="301">
        <f t="shared" si="303"/>
        <v>0</v>
      </c>
      <c r="DD86" s="301">
        <f t="shared" si="303"/>
        <v>0</v>
      </c>
      <c r="DE86" s="301">
        <f t="shared" si="303"/>
        <v>0</v>
      </c>
      <c r="DF86" s="301">
        <f t="shared" si="303"/>
        <v>0</v>
      </c>
      <c r="DG86" s="301">
        <f t="shared" si="303"/>
        <v>0</v>
      </c>
      <c r="DH86" s="301">
        <f t="shared" si="303"/>
        <v>0</v>
      </c>
      <c r="DI86" s="301">
        <f t="shared" si="303"/>
        <v>0</v>
      </c>
      <c r="DJ86" s="301">
        <f t="shared" si="303"/>
        <v>0</v>
      </c>
      <c r="DK86" s="301">
        <f t="shared" si="303"/>
        <v>0</v>
      </c>
      <c r="DL86" s="301">
        <f t="shared" si="303"/>
        <v>0</v>
      </c>
      <c r="DM86" s="301">
        <f t="shared" si="303"/>
        <v>0</v>
      </c>
      <c r="DN86" s="301">
        <f t="shared" si="303"/>
        <v>0</v>
      </c>
      <c r="DO86" s="301">
        <f t="shared" si="303"/>
        <v>0</v>
      </c>
      <c r="DP86" s="301">
        <f t="shared" si="303"/>
        <v>0</v>
      </c>
      <c r="DQ86" s="301">
        <f t="shared" si="303"/>
        <v>0</v>
      </c>
      <c r="DR86" s="301">
        <f t="shared" si="303"/>
        <v>0</v>
      </c>
      <c r="DS86" s="301">
        <f t="shared" si="303"/>
        <v>0</v>
      </c>
    </row>
    <row r="87" thickTop="1" ht="21.5">
      <c r="A87" s="298"/>
      <c r="B87" s="325"/>
      <c r="C87" s="144"/>
      <c r="D87" s="144"/>
      <c r="E87" s="144"/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44"/>
      <c r="Q87" s="144"/>
      <c r="R87" s="144"/>
      <c r="S87" s="144"/>
      <c r="T87" s="144"/>
      <c r="U87" s="144"/>
      <c r="V87" s="144"/>
      <c r="W87" s="144"/>
      <c r="X87" s="144"/>
      <c r="Y87" s="144"/>
      <c r="Z87" s="144"/>
      <c r="AA87" s="144"/>
      <c r="AB87" s="144"/>
      <c r="AC87" s="144"/>
      <c r="AD87" s="144"/>
      <c r="AE87" s="144"/>
      <c r="AF87" s="144"/>
      <c r="AG87" s="144"/>
      <c r="AH87" s="144"/>
      <c r="AI87" s="144"/>
      <c r="AJ87" s="144"/>
      <c r="AK87" s="144"/>
      <c r="AL87" s="144"/>
      <c r="AM87" s="144"/>
      <c r="AN87" s="144"/>
      <c r="AO87" s="144"/>
      <c r="AP87" s="144"/>
      <c r="AQ87" s="144"/>
      <c r="AR87" s="144"/>
      <c r="AS87" s="144"/>
      <c r="AT87" s="144"/>
      <c r="AU87" s="144"/>
      <c r="AV87" s="144"/>
      <c r="AW87" s="144"/>
      <c r="AX87" s="144"/>
      <c r="AY87" s="144"/>
      <c r="AZ87" s="144"/>
      <c r="BA87" s="144"/>
      <c r="BB87" s="144"/>
      <c r="BC87" s="144"/>
      <c r="BD87" s="144"/>
      <c r="BE87" s="144"/>
      <c r="BF87" s="144"/>
      <c r="BG87" s="144"/>
      <c r="BH87" s="144"/>
      <c r="BI87" s="144"/>
      <c r="BJ87" s="144"/>
      <c r="BK87" s="144"/>
      <c r="BL87" s="144"/>
      <c r="BM87" s="144"/>
      <c r="BN87" s="144"/>
      <c r="BO87" s="144"/>
      <c r="BP87" s="144"/>
      <c r="BQ87" s="144"/>
      <c r="BR87" s="144"/>
      <c r="BS87" s="144"/>
      <c r="BT87" s="144"/>
      <c r="BU87" s="144"/>
      <c r="BV87" s="144"/>
      <c r="BW87" s="144"/>
      <c r="BX87" s="144"/>
      <c r="BY87" s="144"/>
      <c r="BZ87" s="144"/>
      <c r="CA87" s="144"/>
      <c r="CB87" s="144"/>
      <c r="CC87" s="144"/>
      <c r="CD87" s="144"/>
      <c r="CE87" s="144"/>
      <c r="CF87" s="144"/>
      <c r="CG87" s="144"/>
      <c r="CH87" s="144"/>
      <c r="CI87" s="144"/>
      <c r="CJ87" s="144"/>
      <c r="CK87" s="144"/>
      <c r="CL87" s="144"/>
      <c r="CM87" s="144"/>
      <c r="CN87" s="144"/>
      <c r="CO87" s="144"/>
      <c r="CP87" s="144"/>
      <c r="CQ87" s="144"/>
      <c r="CR87" s="144"/>
      <c r="CS87" s="144"/>
      <c r="CT87" s="144"/>
      <c r="CU87" s="144"/>
      <c r="CV87" s="144"/>
      <c r="CW87" s="144"/>
      <c r="CX87" s="144"/>
      <c r="CY87" s="144"/>
      <c r="CZ87" s="144"/>
      <c r="DA87" s="144"/>
      <c r="DB87" s="144"/>
      <c r="DC87" s="144"/>
      <c r="DD87" s="144"/>
      <c r="DE87" s="144"/>
      <c r="DF87" s="144"/>
      <c r="DG87" s="144"/>
      <c r="DH87" s="144"/>
      <c r="DI87" s="144"/>
      <c r="DJ87" s="144"/>
      <c r="DK87" s="144"/>
      <c r="DL87" s="144"/>
      <c r="DM87" s="144"/>
      <c r="DN87" s="144"/>
      <c r="DO87" s="144"/>
      <c r="DP87" s="144"/>
      <c r="DQ87" s="144"/>
      <c r="DR87" s="144"/>
      <c r="DS87" s="144"/>
    </row>
    <row r="88" hidden="1" ht="14.5">
      <c r="A88" s="325"/>
      <c r="B88" s="337" t="s">
        <v>1352</v>
      </c>
      <c r="C88" s="144">
        <f t="shared" ref="C88:AH88" si="304">+C49-C86</f>
        <v>0</v>
      </c>
      <c r="D88" s="144">
        <f t="shared" si="304"/>
        <v>0</v>
      </c>
      <c r="E88" s="144">
        <f t="shared" si="304"/>
        <v>0</v>
      </c>
      <c r="F88" s="144">
        <f t="shared" si="304"/>
        <v>0</v>
      </c>
      <c r="G88" s="144">
        <f t="shared" si="304"/>
        <v>0</v>
      </c>
      <c r="H88" s="144">
        <f t="shared" si="304"/>
        <v>0</v>
      </c>
      <c r="I88" s="144">
        <f t="shared" si="304"/>
        <v>0</v>
      </c>
      <c r="J88" s="144">
        <f t="shared" si="304"/>
        <v>0</v>
      </c>
      <c r="K88" s="144">
        <f t="shared" si="304"/>
        <v>0</v>
      </c>
      <c r="L88" s="144">
        <f t="shared" si="304"/>
        <v>0</v>
      </c>
      <c r="M88" s="144">
        <f t="shared" si="304"/>
        <v>0</v>
      </c>
      <c r="N88" s="144">
        <f t="shared" si="304"/>
        <v>0</v>
      </c>
      <c r="O88" s="144">
        <f t="shared" si="304"/>
        <v>0</v>
      </c>
      <c r="P88" s="144">
        <f t="shared" si="304"/>
        <v>0</v>
      </c>
      <c r="Q88" s="144">
        <f t="shared" si="304"/>
        <v>0</v>
      </c>
      <c r="R88" s="144">
        <f t="shared" si="304"/>
        <v>0</v>
      </c>
      <c r="S88" s="144">
        <f t="shared" si="304"/>
        <v>0</v>
      </c>
      <c r="T88" s="144">
        <f t="shared" si="304"/>
        <v>0</v>
      </c>
      <c r="U88" s="144">
        <f t="shared" si="304"/>
        <v>0</v>
      </c>
      <c r="V88" s="144">
        <f t="shared" si="304"/>
        <v>0</v>
      </c>
      <c r="W88" s="144">
        <f t="shared" si="304"/>
        <v>0</v>
      </c>
      <c r="X88" s="144">
        <f t="shared" si="304"/>
        <v>0</v>
      </c>
      <c r="Y88" s="144">
        <f t="shared" si="304"/>
        <v>0</v>
      </c>
      <c r="Z88" s="144">
        <f t="shared" si="304"/>
        <v>0</v>
      </c>
      <c r="AA88" s="144">
        <f t="shared" si="304"/>
        <v>0</v>
      </c>
      <c r="AB88" s="144">
        <f t="shared" si="304"/>
        <v>0</v>
      </c>
      <c r="AC88" s="144">
        <f t="shared" si="304"/>
        <v>0</v>
      </c>
      <c r="AD88" s="144">
        <f t="shared" si="304"/>
        <v>0</v>
      </c>
      <c r="AE88" s="144">
        <f t="shared" si="304"/>
        <v>0</v>
      </c>
      <c r="AF88" s="144">
        <f t="shared" si="304"/>
        <v>0</v>
      </c>
      <c r="AG88" s="144">
        <f t="shared" si="304"/>
        <v>0</v>
      </c>
      <c r="AH88" s="144">
        <f t="shared" si="304"/>
        <v>0</v>
      </c>
      <c r="AI88" s="144">
        <f t="shared" ref="AI88:BN88" si="305">+AI49-AI86</f>
        <v>0</v>
      </c>
      <c r="AJ88" s="144">
        <f t="shared" si="305"/>
        <v>0</v>
      </c>
      <c r="AK88" s="144">
        <f t="shared" si="305"/>
        <v>0</v>
      </c>
      <c r="AL88" s="144">
        <f t="shared" si="305"/>
        <v>0</v>
      </c>
      <c r="AM88" s="144">
        <f t="shared" si="305"/>
        <v>0</v>
      </c>
      <c r="AN88" s="144">
        <f t="shared" si="305"/>
        <v>0</v>
      </c>
      <c r="AO88" s="144">
        <f t="shared" si="305"/>
        <v>0</v>
      </c>
      <c r="AP88" s="144">
        <f t="shared" si="305"/>
        <v>0</v>
      </c>
      <c r="AQ88" s="144">
        <f t="shared" si="305"/>
        <v>0</v>
      </c>
      <c r="AR88" s="144">
        <f t="shared" si="305"/>
        <v>0</v>
      </c>
      <c r="AS88" s="144">
        <f t="shared" si="305"/>
        <v>0</v>
      </c>
      <c r="AT88" s="144">
        <f t="shared" si="305"/>
        <v>0</v>
      </c>
      <c r="AU88" s="144">
        <f t="shared" si="305"/>
        <v>0</v>
      </c>
      <c r="AV88" s="144">
        <f t="shared" si="305"/>
        <v>0</v>
      </c>
      <c r="AW88" s="144">
        <f t="shared" si="305"/>
        <v>0</v>
      </c>
      <c r="AX88" s="144">
        <f t="shared" si="305"/>
        <v>0</v>
      </c>
      <c r="AY88" s="144">
        <f t="shared" si="305"/>
        <v>0</v>
      </c>
      <c r="AZ88" s="144">
        <f t="shared" si="305"/>
        <v>0</v>
      </c>
      <c r="BA88" s="144">
        <f t="shared" si="305"/>
        <v>0</v>
      </c>
      <c r="BB88" s="144">
        <f t="shared" si="305"/>
        <v>0</v>
      </c>
      <c r="BC88" s="144">
        <f t="shared" si="305"/>
        <v>0</v>
      </c>
      <c r="BD88" s="144">
        <f t="shared" si="305"/>
        <v>0</v>
      </c>
      <c r="BE88" s="144">
        <f t="shared" si="305"/>
        <v>0</v>
      </c>
      <c r="BF88" s="144">
        <f t="shared" si="305"/>
        <v>0</v>
      </c>
      <c r="BG88" s="144">
        <f t="shared" si="305"/>
        <v>0</v>
      </c>
      <c r="BH88" s="144">
        <f t="shared" si="305"/>
        <v>0</v>
      </c>
      <c r="BI88" s="144">
        <f t="shared" si="305"/>
        <v>0</v>
      </c>
      <c r="BJ88" s="144">
        <f t="shared" si="305"/>
        <v>0</v>
      </c>
      <c r="BK88" s="144">
        <f t="shared" si="305"/>
        <v>0</v>
      </c>
      <c r="BL88" s="144">
        <f t="shared" si="305"/>
        <v>0</v>
      </c>
      <c r="BM88" s="144">
        <f t="shared" si="305"/>
        <v>0</v>
      </c>
      <c r="BN88" s="144">
        <f t="shared" si="305"/>
        <v>0</v>
      </c>
      <c r="BO88" s="144">
        <f t="shared" ref="BO88:CT88" si="306">+BO49-BO86</f>
        <v>0</v>
      </c>
      <c r="BP88" s="144">
        <f t="shared" si="306"/>
        <v>0</v>
      </c>
      <c r="BQ88" s="144">
        <f t="shared" si="306"/>
        <v>0</v>
      </c>
      <c r="BR88" s="144">
        <f t="shared" si="306"/>
        <v>0</v>
      </c>
      <c r="BS88" s="144">
        <f t="shared" si="306"/>
        <v>0</v>
      </c>
      <c r="BT88" s="144">
        <f t="shared" si="306"/>
        <v>0</v>
      </c>
      <c r="BU88" s="144">
        <f t="shared" si="306"/>
        <v>0</v>
      </c>
      <c r="BV88" s="144">
        <f t="shared" si="306"/>
        <v>0</v>
      </c>
      <c r="BW88" s="144">
        <f t="shared" si="306"/>
        <v>0</v>
      </c>
      <c r="BX88" s="144">
        <f t="shared" si="306"/>
        <v>0</v>
      </c>
      <c r="BY88" s="144">
        <f t="shared" si="306"/>
        <v>0</v>
      </c>
      <c r="BZ88" s="144">
        <f t="shared" si="306"/>
        <v>0</v>
      </c>
      <c r="CA88" s="144">
        <f t="shared" si="306"/>
        <v>0</v>
      </c>
      <c r="CB88" s="144">
        <f t="shared" si="306"/>
        <v>0</v>
      </c>
      <c r="CC88" s="144">
        <f t="shared" si="306"/>
        <v>0</v>
      </c>
      <c r="CD88" s="144">
        <f t="shared" si="306"/>
        <v>0</v>
      </c>
      <c r="CE88" s="144">
        <f t="shared" si="306"/>
        <v>0</v>
      </c>
      <c r="CF88" s="144">
        <f t="shared" si="306"/>
        <v>0</v>
      </c>
      <c r="CG88" s="144">
        <f t="shared" si="306"/>
        <v>0</v>
      </c>
      <c r="CH88" s="144">
        <f t="shared" si="306"/>
        <v>0</v>
      </c>
      <c r="CI88" s="144">
        <f t="shared" si="306"/>
        <v>0</v>
      </c>
      <c r="CJ88" s="144">
        <f t="shared" si="306"/>
        <v>0</v>
      </c>
      <c r="CK88" s="144">
        <f t="shared" si="306"/>
        <v>0</v>
      </c>
      <c r="CL88" s="144">
        <f t="shared" si="306"/>
        <v>0</v>
      </c>
      <c r="CM88" s="144">
        <f t="shared" si="306"/>
        <v>0</v>
      </c>
      <c r="CN88" s="144">
        <f t="shared" si="306"/>
        <v>0</v>
      </c>
      <c r="CO88" s="144">
        <f t="shared" si="306"/>
        <v>0</v>
      </c>
      <c r="CP88" s="144">
        <f t="shared" si="306"/>
        <v>0</v>
      </c>
      <c r="CQ88" s="144">
        <f t="shared" si="306"/>
        <v>0</v>
      </c>
      <c r="CR88" s="144">
        <f t="shared" si="306"/>
        <v>0</v>
      </c>
      <c r="CS88" s="144">
        <f t="shared" si="306"/>
        <v>0</v>
      </c>
      <c r="CT88" s="144">
        <f t="shared" si="306"/>
        <v>0</v>
      </c>
      <c r="CU88" s="144">
        <f t="shared" ref="CU88:DS88" si="307">+CU49-CU86</f>
        <v>0</v>
      </c>
      <c r="CV88" s="144">
        <f t="shared" si="307"/>
        <v>0</v>
      </c>
      <c r="CW88" s="144">
        <f t="shared" si="307"/>
        <v>0</v>
      </c>
      <c r="CX88" s="144">
        <f t="shared" si="307"/>
        <v>0</v>
      </c>
      <c r="CY88" s="144">
        <f t="shared" si="307"/>
        <v>0</v>
      </c>
      <c r="CZ88" s="144">
        <f t="shared" si="307"/>
        <v>0</v>
      </c>
      <c r="DA88" s="144">
        <f t="shared" si="307"/>
        <v>0</v>
      </c>
      <c r="DB88" s="144">
        <f t="shared" si="307"/>
        <v>0</v>
      </c>
      <c r="DC88" s="144">
        <f t="shared" si="307"/>
        <v>0</v>
      </c>
      <c r="DD88" s="144">
        <f t="shared" si="307"/>
        <v>0</v>
      </c>
      <c r="DE88" s="144">
        <f t="shared" si="307"/>
        <v>0</v>
      </c>
      <c r="DF88" s="144">
        <f t="shared" si="307"/>
        <v>0</v>
      </c>
      <c r="DG88" s="144">
        <f t="shared" si="307"/>
        <v>0</v>
      </c>
      <c r="DH88" s="144">
        <f t="shared" si="307"/>
        <v>0</v>
      </c>
      <c r="DI88" s="144">
        <f t="shared" si="307"/>
        <v>0</v>
      </c>
      <c r="DJ88" s="144">
        <f t="shared" si="307"/>
        <v>0</v>
      </c>
      <c r="DK88" s="144">
        <f t="shared" si="307"/>
        <v>0</v>
      </c>
      <c r="DL88" s="144">
        <f t="shared" si="307"/>
        <v>0</v>
      </c>
      <c r="DM88" s="144">
        <f t="shared" si="307"/>
        <v>0</v>
      </c>
      <c r="DN88" s="144">
        <f t="shared" si="307"/>
        <v>0</v>
      </c>
      <c r="DO88" s="144">
        <f t="shared" si="307"/>
        <v>0</v>
      </c>
      <c r="DP88" s="144">
        <f t="shared" si="307"/>
        <v>0</v>
      </c>
      <c r="DQ88" s="144">
        <f t="shared" si="307"/>
        <v>0</v>
      </c>
      <c r="DR88" s="144">
        <f t="shared" si="307"/>
        <v>0</v>
      </c>
      <c r="DS88" s="144">
        <f t="shared" si="307"/>
        <v>0</v>
      </c>
    </row>
    <row r="89" ht="14.5">
      <c r="A89" s="340" t="s">
        <v>1269</v>
      </c>
      <c r="B89" s="341">
        <f>SUM(C89:DS89)</f>
        <v>0</v>
      </c>
      <c r="C89" s="341">
        <f t="shared" ref="C89:AH89" si="308">+C49-C86</f>
        <v>0</v>
      </c>
      <c r="D89" s="341">
        <f t="shared" si="308"/>
        <v>0</v>
      </c>
      <c r="E89" s="341">
        <f t="shared" si="308"/>
        <v>0</v>
      </c>
      <c r="F89" s="341">
        <f t="shared" si="308"/>
        <v>0</v>
      </c>
      <c r="G89" s="341">
        <f t="shared" si="308"/>
        <v>0</v>
      </c>
      <c r="H89" s="341">
        <f t="shared" si="308"/>
        <v>0</v>
      </c>
      <c r="I89" s="341">
        <f t="shared" si="308"/>
        <v>0</v>
      </c>
      <c r="J89" s="341">
        <f t="shared" si="308"/>
        <v>0</v>
      </c>
      <c r="K89" s="341">
        <f t="shared" si="308"/>
        <v>0</v>
      </c>
      <c r="L89" s="341">
        <f t="shared" si="308"/>
        <v>0</v>
      </c>
      <c r="M89" s="341">
        <f t="shared" si="308"/>
        <v>0</v>
      </c>
      <c r="N89" s="341">
        <f t="shared" si="308"/>
        <v>0</v>
      </c>
      <c r="O89" s="341">
        <f t="shared" si="308"/>
        <v>0</v>
      </c>
      <c r="P89" s="341">
        <f t="shared" si="308"/>
        <v>0</v>
      </c>
      <c r="Q89" s="341">
        <f t="shared" si="308"/>
        <v>0</v>
      </c>
      <c r="R89" s="341">
        <f t="shared" si="308"/>
        <v>0</v>
      </c>
      <c r="S89" s="341">
        <f t="shared" si="308"/>
        <v>0</v>
      </c>
      <c r="T89" s="341">
        <f t="shared" si="308"/>
        <v>0</v>
      </c>
      <c r="U89" s="341">
        <f t="shared" si="308"/>
        <v>0</v>
      </c>
      <c r="V89" s="341">
        <f t="shared" si="308"/>
        <v>0</v>
      </c>
      <c r="W89" s="341">
        <f t="shared" si="308"/>
        <v>0</v>
      </c>
      <c r="X89" s="341">
        <f t="shared" si="308"/>
        <v>0</v>
      </c>
      <c r="Y89" s="341">
        <f t="shared" si="308"/>
        <v>0</v>
      </c>
      <c r="Z89" s="341">
        <f t="shared" si="308"/>
        <v>0</v>
      </c>
      <c r="AA89" s="341">
        <f t="shared" si="308"/>
        <v>0</v>
      </c>
      <c r="AB89" s="341">
        <f t="shared" si="308"/>
        <v>0</v>
      </c>
      <c r="AC89" s="341">
        <f t="shared" si="308"/>
        <v>0</v>
      </c>
      <c r="AD89" s="341">
        <f t="shared" si="308"/>
        <v>0</v>
      </c>
      <c r="AE89" s="341">
        <f t="shared" si="308"/>
        <v>0</v>
      </c>
      <c r="AF89" s="341">
        <f t="shared" si="308"/>
        <v>0</v>
      </c>
      <c r="AG89" s="341">
        <f t="shared" si="308"/>
        <v>0</v>
      </c>
      <c r="AH89" s="341">
        <f t="shared" si="308"/>
        <v>0</v>
      </c>
      <c r="AI89" s="341">
        <f t="shared" ref="AI89:BN89" si="309">+AI49-AI86</f>
        <v>0</v>
      </c>
      <c r="AJ89" s="341">
        <f t="shared" si="309"/>
        <v>0</v>
      </c>
      <c r="AK89" s="341">
        <f t="shared" si="309"/>
        <v>0</v>
      </c>
      <c r="AL89" s="341">
        <f t="shared" si="309"/>
        <v>0</v>
      </c>
      <c r="AM89" s="341">
        <f t="shared" si="309"/>
        <v>0</v>
      </c>
      <c r="AN89" s="341">
        <f t="shared" si="309"/>
        <v>0</v>
      </c>
      <c r="AO89" s="341">
        <f t="shared" si="309"/>
        <v>0</v>
      </c>
      <c r="AP89" s="341">
        <f t="shared" si="309"/>
        <v>0</v>
      </c>
      <c r="AQ89" s="341">
        <f t="shared" si="309"/>
        <v>0</v>
      </c>
      <c r="AR89" s="341">
        <f t="shared" si="309"/>
        <v>0</v>
      </c>
      <c r="AS89" s="341">
        <f t="shared" si="309"/>
        <v>0</v>
      </c>
      <c r="AT89" s="341">
        <f t="shared" si="309"/>
        <v>0</v>
      </c>
      <c r="AU89" s="341">
        <f t="shared" si="309"/>
        <v>0</v>
      </c>
      <c r="AV89" s="341">
        <f t="shared" si="309"/>
        <v>0</v>
      </c>
      <c r="AW89" s="341">
        <f t="shared" si="309"/>
        <v>0</v>
      </c>
      <c r="AX89" s="341">
        <f t="shared" si="309"/>
        <v>0</v>
      </c>
      <c r="AY89" s="341">
        <f t="shared" si="309"/>
        <v>0</v>
      </c>
      <c r="AZ89" s="341">
        <f t="shared" si="309"/>
        <v>0</v>
      </c>
      <c r="BA89" s="341">
        <f t="shared" si="309"/>
        <v>0</v>
      </c>
      <c r="BB89" s="341">
        <f t="shared" si="309"/>
        <v>0</v>
      </c>
      <c r="BC89" s="341">
        <f t="shared" si="309"/>
        <v>0</v>
      </c>
      <c r="BD89" s="341">
        <f t="shared" si="309"/>
        <v>0</v>
      </c>
      <c r="BE89" s="341">
        <f t="shared" si="309"/>
        <v>0</v>
      </c>
      <c r="BF89" s="341">
        <f t="shared" si="309"/>
        <v>0</v>
      </c>
      <c r="BG89" s="341">
        <f t="shared" si="309"/>
        <v>0</v>
      </c>
      <c r="BH89" s="341">
        <f t="shared" si="309"/>
        <v>0</v>
      </c>
      <c r="BI89" s="341">
        <f t="shared" si="309"/>
        <v>0</v>
      </c>
      <c r="BJ89" s="341">
        <f t="shared" si="309"/>
        <v>0</v>
      </c>
      <c r="BK89" s="341">
        <f t="shared" si="309"/>
        <v>0</v>
      </c>
      <c r="BL89" s="341">
        <f t="shared" si="309"/>
        <v>0</v>
      </c>
      <c r="BM89" s="341">
        <f t="shared" si="309"/>
        <v>0</v>
      </c>
      <c r="BN89" s="341">
        <f t="shared" si="309"/>
        <v>0</v>
      </c>
      <c r="BO89" s="341">
        <f t="shared" ref="BO89:CT89" si="310">+BO49-BO86</f>
        <v>0</v>
      </c>
      <c r="BP89" s="341">
        <f t="shared" si="310"/>
        <v>0</v>
      </c>
      <c r="BQ89" s="341">
        <f t="shared" si="310"/>
        <v>0</v>
      </c>
      <c r="BR89" s="341">
        <f t="shared" si="310"/>
        <v>0</v>
      </c>
      <c r="BS89" s="341">
        <f t="shared" si="310"/>
        <v>0</v>
      </c>
      <c r="BT89" s="341">
        <f t="shared" si="310"/>
        <v>0</v>
      </c>
      <c r="BU89" s="341">
        <f t="shared" si="310"/>
        <v>0</v>
      </c>
      <c r="BV89" s="341">
        <f t="shared" si="310"/>
        <v>0</v>
      </c>
      <c r="BW89" s="341">
        <f t="shared" si="310"/>
        <v>0</v>
      </c>
      <c r="BX89" s="341">
        <f t="shared" si="310"/>
        <v>0</v>
      </c>
      <c r="BY89" s="341">
        <f t="shared" si="310"/>
        <v>0</v>
      </c>
      <c r="BZ89" s="341">
        <f t="shared" si="310"/>
        <v>0</v>
      </c>
      <c r="CA89" s="341">
        <f t="shared" si="310"/>
        <v>0</v>
      </c>
      <c r="CB89" s="341">
        <f t="shared" si="310"/>
        <v>0</v>
      </c>
      <c r="CC89" s="341">
        <f t="shared" si="310"/>
        <v>0</v>
      </c>
      <c r="CD89" s="341">
        <f t="shared" si="310"/>
        <v>0</v>
      </c>
      <c r="CE89" s="341">
        <f t="shared" si="310"/>
        <v>0</v>
      </c>
      <c r="CF89" s="341">
        <f t="shared" si="310"/>
        <v>0</v>
      </c>
      <c r="CG89" s="341">
        <f t="shared" si="310"/>
        <v>0</v>
      </c>
      <c r="CH89" s="341">
        <f t="shared" si="310"/>
        <v>0</v>
      </c>
      <c r="CI89" s="341">
        <f t="shared" si="310"/>
        <v>0</v>
      </c>
      <c r="CJ89" s="341">
        <f t="shared" si="310"/>
        <v>0</v>
      </c>
      <c r="CK89" s="341">
        <f t="shared" si="310"/>
        <v>0</v>
      </c>
      <c r="CL89" s="341">
        <f t="shared" si="310"/>
        <v>0</v>
      </c>
      <c r="CM89" s="341">
        <f t="shared" si="310"/>
        <v>0</v>
      </c>
      <c r="CN89" s="341">
        <f t="shared" si="310"/>
        <v>0</v>
      </c>
      <c r="CO89" s="341">
        <f t="shared" si="310"/>
        <v>0</v>
      </c>
      <c r="CP89" s="341">
        <f t="shared" si="310"/>
        <v>0</v>
      </c>
      <c r="CQ89" s="341">
        <f t="shared" si="310"/>
        <v>0</v>
      </c>
      <c r="CR89" s="341">
        <f t="shared" si="310"/>
        <v>0</v>
      </c>
      <c r="CS89" s="341">
        <f t="shared" si="310"/>
        <v>0</v>
      </c>
      <c r="CT89" s="341">
        <f t="shared" si="310"/>
        <v>0</v>
      </c>
      <c r="CU89" s="341">
        <f t="shared" ref="CU89:DS89" si="311">+CU49-CU86</f>
        <v>0</v>
      </c>
      <c r="CV89" s="341">
        <f t="shared" si="311"/>
        <v>0</v>
      </c>
      <c r="CW89" s="341">
        <f t="shared" si="311"/>
        <v>0</v>
      </c>
      <c r="CX89" s="341">
        <f t="shared" si="311"/>
        <v>0</v>
      </c>
      <c r="CY89" s="341">
        <f t="shared" si="311"/>
        <v>0</v>
      </c>
      <c r="CZ89" s="341">
        <f t="shared" si="311"/>
        <v>0</v>
      </c>
      <c r="DA89" s="341">
        <f t="shared" si="311"/>
        <v>0</v>
      </c>
      <c r="DB89" s="341">
        <f t="shared" si="311"/>
        <v>0</v>
      </c>
      <c r="DC89" s="341">
        <f t="shared" si="311"/>
        <v>0</v>
      </c>
      <c r="DD89" s="341">
        <f t="shared" si="311"/>
        <v>0</v>
      </c>
      <c r="DE89" s="341">
        <f t="shared" si="311"/>
        <v>0</v>
      </c>
      <c r="DF89" s="341">
        <f t="shared" si="311"/>
        <v>0</v>
      </c>
      <c r="DG89" s="341">
        <f t="shared" si="311"/>
        <v>0</v>
      </c>
      <c r="DH89" s="341">
        <f t="shared" si="311"/>
        <v>0</v>
      </c>
      <c r="DI89" s="341">
        <f t="shared" si="311"/>
        <v>0</v>
      </c>
      <c r="DJ89" s="341">
        <f t="shared" si="311"/>
        <v>0</v>
      </c>
      <c r="DK89" s="341">
        <f t="shared" si="311"/>
        <v>0</v>
      </c>
      <c r="DL89" s="341">
        <f t="shared" si="311"/>
        <v>0</v>
      </c>
      <c r="DM89" s="341">
        <f t="shared" si="311"/>
        <v>0</v>
      </c>
      <c r="DN89" s="341">
        <f t="shared" si="311"/>
        <v>0</v>
      </c>
      <c r="DO89" s="341">
        <f t="shared" si="311"/>
        <v>0</v>
      </c>
      <c r="DP89" s="341">
        <f t="shared" si="311"/>
        <v>0</v>
      </c>
      <c r="DQ89" s="341">
        <f t="shared" si="311"/>
        <v>0</v>
      </c>
      <c r="DR89" s="341">
        <f t="shared" si="311"/>
        <v>0</v>
      </c>
      <c r="DS89" s="341">
        <f t="shared" si="311"/>
        <v>0</v>
      </c>
    </row>
  </sheetData>
  <hyperlinks>
    <hyperlink ref="A1" location="Input!A1" display="MENU"/>
  </hyperlinks>
  <pageSetup paperSize="9" orientation="portrait" horizontalDpi="300" verticalDpi="300"/>
</worksheet>
</file>

<file path=xl/worksheets/sheet36.xml><?xml version="1.0" encoding="utf-8"?>
<worksheet xmlns:r="http://schemas.openxmlformats.org/officeDocument/2006/relationships" xmlns="http://schemas.openxmlformats.org/spreadsheetml/2006/main">
  <sheetPr>
    <tabColor rgb="FF92D050"/>
  </sheetPr>
  <sheetViews>
    <sheetView showGridLines="0" workbookViewId="0">
      <selection activeCell="B1" sqref="B1"/>
    </sheetView>
  </sheetViews>
  <sheetFormatPr defaultColWidth="8.855469" defaultRowHeight="15" outlineLevelCol="1"/>
  <cols>
    <col min="2" max="2" width="11.85547" bestFit="1" customWidth="1"/>
    <col min="3" max="3" width="26.57031" bestFit="1" customWidth="1"/>
    <col min="4" max="4" width="14.42578" bestFit="1" customWidth="1"/>
    <col min="5" max="5" width="20.85547" bestFit="1" customWidth="1"/>
    <col min="6" max="6" width="8.570313" bestFit="1" customWidth="1"/>
    <col min="7" max="9" width="10.14063" bestFit="1" customWidth="1" outlineLevel="1"/>
    <col min="10" max="10" width="9.140625" bestFit="1" customWidth="1" outlineLevel="1"/>
    <col min="11" max="11" width="10.14063" bestFit="1" customWidth="1" outlineLevel="1"/>
    <col min="12" max="16" width="9.140625" bestFit="1" customWidth="1" outlineLevel="1"/>
    <col min="17" max="17" width="10.14063" bestFit="1" customWidth="1" outlineLevel="1"/>
    <col min="18" max="18" width="9.140625" bestFit="1" customWidth="1"/>
    <col min="19" max="19" width="10.14063" bestFit="1" customWidth="1" outlineLevel="1"/>
    <col min="20" max="22" width="9.140625" bestFit="1" customWidth="1" outlineLevel="1"/>
    <col min="23" max="23" width="10.14063" bestFit="1" customWidth="1" outlineLevel="1"/>
    <col min="24" max="28" width="9.140625" bestFit="1" customWidth="1" outlineLevel="1"/>
    <col min="29" max="29" width="10.14063" bestFit="1" customWidth="1" outlineLevel="1"/>
    <col min="30" max="30" width="9.140625" bestFit="1" customWidth="1"/>
    <col min="31" max="31" width="10.14063" bestFit="1" customWidth="1" outlineLevel="1"/>
    <col min="32" max="34" width="9.140625" bestFit="1" customWidth="1" outlineLevel="1"/>
    <col min="35" max="35" width="10.14063" bestFit="1" customWidth="1" outlineLevel="1"/>
    <col min="36" max="40" width="9.140625" bestFit="1" customWidth="1" outlineLevel="1"/>
    <col min="41" max="41" width="10.14063" bestFit="1" customWidth="1" outlineLevel="1"/>
    <col min="42" max="42" width="9.140625" bestFit="1" customWidth="1"/>
    <col min="43" max="43" width="10.14063" bestFit="1" customWidth="1" outlineLevel="1"/>
    <col min="44" max="46" width="9.140625" bestFit="1" customWidth="1" outlineLevel="1"/>
    <col min="47" max="47" width="10.14063" bestFit="1" customWidth="1" outlineLevel="1"/>
    <col min="48" max="52" width="9.140625" bestFit="1" customWidth="1" outlineLevel="1"/>
    <col min="53" max="53" width="10.14063" bestFit="1" customWidth="1" outlineLevel="1"/>
    <col min="54" max="54" width="9.140625" bestFit="1" customWidth="1"/>
    <col min="55" max="55" width="10.14063" bestFit="1" customWidth="1" outlineLevel="1"/>
    <col min="56" max="58" width="9.140625" bestFit="1" customWidth="1" outlineLevel="1"/>
    <col min="59" max="59" width="10.14063" bestFit="1" customWidth="1" outlineLevel="1"/>
    <col min="60" max="64" width="9.140625" bestFit="1" customWidth="1" outlineLevel="1"/>
    <col min="65" max="65" width="10.14063" bestFit="1" customWidth="1" outlineLevel="1"/>
    <col min="66" max="66" width="9.140625" bestFit="1" customWidth="1"/>
    <col min="67" max="67" width="10.14063" bestFit="1" customWidth="1" outlineLevel="1"/>
    <col min="68" max="70" width="9.140625" bestFit="1" customWidth="1" outlineLevel="1"/>
    <col min="71" max="71" width="10.14063" bestFit="1" customWidth="1" outlineLevel="1"/>
    <col min="72" max="76" width="9.140625" bestFit="1" customWidth="1" outlineLevel="1"/>
    <col min="77" max="77" width="10.14063" bestFit="1" customWidth="1" outlineLevel="1"/>
    <col min="78" max="78" width="9.140625" bestFit="1" customWidth="1"/>
    <col min="79" max="79" width="10.14063" bestFit="1" customWidth="1" outlineLevel="1"/>
    <col min="80" max="82" width="9.140625" bestFit="1" customWidth="1" outlineLevel="1"/>
    <col min="83" max="83" width="10.14063" bestFit="1" customWidth="1" outlineLevel="1"/>
    <col min="84" max="88" width="9.140625" bestFit="1" customWidth="1" outlineLevel="1"/>
    <col min="89" max="89" width="10.14063" bestFit="1" customWidth="1" outlineLevel="1"/>
    <col min="90" max="90" width="9.140625" bestFit="1" customWidth="1"/>
    <col min="91" max="91" width="10.14063" bestFit="1" customWidth="1" outlineLevel="1"/>
    <col min="92" max="94" width="9.140625" bestFit="1" customWidth="1" outlineLevel="1"/>
    <col min="95" max="95" width="10.14063" bestFit="1" customWidth="1" outlineLevel="1"/>
    <col min="96" max="100" width="9.140625" bestFit="1" customWidth="1" outlineLevel="1"/>
    <col min="101" max="101" width="10.14063" bestFit="1" customWidth="1" outlineLevel="1"/>
    <col min="102" max="102" width="9.140625" bestFit="1" customWidth="1"/>
    <col min="103" max="103" width="12.42578" bestFit="1" customWidth="1" outlineLevel="1"/>
    <col min="104" max="106" width="11.42578" bestFit="1" customWidth="1" outlineLevel="1"/>
    <col min="107" max="107" width="12.42578" bestFit="1" customWidth="1" outlineLevel="1"/>
    <col min="108" max="112" width="11.42578" bestFit="1" customWidth="1" outlineLevel="1"/>
    <col min="113" max="113" width="12.42578" bestFit="1" customWidth="1" outlineLevel="1"/>
    <col min="114" max="114" width="11.42578" bestFit="1" customWidth="1"/>
    <col min="115" max="115" width="12.42578" bestFit="1" customWidth="1" outlineLevel="1"/>
    <col min="116" max="118" width="11.42578" bestFit="1" customWidth="1" outlineLevel="1"/>
    <col min="119" max="119" width="12.42578" bestFit="1" customWidth="1" outlineLevel="1"/>
    <col min="120" max="124" width="11.42578" bestFit="1" customWidth="1" outlineLevel="1"/>
    <col min="125" max="125" width="12.42578" bestFit="1" customWidth="1" outlineLevel="1"/>
    <col min="126" max="126" width="11.42578" bestFit="1" customWidth="1"/>
  </cols>
  <sheetData>
    <row r="1" ht="28.5" customHeight="1">
      <c r="B1" s="155" t="s">
        <v>38</v>
      </c>
    </row>
    <row r="4" ht="21">
      <c r="B4" s="298" t="s">
        <v>1353</v>
      </c>
      <c r="F4" s="342" t="str">
        <f>+'Banca-mese'!B2</f>
        <v>anno</v>
      </c>
      <c r="G4" s="343">
        <f>+'Banca-mese'!C2</f>
        <v>2025</v>
      </c>
      <c r="H4" s="343">
        <f>+'Banca-mese'!D2</f>
        <v>2025</v>
      </c>
      <c r="I4" s="343">
        <f>+'Banca-mese'!E2</f>
        <v>2025</v>
      </c>
      <c r="J4" s="343">
        <f>+'Banca-mese'!F2</f>
        <v>2026</v>
      </c>
      <c r="K4" s="343">
        <f>+'Banca-mese'!G2</f>
        <v>2026</v>
      </c>
      <c r="L4" s="343">
        <f>+'Banca-mese'!H2</f>
        <v>2026</v>
      </c>
      <c r="M4" s="343">
        <f>+'Banca-mese'!I2</f>
        <v>2026</v>
      </c>
      <c r="N4" s="343">
        <f>+'Banca-mese'!J2</f>
        <v>2026</v>
      </c>
      <c r="O4" s="343">
        <f>+'Banca-mese'!K2</f>
        <v>2026</v>
      </c>
      <c r="P4" s="343">
        <f>+'Banca-mese'!L2</f>
        <v>2026</v>
      </c>
      <c r="Q4" s="343">
        <f>+'Banca-mese'!M2</f>
        <v>2026</v>
      </c>
      <c r="R4" s="343">
        <f>+'Banca-mese'!N2</f>
        <v>2026</v>
      </c>
      <c r="S4" s="343">
        <f>+'Banca-mese'!O2</f>
        <v>2026</v>
      </c>
      <c r="T4" s="343">
        <f>+'Banca-mese'!P2</f>
        <v>2026</v>
      </c>
      <c r="U4" s="343">
        <f>+'Banca-mese'!Q2</f>
        <v>2026</v>
      </c>
      <c r="V4" s="343">
        <f>+'Banca-mese'!R2</f>
        <v>2027</v>
      </c>
      <c r="W4" s="343">
        <f>+'Banca-mese'!S2</f>
        <v>2027</v>
      </c>
      <c r="X4" s="343">
        <f>+'Banca-mese'!T2</f>
        <v>2027</v>
      </c>
      <c r="Y4" s="343">
        <f>+'Banca-mese'!U2</f>
        <v>2027</v>
      </c>
      <c r="Z4" s="343">
        <f>+'Banca-mese'!V2</f>
        <v>2027</v>
      </c>
      <c r="AA4" s="343">
        <f>+'Banca-mese'!W2</f>
        <v>2027</v>
      </c>
      <c r="AB4" s="343">
        <f>+'Banca-mese'!X2</f>
        <v>2027</v>
      </c>
      <c r="AC4" s="343">
        <f>+'Banca-mese'!Y2</f>
        <v>2027</v>
      </c>
      <c r="AD4" s="343">
        <f>+'Banca-mese'!Z2</f>
        <v>2027</v>
      </c>
      <c r="AE4" s="343">
        <f>+'Banca-mese'!AA2</f>
        <v>2027</v>
      </c>
      <c r="AF4" s="343">
        <f>+'Banca-mese'!AB2</f>
        <v>2027</v>
      </c>
      <c r="AG4" s="343">
        <f>+'Banca-mese'!AC2</f>
        <v>2027</v>
      </c>
      <c r="AH4" s="343">
        <f>+'Banca-mese'!AD2</f>
        <v>2028</v>
      </c>
      <c r="AI4" s="343">
        <f>+'Banca-mese'!AE2</f>
        <v>2028</v>
      </c>
      <c r="AJ4" s="343">
        <f>+'Banca-mese'!AF2</f>
        <v>2028</v>
      </c>
      <c r="AK4" s="343">
        <f>+'Banca-mese'!AG2</f>
        <v>2028</v>
      </c>
      <c r="AL4" s="343">
        <f>+'Banca-mese'!AH2</f>
        <v>2028</v>
      </c>
      <c r="AM4" s="343">
        <f>+'Banca-mese'!AI2</f>
        <v>2028</v>
      </c>
      <c r="AN4" s="343">
        <f>+'Banca-mese'!AJ2</f>
        <v>2028</v>
      </c>
      <c r="AO4" s="343">
        <f>+'Banca-mese'!AK2</f>
        <v>2028</v>
      </c>
      <c r="AP4" s="343">
        <f>+'Banca-mese'!AL2</f>
        <v>2028</v>
      </c>
      <c r="AQ4" s="343">
        <f>+'Banca-mese'!AM2</f>
        <v>2028</v>
      </c>
      <c r="AR4" s="343">
        <f>+'Banca-mese'!AN2</f>
        <v>2028</v>
      </c>
      <c r="AS4" s="343">
        <f>+'Banca-mese'!AO2</f>
        <v>2028</v>
      </c>
      <c r="AT4" s="343">
        <f>+'Banca-mese'!AP2</f>
        <v>2029</v>
      </c>
      <c r="AU4" s="343">
        <f>+'Banca-mese'!AQ2</f>
        <v>2029</v>
      </c>
      <c r="AV4" s="343">
        <f>+'Banca-mese'!AR2</f>
        <v>2029</v>
      </c>
      <c r="AW4" s="343">
        <f>+'Banca-mese'!AS2</f>
        <v>2029</v>
      </c>
      <c r="AX4" s="343">
        <f>+'Banca-mese'!AT2</f>
        <v>2029</v>
      </c>
      <c r="AY4" s="343">
        <f>+'Banca-mese'!AU2</f>
        <v>2029</v>
      </c>
      <c r="AZ4" s="343">
        <f>+'Banca-mese'!AV2</f>
        <v>2029</v>
      </c>
      <c r="BA4" s="343">
        <f>+'Banca-mese'!AW2</f>
        <v>2029</v>
      </c>
      <c r="BB4" s="343">
        <f>+'Banca-mese'!AX2</f>
        <v>2029</v>
      </c>
      <c r="BC4" s="343">
        <f>+'Banca-mese'!AY2</f>
        <v>2029</v>
      </c>
      <c r="BD4" s="343">
        <f>+'Banca-mese'!AZ2</f>
        <v>2029</v>
      </c>
      <c r="BE4" s="343">
        <f>+'Banca-mese'!BA2</f>
        <v>2029</v>
      </c>
      <c r="BF4" s="343">
        <f>+'Banca-mese'!BB2</f>
        <v>2030</v>
      </c>
      <c r="BG4" s="343">
        <f>+'Banca-mese'!BC2</f>
        <v>2030</v>
      </c>
      <c r="BH4" s="343">
        <f>+'Banca-mese'!BD2</f>
        <v>2030</v>
      </c>
      <c r="BI4" s="343">
        <f>+'Banca-mese'!BE2</f>
        <v>2030</v>
      </c>
      <c r="BJ4" s="343">
        <f>+'Banca-mese'!BF2</f>
        <v>2030</v>
      </c>
      <c r="BK4" s="343">
        <f>+'Banca-mese'!BG2</f>
        <v>2030</v>
      </c>
      <c r="BL4" s="343">
        <f>+'Banca-mese'!BH2</f>
        <v>2030</v>
      </c>
      <c r="BM4" s="343">
        <f>+'Banca-mese'!BI2</f>
        <v>2030</v>
      </c>
      <c r="BN4" s="343">
        <f>+'Banca-mese'!BJ2</f>
        <v>2030</v>
      </c>
      <c r="BO4" s="343">
        <f>+'Banca-mese'!BK2</f>
        <v>2030</v>
      </c>
      <c r="BP4" s="343">
        <f>+'Banca-mese'!BL2</f>
        <v>2030</v>
      </c>
      <c r="BQ4" s="343">
        <f>+'Banca-mese'!BM2</f>
        <v>2030</v>
      </c>
      <c r="BR4" s="343">
        <f>+'Banca-mese'!BN2</f>
        <v>2031</v>
      </c>
      <c r="BS4" s="343">
        <f>+'Banca-mese'!BO2</f>
        <v>2031</v>
      </c>
      <c r="BT4" s="343">
        <f>+'Banca-mese'!BP2</f>
        <v>2031</v>
      </c>
      <c r="BU4" s="343">
        <f>+'Banca-mese'!BQ2</f>
        <v>2031</v>
      </c>
      <c r="BV4" s="343">
        <f>+'Banca-mese'!BR2</f>
        <v>2031</v>
      </c>
      <c r="BW4" s="343">
        <f>+'Banca-mese'!BS2</f>
        <v>2031</v>
      </c>
      <c r="BX4" s="343">
        <f>+'Banca-mese'!BT2</f>
        <v>2031</v>
      </c>
      <c r="BY4" s="343">
        <f>+'Banca-mese'!BU2</f>
        <v>2031</v>
      </c>
      <c r="BZ4" s="343">
        <f>+'Banca-mese'!BV2</f>
        <v>2031</v>
      </c>
      <c r="CA4" s="343">
        <f>+'Banca-mese'!BW2</f>
        <v>2031</v>
      </c>
      <c r="CB4" s="343">
        <f>+'Banca-mese'!BX2</f>
        <v>2031</v>
      </c>
      <c r="CC4" s="343">
        <f>+'Banca-mese'!BY2</f>
        <v>2031</v>
      </c>
      <c r="CD4" s="343">
        <f>+'Banca-mese'!BZ2</f>
        <v>2032</v>
      </c>
      <c r="CE4" s="343">
        <f>+'Banca-mese'!CA2</f>
        <v>2032</v>
      </c>
      <c r="CF4" s="343">
        <f>+'Banca-mese'!CB2</f>
        <v>2032</v>
      </c>
      <c r="CG4" s="343">
        <f>+'Banca-mese'!CC2</f>
        <v>2032</v>
      </c>
      <c r="CH4" s="343">
        <f>+'Banca-mese'!CD2</f>
        <v>2032</v>
      </c>
      <c r="CI4" s="343">
        <f>+'Banca-mese'!CE2</f>
        <v>2032</v>
      </c>
      <c r="CJ4" s="343">
        <f>+'Banca-mese'!CF2</f>
        <v>2032</v>
      </c>
      <c r="CK4" s="343">
        <f>+'Banca-mese'!CG2</f>
        <v>2032</v>
      </c>
      <c r="CL4" s="343">
        <f>+'Banca-mese'!CH2</f>
        <v>2032</v>
      </c>
      <c r="CM4" s="343">
        <f>+'Banca-mese'!CI2</f>
        <v>2032</v>
      </c>
      <c r="CN4" s="343">
        <f>+'Banca-mese'!CJ2</f>
        <v>2032</v>
      </c>
      <c r="CO4" s="343">
        <f>+'Banca-mese'!CK2</f>
        <v>2032</v>
      </c>
      <c r="CP4" s="343">
        <f>+'Banca-mese'!CL2</f>
        <v>2033</v>
      </c>
      <c r="CQ4" s="343">
        <f>+'Banca-mese'!CM2</f>
        <v>2033</v>
      </c>
      <c r="CR4" s="343">
        <f>+'Banca-mese'!CN2</f>
        <v>2033</v>
      </c>
      <c r="CS4" s="343">
        <f>+'Banca-mese'!CO2</f>
        <v>2033</v>
      </c>
      <c r="CT4" s="343">
        <f>+'Banca-mese'!CP2</f>
        <v>2033</v>
      </c>
      <c r="CU4" s="343">
        <f>+'Banca-mese'!CQ2</f>
        <v>2033</v>
      </c>
      <c r="CV4" s="343">
        <f>+'Banca-mese'!CR2</f>
        <v>2033</v>
      </c>
      <c r="CW4" s="343">
        <f>+'Banca-mese'!CS2</f>
        <v>2033</v>
      </c>
      <c r="CX4" s="343">
        <f>+'Banca-mese'!CT2</f>
        <v>2033</v>
      </c>
      <c r="CY4" s="343">
        <f>+'Banca-mese'!CU2</f>
        <v>2033</v>
      </c>
      <c r="CZ4" s="343">
        <f>+'Banca-mese'!CV2</f>
        <v>2033</v>
      </c>
      <c r="DA4" s="343">
        <f>+'Banca-mese'!CW2</f>
        <v>2033</v>
      </c>
      <c r="DB4" s="343">
        <f>+'Banca-mese'!CX2</f>
        <v>2034</v>
      </c>
      <c r="DC4" s="343">
        <f>+'Banca-mese'!CY2</f>
        <v>2034</v>
      </c>
      <c r="DD4" s="343">
        <f>+'Banca-mese'!CZ2</f>
        <v>2034</v>
      </c>
      <c r="DE4" s="343">
        <f>+'Banca-mese'!DA2</f>
        <v>2034</v>
      </c>
      <c r="DF4" s="343">
        <f>+'Banca-mese'!DB2</f>
        <v>2034</v>
      </c>
      <c r="DG4" s="343">
        <f>+'Banca-mese'!DC2</f>
        <v>2034</v>
      </c>
      <c r="DH4" s="343">
        <f>+'Banca-mese'!DD2</f>
        <v>2034</v>
      </c>
      <c r="DI4" s="343">
        <f>+'Banca-mese'!DE2</f>
        <v>2034</v>
      </c>
      <c r="DJ4" s="343">
        <f>+'Banca-mese'!DF2</f>
        <v>2034</v>
      </c>
      <c r="DK4" s="343">
        <f>+'Banca-mese'!DG2</f>
        <v>2034</v>
      </c>
      <c r="DL4" s="343">
        <f>+'Banca-mese'!DH2</f>
        <v>2034</v>
      </c>
      <c r="DM4" s="343">
        <f>+'Banca-mese'!DI2</f>
        <v>2034</v>
      </c>
      <c r="DN4" s="343">
        <f>+'Banca-mese'!DJ2</f>
        <v>2035</v>
      </c>
      <c r="DO4" s="343">
        <f>+'Banca-mese'!DK2</f>
        <v>2035</v>
      </c>
      <c r="DP4" s="343">
        <f>+'Banca-mese'!DL2</f>
        <v>2035</v>
      </c>
      <c r="DQ4" s="343">
        <f>+'Banca-mese'!DM2</f>
        <v>2035</v>
      </c>
      <c r="DR4" s="343">
        <f>+'Banca-mese'!DN2</f>
        <v>2035</v>
      </c>
      <c r="DS4" s="343">
        <f>+'Banca-mese'!DO2</f>
        <v>2035</v>
      </c>
      <c r="DT4" s="343">
        <f>+'Banca-mese'!DP2</f>
        <v>2035</v>
      </c>
      <c r="DU4" s="343">
        <f>+'Banca-mese'!DQ2</f>
        <v>2035</v>
      </c>
      <c r="DV4" s="343">
        <f>+'Banca-mese'!DR2</f>
        <v>2035</v>
      </c>
    </row>
    <row r="5" ht="21">
      <c r="C5" s="298"/>
      <c r="D5" s="298"/>
      <c r="E5" s="298"/>
      <c r="F5" s="342" t="str">
        <f>+'Banca-mese'!B3</f>
        <v>mese</v>
      </c>
      <c r="G5" s="343">
        <f>+'Banca-mese'!C3</f>
        <v>10</v>
      </c>
      <c r="H5" s="343">
        <f>+'Banca-mese'!D3</f>
        <v>11</v>
      </c>
      <c r="I5" s="343">
        <f>+'Banca-mese'!E3</f>
        <v>12</v>
      </c>
      <c r="J5" s="343">
        <f>+'Banca-mese'!F3</f>
        <v>1</v>
      </c>
      <c r="K5" s="343">
        <f>+'Banca-mese'!G3</f>
        <v>2</v>
      </c>
      <c r="L5" s="343">
        <f>+'Banca-mese'!H3</f>
        <v>3</v>
      </c>
      <c r="M5" s="343">
        <f>+'Banca-mese'!I3</f>
        <v>4</v>
      </c>
      <c r="N5" s="343">
        <f>+'Banca-mese'!J3</f>
        <v>5</v>
      </c>
      <c r="O5" s="343">
        <f>+'Banca-mese'!K3</f>
        <v>6</v>
      </c>
      <c r="P5" s="343">
        <f>+'Banca-mese'!L3</f>
        <v>7</v>
      </c>
      <c r="Q5" s="343">
        <f>+'Banca-mese'!M3</f>
        <v>8</v>
      </c>
      <c r="R5" s="343">
        <f>+'Banca-mese'!N3</f>
        <v>9</v>
      </c>
      <c r="S5" s="343">
        <f>+'Banca-mese'!O3</f>
        <v>10</v>
      </c>
      <c r="T5" s="343">
        <f>+'Banca-mese'!P3</f>
        <v>11</v>
      </c>
      <c r="U5" s="343">
        <f>+'Banca-mese'!Q3</f>
        <v>12</v>
      </c>
      <c r="V5" s="343">
        <f>+'Banca-mese'!R3</f>
        <v>1</v>
      </c>
      <c r="W5" s="343">
        <f>+'Banca-mese'!S3</f>
        <v>2</v>
      </c>
      <c r="X5" s="343">
        <f>+'Banca-mese'!T3</f>
        <v>3</v>
      </c>
      <c r="Y5" s="343">
        <f>+'Banca-mese'!U3</f>
        <v>4</v>
      </c>
      <c r="Z5" s="343">
        <f>+'Banca-mese'!V3</f>
        <v>5</v>
      </c>
      <c r="AA5" s="343">
        <f>+'Banca-mese'!W3</f>
        <v>6</v>
      </c>
      <c r="AB5" s="343">
        <f>+'Banca-mese'!X3</f>
        <v>7</v>
      </c>
      <c r="AC5" s="343">
        <f>+'Banca-mese'!Y3</f>
        <v>8</v>
      </c>
      <c r="AD5" s="343">
        <f>+'Banca-mese'!Z3</f>
        <v>9</v>
      </c>
      <c r="AE5" s="343">
        <f>+'Banca-mese'!AA3</f>
        <v>10</v>
      </c>
      <c r="AF5" s="343">
        <f>+'Banca-mese'!AB3</f>
        <v>11</v>
      </c>
      <c r="AG5" s="343">
        <f>+'Banca-mese'!AC3</f>
        <v>12</v>
      </c>
      <c r="AH5" s="343">
        <f>+'Banca-mese'!AD3</f>
        <v>1</v>
      </c>
      <c r="AI5" s="343">
        <f>+'Banca-mese'!AE3</f>
        <v>2</v>
      </c>
      <c r="AJ5" s="343">
        <f>+'Banca-mese'!AF3</f>
        <v>3</v>
      </c>
      <c r="AK5" s="343">
        <f>+'Banca-mese'!AG3</f>
        <v>4</v>
      </c>
      <c r="AL5" s="343">
        <f>+'Banca-mese'!AH3</f>
        <v>5</v>
      </c>
      <c r="AM5" s="343">
        <f>+'Banca-mese'!AI3</f>
        <v>6</v>
      </c>
      <c r="AN5" s="343">
        <f>+'Banca-mese'!AJ3</f>
        <v>7</v>
      </c>
      <c r="AO5" s="343">
        <f>+'Banca-mese'!AK3</f>
        <v>8</v>
      </c>
      <c r="AP5" s="343">
        <f>+'Banca-mese'!AL3</f>
        <v>9</v>
      </c>
      <c r="AQ5" s="343">
        <f>+'Banca-mese'!AM3</f>
        <v>10</v>
      </c>
      <c r="AR5" s="343">
        <f>+'Banca-mese'!AN3</f>
        <v>11</v>
      </c>
      <c r="AS5" s="343">
        <f>+'Banca-mese'!AO3</f>
        <v>12</v>
      </c>
      <c r="AT5" s="343">
        <f>+'Banca-mese'!AP3</f>
        <v>1</v>
      </c>
      <c r="AU5" s="343">
        <f>+'Banca-mese'!AQ3</f>
        <v>2</v>
      </c>
      <c r="AV5" s="343">
        <f>+'Banca-mese'!AR3</f>
        <v>3</v>
      </c>
      <c r="AW5" s="343">
        <f>+'Banca-mese'!AS3</f>
        <v>4</v>
      </c>
      <c r="AX5" s="343">
        <f>+'Banca-mese'!AT3</f>
        <v>5</v>
      </c>
      <c r="AY5" s="343">
        <f>+'Banca-mese'!AU3</f>
        <v>6</v>
      </c>
      <c r="AZ5" s="343">
        <f>+'Banca-mese'!AV3</f>
        <v>7</v>
      </c>
      <c r="BA5" s="343">
        <f>+'Banca-mese'!AW3</f>
        <v>8</v>
      </c>
      <c r="BB5" s="343">
        <f>+'Banca-mese'!AX3</f>
        <v>9</v>
      </c>
      <c r="BC5" s="343">
        <f>+'Banca-mese'!AY3</f>
        <v>10</v>
      </c>
      <c r="BD5" s="343">
        <f>+'Banca-mese'!AZ3</f>
        <v>11</v>
      </c>
      <c r="BE5" s="343">
        <f>+'Banca-mese'!BA3</f>
        <v>12</v>
      </c>
      <c r="BF5" s="343">
        <f>+'Banca-mese'!BB3</f>
        <v>1</v>
      </c>
      <c r="BG5" s="343">
        <f>+'Banca-mese'!BC3</f>
        <v>2</v>
      </c>
      <c r="BH5" s="343">
        <f>+'Banca-mese'!BD3</f>
        <v>3</v>
      </c>
      <c r="BI5" s="343">
        <f>+'Banca-mese'!BE3</f>
        <v>4</v>
      </c>
      <c r="BJ5" s="343">
        <f>+'Banca-mese'!BF3</f>
        <v>5</v>
      </c>
      <c r="BK5" s="343">
        <f>+'Banca-mese'!BG3</f>
        <v>6</v>
      </c>
      <c r="BL5" s="343">
        <f>+'Banca-mese'!BH3</f>
        <v>7</v>
      </c>
      <c r="BM5" s="343">
        <f>+'Banca-mese'!BI3</f>
        <v>8</v>
      </c>
      <c r="BN5" s="343">
        <f>+'Banca-mese'!BJ3</f>
        <v>9</v>
      </c>
      <c r="BO5" s="343">
        <f>+'Banca-mese'!BK3</f>
        <v>10</v>
      </c>
      <c r="BP5" s="343">
        <f>+'Banca-mese'!BL3</f>
        <v>11</v>
      </c>
      <c r="BQ5" s="343">
        <f>+'Banca-mese'!BM3</f>
        <v>12</v>
      </c>
      <c r="BR5" s="343">
        <f>+'Banca-mese'!BN3</f>
        <v>1</v>
      </c>
      <c r="BS5" s="343">
        <f>+'Banca-mese'!BO3</f>
        <v>2</v>
      </c>
      <c r="BT5" s="343">
        <f>+'Banca-mese'!BP3</f>
        <v>3</v>
      </c>
      <c r="BU5" s="343">
        <f>+'Banca-mese'!BQ3</f>
        <v>4</v>
      </c>
      <c r="BV5" s="343">
        <f>+'Banca-mese'!BR3</f>
        <v>5</v>
      </c>
      <c r="BW5" s="343">
        <f>+'Banca-mese'!BS3</f>
        <v>6</v>
      </c>
      <c r="BX5" s="343">
        <f>+'Banca-mese'!BT3</f>
        <v>7</v>
      </c>
      <c r="BY5" s="343">
        <f>+'Banca-mese'!BU3</f>
        <v>8</v>
      </c>
      <c r="BZ5" s="343">
        <f>+'Banca-mese'!BV3</f>
        <v>9</v>
      </c>
      <c r="CA5" s="343">
        <f>+'Banca-mese'!BW3</f>
        <v>10</v>
      </c>
      <c r="CB5" s="343">
        <f>+'Banca-mese'!BX3</f>
        <v>11</v>
      </c>
      <c r="CC5" s="343">
        <f>+'Banca-mese'!BY3</f>
        <v>12</v>
      </c>
      <c r="CD5" s="343">
        <f>+'Banca-mese'!BZ3</f>
        <v>1</v>
      </c>
      <c r="CE5" s="343">
        <f>+'Banca-mese'!CA3</f>
        <v>2</v>
      </c>
      <c r="CF5" s="343">
        <f>+'Banca-mese'!CB3</f>
        <v>3</v>
      </c>
      <c r="CG5" s="343">
        <f>+'Banca-mese'!CC3</f>
        <v>4</v>
      </c>
      <c r="CH5" s="343">
        <f>+'Banca-mese'!CD3</f>
        <v>5</v>
      </c>
      <c r="CI5" s="343">
        <f>+'Banca-mese'!CE3</f>
        <v>6</v>
      </c>
      <c r="CJ5" s="343">
        <f>+'Banca-mese'!CF3</f>
        <v>7</v>
      </c>
      <c r="CK5" s="343">
        <f>+'Banca-mese'!CG3</f>
        <v>8</v>
      </c>
      <c r="CL5" s="343">
        <f>+'Banca-mese'!CH3</f>
        <v>9</v>
      </c>
      <c r="CM5" s="343">
        <f>+'Banca-mese'!CI3</f>
        <v>10</v>
      </c>
      <c r="CN5" s="343">
        <f>+'Banca-mese'!CJ3</f>
        <v>11</v>
      </c>
      <c r="CO5" s="343">
        <f>+'Banca-mese'!CK3</f>
        <v>12</v>
      </c>
      <c r="CP5" s="343">
        <f>+'Banca-mese'!CL3</f>
        <v>1</v>
      </c>
      <c r="CQ5" s="343">
        <f>+'Banca-mese'!CM3</f>
        <v>2</v>
      </c>
      <c r="CR5" s="343">
        <f>+'Banca-mese'!CN3</f>
        <v>3</v>
      </c>
      <c r="CS5" s="343">
        <f>+'Banca-mese'!CO3</f>
        <v>4</v>
      </c>
      <c r="CT5" s="343">
        <f>+'Banca-mese'!CP3</f>
        <v>5</v>
      </c>
      <c r="CU5" s="343">
        <f>+'Banca-mese'!CQ3</f>
        <v>6</v>
      </c>
      <c r="CV5" s="343">
        <f>+'Banca-mese'!CR3</f>
        <v>7</v>
      </c>
      <c r="CW5" s="343">
        <f>+'Banca-mese'!CS3</f>
        <v>8</v>
      </c>
      <c r="CX5" s="343">
        <f>+'Banca-mese'!CT3</f>
        <v>9</v>
      </c>
      <c r="CY5" s="343">
        <f>+'Banca-mese'!CU3</f>
        <v>10</v>
      </c>
      <c r="CZ5" s="343">
        <f>+'Banca-mese'!CV3</f>
        <v>11</v>
      </c>
      <c r="DA5" s="343">
        <f>+'Banca-mese'!CW3</f>
        <v>12</v>
      </c>
      <c r="DB5" s="343">
        <f>+'Banca-mese'!CX3</f>
        <v>1</v>
      </c>
      <c r="DC5" s="343">
        <f>+'Banca-mese'!CY3</f>
        <v>2</v>
      </c>
      <c r="DD5" s="343">
        <f>+'Banca-mese'!CZ3</f>
        <v>3</v>
      </c>
      <c r="DE5" s="343">
        <f>+'Banca-mese'!DA3</f>
        <v>4</v>
      </c>
      <c r="DF5" s="343">
        <f>+'Banca-mese'!DB3</f>
        <v>5</v>
      </c>
      <c r="DG5" s="343">
        <f>+'Banca-mese'!DC3</f>
        <v>6</v>
      </c>
      <c r="DH5" s="343">
        <f>+'Banca-mese'!DD3</f>
        <v>7</v>
      </c>
      <c r="DI5" s="343">
        <f>+'Banca-mese'!DE3</f>
        <v>8</v>
      </c>
      <c r="DJ5" s="343">
        <f>+'Banca-mese'!DF3</f>
        <v>9</v>
      </c>
      <c r="DK5" s="343">
        <f>+'Banca-mese'!DG3</f>
        <v>10</v>
      </c>
      <c r="DL5" s="343">
        <f>+'Banca-mese'!DH3</f>
        <v>11</v>
      </c>
      <c r="DM5" s="343">
        <f>+'Banca-mese'!DI3</f>
        <v>12</v>
      </c>
      <c r="DN5" s="343">
        <f>+'Banca-mese'!DJ3</f>
        <v>1</v>
      </c>
      <c r="DO5" s="343">
        <f>+'Banca-mese'!DK3</f>
        <v>2</v>
      </c>
      <c r="DP5" s="343">
        <f>+'Banca-mese'!DL3</f>
        <v>3</v>
      </c>
      <c r="DQ5" s="343">
        <f>+'Banca-mese'!DM3</f>
        <v>4</v>
      </c>
      <c r="DR5" s="343">
        <f>+'Banca-mese'!DN3</f>
        <v>5</v>
      </c>
      <c r="DS5" s="343">
        <f>+'Banca-mese'!DO3</f>
        <v>6</v>
      </c>
      <c r="DT5" s="343">
        <f>+'Banca-mese'!DP3</f>
        <v>7</v>
      </c>
      <c r="DU5" s="343">
        <f>+'Banca-mese'!DQ3</f>
        <v>8</v>
      </c>
      <c r="DV5" s="343">
        <f>+'Banca-mese'!DR3</f>
        <v>9</v>
      </c>
    </row>
    <row r="6" ht="14.5">
      <c r="D6" s="326" t="s">
        <v>1354</v>
      </c>
      <c r="E6" s="326"/>
      <c r="G6" s="100">
        <f>+G7</f>
        <v>0</v>
      </c>
      <c r="H6" s="100">
        <f t="shared" ref="H6:BS6" si="0">+H7</f>
        <v>0</v>
      </c>
      <c r="I6" s="100">
        <f t="shared" si="0"/>
        <v>0</v>
      </c>
      <c r="J6" s="100">
        <f t="shared" si="0"/>
        <v>0</v>
      </c>
      <c r="K6" s="100">
        <f t="shared" si="0"/>
        <v>0</v>
      </c>
      <c r="L6" s="100">
        <f t="shared" si="0"/>
        <v>0</v>
      </c>
      <c r="M6" s="100">
        <f t="shared" si="0"/>
        <v>0</v>
      </c>
      <c r="N6" s="100">
        <f t="shared" si="0"/>
        <v>0</v>
      </c>
      <c r="O6" s="100">
        <f t="shared" si="0"/>
        <v>0</v>
      </c>
      <c r="P6" s="100">
        <f t="shared" si="0"/>
        <v>0</v>
      </c>
      <c r="Q6" s="100">
        <f t="shared" si="0"/>
        <v>0</v>
      </c>
      <c r="R6" s="100">
        <f t="shared" si="0"/>
        <v>0</v>
      </c>
      <c r="S6" s="100">
        <f t="shared" si="0"/>
        <v>0</v>
      </c>
      <c r="T6" s="100">
        <f t="shared" si="0"/>
        <v>0</v>
      </c>
      <c r="U6" s="100">
        <f t="shared" si="0"/>
        <v>0</v>
      </c>
      <c r="V6" s="100">
        <f t="shared" si="0"/>
        <v>0</v>
      </c>
      <c r="W6" s="100">
        <f t="shared" si="0"/>
        <v>0</v>
      </c>
      <c r="X6" s="100">
        <f t="shared" si="0"/>
        <v>0</v>
      </c>
      <c r="Y6" s="100">
        <f t="shared" si="0"/>
        <v>0</v>
      </c>
      <c r="Z6" s="100">
        <f t="shared" si="0"/>
        <v>0</v>
      </c>
      <c r="AA6" s="100">
        <f t="shared" si="0"/>
        <v>0</v>
      </c>
      <c r="AB6" s="100">
        <f t="shared" si="0"/>
        <v>0</v>
      </c>
      <c r="AC6" s="100">
        <f t="shared" si="0"/>
        <v>0</v>
      </c>
      <c r="AD6" s="100">
        <f t="shared" si="0"/>
        <v>0</v>
      </c>
      <c r="AE6" s="100">
        <f t="shared" si="0"/>
        <v>0</v>
      </c>
      <c r="AF6" s="100">
        <f t="shared" si="0"/>
        <v>0</v>
      </c>
      <c r="AG6" s="100">
        <f t="shared" si="0"/>
        <v>0</v>
      </c>
      <c r="AH6" s="100">
        <f t="shared" si="0"/>
        <v>0</v>
      </c>
      <c r="AI6" s="100">
        <f t="shared" si="0"/>
        <v>0</v>
      </c>
      <c r="AJ6" s="100">
        <f t="shared" si="0"/>
        <v>0</v>
      </c>
      <c r="AK6" s="100">
        <f t="shared" si="0"/>
        <v>0</v>
      </c>
      <c r="AL6" s="100">
        <f t="shared" si="0"/>
        <v>0</v>
      </c>
      <c r="AM6" s="100">
        <f t="shared" si="0"/>
        <v>0</v>
      </c>
      <c r="AN6" s="100">
        <f t="shared" si="0"/>
        <v>0</v>
      </c>
      <c r="AO6" s="100">
        <f t="shared" si="0"/>
        <v>0</v>
      </c>
      <c r="AP6" s="100">
        <f t="shared" si="0"/>
        <v>0</v>
      </c>
      <c r="AQ6" s="100">
        <f t="shared" si="0"/>
        <v>0</v>
      </c>
      <c r="AR6" s="100">
        <f t="shared" si="0"/>
        <v>0</v>
      </c>
      <c r="AS6" s="100">
        <f t="shared" si="0"/>
        <v>0</v>
      </c>
      <c r="AT6" s="100">
        <f t="shared" si="0"/>
        <v>0</v>
      </c>
      <c r="AU6" s="100">
        <f t="shared" si="0"/>
        <v>0</v>
      </c>
      <c r="AV6" s="100">
        <f t="shared" si="0"/>
        <v>0</v>
      </c>
      <c r="AW6" s="100">
        <f t="shared" si="0"/>
        <v>0</v>
      </c>
      <c r="AX6" s="100">
        <f t="shared" si="0"/>
        <v>0</v>
      </c>
      <c r="AY6" s="100">
        <f t="shared" si="0"/>
        <v>0</v>
      </c>
      <c r="AZ6" s="100">
        <f t="shared" si="0"/>
        <v>0</v>
      </c>
      <c r="BA6" s="100">
        <f t="shared" si="0"/>
        <v>0</v>
      </c>
      <c r="BB6" s="100">
        <f t="shared" si="0"/>
        <v>0</v>
      </c>
      <c r="BC6" s="100">
        <f t="shared" si="0"/>
        <v>0</v>
      </c>
      <c r="BD6" s="100">
        <f t="shared" si="0"/>
        <v>0</v>
      </c>
      <c r="BE6" s="100">
        <f t="shared" si="0"/>
        <v>0</v>
      </c>
      <c r="BF6" s="100">
        <f t="shared" si="0"/>
        <v>0</v>
      </c>
      <c r="BG6" s="100">
        <f t="shared" si="0"/>
        <v>0</v>
      </c>
      <c r="BH6" s="100">
        <f t="shared" si="0"/>
        <v>0</v>
      </c>
      <c r="BI6" s="100">
        <f t="shared" si="0"/>
        <v>0</v>
      </c>
      <c r="BJ6" s="100">
        <f t="shared" si="0"/>
        <v>0</v>
      </c>
      <c r="BK6" s="100">
        <f t="shared" si="0"/>
        <v>0</v>
      </c>
      <c r="BL6" s="100">
        <f t="shared" si="0"/>
        <v>0</v>
      </c>
      <c r="BM6" s="100">
        <f t="shared" si="0"/>
        <v>0</v>
      </c>
      <c r="BN6" s="100">
        <f t="shared" si="0"/>
        <v>0</v>
      </c>
      <c r="BO6" s="100">
        <f t="shared" si="0"/>
        <v>0</v>
      </c>
      <c r="BP6" s="100">
        <f t="shared" si="0"/>
        <v>0</v>
      </c>
      <c r="BQ6" s="100">
        <f t="shared" si="0"/>
        <v>0</v>
      </c>
      <c r="BR6" s="100">
        <f t="shared" si="0"/>
        <v>0</v>
      </c>
      <c r="BS6" s="100">
        <f t="shared" si="0"/>
        <v>0</v>
      </c>
      <c r="BT6" s="100">
        <f t="shared" ref="BT6:DV6" si="1">+BT7</f>
        <v>0</v>
      </c>
      <c r="BU6" s="100">
        <f t="shared" si="1"/>
        <v>0</v>
      </c>
      <c r="BV6" s="100">
        <f t="shared" si="1"/>
        <v>0</v>
      </c>
      <c r="BW6" s="100">
        <f t="shared" si="1"/>
        <v>0</v>
      </c>
      <c r="BX6" s="100">
        <f t="shared" si="1"/>
        <v>0</v>
      </c>
      <c r="BY6" s="100">
        <f t="shared" si="1"/>
        <v>0</v>
      </c>
      <c r="BZ6" s="100">
        <f t="shared" si="1"/>
        <v>0</v>
      </c>
      <c r="CA6" s="100">
        <f t="shared" si="1"/>
        <v>0</v>
      </c>
      <c r="CB6" s="100">
        <f t="shared" si="1"/>
        <v>0</v>
      </c>
      <c r="CC6" s="100">
        <f t="shared" si="1"/>
        <v>0</v>
      </c>
      <c r="CD6" s="100">
        <f t="shared" si="1"/>
        <v>0</v>
      </c>
      <c r="CE6" s="100">
        <f t="shared" si="1"/>
        <v>0</v>
      </c>
      <c r="CF6" s="100">
        <f t="shared" si="1"/>
        <v>0</v>
      </c>
      <c r="CG6" s="100">
        <f t="shared" si="1"/>
        <v>0</v>
      </c>
      <c r="CH6" s="100">
        <f t="shared" si="1"/>
        <v>0</v>
      </c>
      <c r="CI6" s="100">
        <f t="shared" si="1"/>
        <v>0</v>
      </c>
      <c r="CJ6" s="100">
        <f t="shared" si="1"/>
        <v>0</v>
      </c>
      <c r="CK6" s="100">
        <f t="shared" si="1"/>
        <v>0</v>
      </c>
      <c r="CL6" s="100">
        <f t="shared" si="1"/>
        <v>0</v>
      </c>
      <c r="CM6" s="100">
        <f t="shared" si="1"/>
        <v>0</v>
      </c>
      <c r="CN6" s="100">
        <f t="shared" si="1"/>
        <v>0</v>
      </c>
      <c r="CO6" s="100">
        <f t="shared" si="1"/>
        <v>0</v>
      </c>
      <c r="CP6" s="100">
        <f t="shared" si="1"/>
        <v>0</v>
      </c>
      <c r="CQ6" s="100">
        <f t="shared" si="1"/>
        <v>0</v>
      </c>
      <c r="CR6" s="100">
        <f t="shared" si="1"/>
        <v>0</v>
      </c>
      <c r="CS6" s="100">
        <f t="shared" si="1"/>
        <v>0</v>
      </c>
      <c r="CT6" s="100">
        <f t="shared" si="1"/>
        <v>0</v>
      </c>
      <c r="CU6" s="100">
        <f t="shared" si="1"/>
        <v>0</v>
      </c>
      <c r="CV6" s="100">
        <f t="shared" si="1"/>
        <v>0</v>
      </c>
      <c r="CW6" s="100">
        <f t="shared" si="1"/>
        <v>0</v>
      </c>
      <c r="CX6" s="100">
        <f t="shared" si="1"/>
        <v>0</v>
      </c>
      <c r="CY6" s="261">
        <f t="shared" si="1"/>
        <v>0</v>
      </c>
      <c r="CZ6" s="261">
        <f t="shared" si="1"/>
        <v>0</v>
      </c>
      <c r="DA6" s="261">
        <f t="shared" si="1"/>
        <v>0</v>
      </c>
      <c r="DB6" s="261">
        <f t="shared" si="1"/>
        <v>0</v>
      </c>
      <c r="DC6" s="261">
        <f t="shared" si="1"/>
        <v>0</v>
      </c>
      <c r="DD6" s="261">
        <f t="shared" si="1"/>
        <v>0</v>
      </c>
      <c r="DE6" s="261">
        <f t="shared" si="1"/>
        <v>0</v>
      </c>
      <c r="DF6" s="261">
        <f t="shared" si="1"/>
        <v>0</v>
      </c>
      <c r="DG6" s="261">
        <f t="shared" si="1"/>
        <v>0</v>
      </c>
      <c r="DH6" s="261">
        <f t="shared" si="1"/>
        <v>0</v>
      </c>
      <c r="DI6" s="261">
        <f t="shared" si="1"/>
        <v>0</v>
      </c>
      <c r="DJ6" s="261">
        <f t="shared" si="1"/>
        <v>0</v>
      </c>
      <c r="DK6" s="261">
        <f t="shared" si="1"/>
        <v>0</v>
      </c>
      <c r="DL6" s="261">
        <f t="shared" si="1"/>
        <v>0</v>
      </c>
      <c r="DM6" s="261">
        <f t="shared" si="1"/>
        <v>0</v>
      </c>
      <c r="DN6" s="261">
        <f t="shared" si="1"/>
        <v>0</v>
      </c>
      <c r="DO6" s="261">
        <f t="shared" si="1"/>
        <v>0</v>
      </c>
      <c r="DP6" s="261">
        <f t="shared" si="1"/>
        <v>0</v>
      </c>
      <c r="DQ6" s="261">
        <f t="shared" si="1"/>
        <v>0</v>
      </c>
      <c r="DR6" s="261">
        <f t="shared" si="1"/>
        <v>0</v>
      </c>
      <c r="DS6" s="261">
        <f t="shared" si="1"/>
        <v>0</v>
      </c>
      <c r="DT6" s="261">
        <f t="shared" si="1"/>
        <v>0</v>
      </c>
      <c r="DU6" s="261">
        <f t="shared" si="1"/>
        <v>0</v>
      </c>
      <c r="DV6" s="261">
        <f t="shared" si="1"/>
        <v>0</v>
      </c>
    </row>
    <row r="7" ht="14.5">
      <c r="D7" s="344"/>
      <c r="E7" s="345" t="s">
        <v>1355</v>
      </c>
      <c r="G7" s="144">
        <f>+Affitto!F8</f>
        <v>0</v>
      </c>
      <c r="H7" s="144">
        <f>+Affitto!G8</f>
        <v>0</v>
      </c>
      <c r="I7" s="144">
        <f>+Affitto!H8</f>
        <v>0</v>
      </c>
      <c r="J7" s="144">
        <f>+Affitto!I8</f>
        <v>0</v>
      </c>
      <c r="K7" s="144">
        <f>+Affitto!J8</f>
        <v>0</v>
      </c>
      <c r="L7" s="144">
        <f>+Affitto!K8</f>
        <v>0</v>
      </c>
      <c r="M7" s="144">
        <f>+Affitto!L8</f>
        <v>0</v>
      </c>
      <c r="N7" s="144">
        <f>+Affitto!M8</f>
        <v>0</v>
      </c>
      <c r="O7" s="144">
        <f>+Affitto!N8</f>
        <v>0</v>
      </c>
      <c r="P7" s="144">
        <f>+Affitto!O8</f>
        <v>0</v>
      </c>
      <c r="Q7" s="144">
        <f>+Affitto!P8</f>
        <v>0</v>
      </c>
      <c r="R7" s="144">
        <f>+Affitto!Q8</f>
        <v>0</v>
      </c>
      <c r="S7" s="144">
        <f>+Affitto!R8</f>
        <v>0</v>
      </c>
      <c r="T7" s="144">
        <f>+Affitto!S8</f>
        <v>0</v>
      </c>
      <c r="U7" s="144">
        <f>+Affitto!T8</f>
        <v>0</v>
      </c>
      <c r="V7" s="144">
        <f>+Affitto!U8</f>
        <v>0</v>
      </c>
      <c r="W7" s="144">
        <f>+Affitto!V8</f>
        <v>0</v>
      </c>
      <c r="X7" s="144">
        <f>+Affitto!W8</f>
        <v>0</v>
      </c>
      <c r="Y7" s="144">
        <f>+Affitto!X8</f>
        <v>0</v>
      </c>
      <c r="Z7" s="144">
        <f>+Affitto!Y8</f>
        <v>0</v>
      </c>
      <c r="AA7" s="144">
        <f>+Affitto!Z8</f>
        <v>0</v>
      </c>
      <c r="AB7" s="144">
        <f>+Affitto!AA8</f>
        <v>0</v>
      </c>
      <c r="AC7" s="144">
        <f>+Affitto!AB8</f>
        <v>0</v>
      </c>
      <c r="AD7" s="144">
        <f>+Affitto!AC8</f>
        <v>0</v>
      </c>
      <c r="AE7" s="144">
        <f>+Affitto!AD8</f>
        <v>0</v>
      </c>
      <c r="AF7" s="144">
        <f>+Affitto!AE8</f>
        <v>0</v>
      </c>
      <c r="AG7" s="144">
        <f>+Affitto!AF8</f>
        <v>0</v>
      </c>
      <c r="AH7" s="144">
        <f>+Affitto!AG8</f>
        <v>0</v>
      </c>
      <c r="AI7" s="144">
        <f>+Affitto!AH8</f>
        <v>0</v>
      </c>
      <c r="AJ7" s="144">
        <f>+Affitto!AI8</f>
        <v>0</v>
      </c>
      <c r="AK7" s="144">
        <f>+Affitto!AJ8</f>
        <v>0</v>
      </c>
      <c r="AL7" s="144">
        <f>+Affitto!AK8</f>
        <v>0</v>
      </c>
      <c r="AM7" s="144">
        <f>+Affitto!AL8</f>
        <v>0</v>
      </c>
      <c r="AN7" s="144">
        <f>+Affitto!AM8</f>
        <v>0</v>
      </c>
      <c r="AO7" s="144">
        <f>+Affitto!AN8</f>
        <v>0</v>
      </c>
      <c r="AP7" s="144">
        <f>+Affitto!AO8</f>
        <v>0</v>
      </c>
      <c r="AQ7" s="144">
        <f>+Affitto!AP8</f>
        <v>0</v>
      </c>
      <c r="AR7" s="144">
        <f>+Affitto!AQ8</f>
        <v>0</v>
      </c>
      <c r="AS7" s="144">
        <f>+Affitto!AR8</f>
        <v>0</v>
      </c>
      <c r="AT7" s="144">
        <f>+Affitto!AS8</f>
        <v>0</v>
      </c>
      <c r="AU7" s="144">
        <f>+Affitto!AT8</f>
        <v>0</v>
      </c>
      <c r="AV7" s="144">
        <f>+Affitto!AU8</f>
        <v>0</v>
      </c>
      <c r="AW7" s="144">
        <f>+Affitto!AV8</f>
        <v>0</v>
      </c>
      <c r="AX7" s="144">
        <f>+Affitto!AW8</f>
        <v>0</v>
      </c>
      <c r="AY7" s="144">
        <f>+Affitto!AX8</f>
        <v>0</v>
      </c>
      <c r="AZ7" s="144">
        <f>+Affitto!AY8</f>
        <v>0</v>
      </c>
      <c r="BA7" s="144">
        <f>+Affitto!AZ8</f>
        <v>0</v>
      </c>
      <c r="BB7" s="144">
        <f>+Affitto!BA8</f>
        <v>0</v>
      </c>
      <c r="BC7" s="144">
        <f>+Affitto!BB8</f>
        <v>0</v>
      </c>
      <c r="BD7" s="144">
        <f>+Affitto!BC8</f>
        <v>0</v>
      </c>
      <c r="BE7" s="144">
        <f>+Affitto!BD8</f>
        <v>0</v>
      </c>
      <c r="BF7" s="144">
        <f>+Affitto!BE8</f>
        <v>0</v>
      </c>
      <c r="BG7" s="144">
        <f>+Affitto!BF8</f>
        <v>0</v>
      </c>
      <c r="BH7" s="144">
        <f>+Affitto!BG8</f>
        <v>0</v>
      </c>
      <c r="BI7" s="144">
        <f>+Affitto!BH8</f>
        <v>0</v>
      </c>
      <c r="BJ7" s="144">
        <f>+Affitto!BI8</f>
        <v>0</v>
      </c>
      <c r="BK7" s="144">
        <f>+Affitto!BJ8</f>
        <v>0</v>
      </c>
      <c r="BL7" s="144">
        <f>+Affitto!BK8</f>
        <v>0</v>
      </c>
      <c r="BM7" s="144">
        <f>+Affitto!BL8</f>
        <v>0</v>
      </c>
      <c r="BN7" s="144">
        <f>+Affitto!BM8</f>
        <v>0</v>
      </c>
      <c r="BO7" s="144">
        <f>+Affitto!BN8</f>
        <v>0</v>
      </c>
      <c r="BP7" s="144">
        <f>+Affitto!BO8</f>
        <v>0</v>
      </c>
      <c r="BQ7" s="144">
        <f>+Affitto!BP8</f>
        <v>0</v>
      </c>
      <c r="BR7" s="144">
        <f>+Affitto!BQ8</f>
        <v>0</v>
      </c>
      <c r="BS7" s="144">
        <f>+Affitto!BR8</f>
        <v>0</v>
      </c>
      <c r="BT7" s="144">
        <f>+Affitto!BS8</f>
        <v>0</v>
      </c>
      <c r="BU7" s="144">
        <f>+Affitto!BT8</f>
        <v>0</v>
      </c>
      <c r="BV7" s="144">
        <f>+Affitto!BU8</f>
        <v>0</v>
      </c>
      <c r="BW7" s="144">
        <f>+Affitto!BV8</f>
        <v>0</v>
      </c>
      <c r="BX7" s="144">
        <f>+Affitto!BW8</f>
        <v>0</v>
      </c>
      <c r="BY7" s="144">
        <f>+Affitto!BX8</f>
        <v>0</v>
      </c>
      <c r="BZ7" s="144">
        <f>+Affitto!BY8</f>
        <v>0</v>
      </c>
      <c r="CA7" s="144">
        <f>+Affitto!BZ8</f>
        <v>0</v>
      </c>
      <c r="CB7" s="144">
        <f>+Affitto!CA8</f>
        <v>0</v>
      </c>
      <c r="CC7" s="144">
        <f>+Affitto!CB8</f>
        <v>0</v>
      </c>
      <c r="CD7" s="144">
        <f>+Affitto!CC8</f>
        <v>0</v>
      </c>
      <c r="CE7" s="144">
        <f>+Affitto!CD8</f>
        <v>0</v>
      </c>
      <c r="CF7" s="144">
        <f>+Affitto!CE8</f>
        <v>0</v>
      </c>
      <c r="CG7" s="144">
        <f>+Affitto!CF8</f>
        <v>0</v>
      </c>
      <c r="CH7" s="144">
        <f>+Affitto!CG8</f>
        <v>0</v>
      </c>
      <c r="CI7" s="144">
        <f>+Affitto!CH8</f>
        <v>0</v>
      </c>
      <c r="CJ7" s="144">
        <f>+Affitto!CI8</f>
        <v>0</v>
      </c>
      <c r="CK7" s="144">
        <f>+Affitto!CJ8</f>
        <v>0</v>
      </c>
      <c r="CL7" s="144">
        <f>+Affitto!CK8</f>
        <v>0</v>
      </c>
      <c r="CM7" s="144">
        <f>+Affitto!CL8</f>
        <v>0</v>
      </c>
      <c r="CN7" s="144">
        <f>+Affitto!CM8</f>
        <v>0</v>
      </c>
      <c r="CO7" s="144">
        <f>+Affitto!CN8</f>
        <v>0</v>
      </c>
      <c r="CP7" s="144">
        <f>+Affitto!CO8</f>
        <v>0</v>
      </c>
      <c r="CQ7" s="144">
        <f>+Affitto!CP8</f>
        <v>0</v>
      </c>
      <c r="CR7" s="144">
        <f>+Affitto!CQ8</f>
        <v>0</v>
      </c>
      <c r="CS7" s="144">
        <f>+Affitto!CR8</f>
        <v>0</v>
      </c>
      <c r="CT7" s="144">
        <f>+Affitto!CS8</f>
        <v>0</v>
      </c>
      <c r="CU7" s="144">
        <f>+Affitto!CT8</f>
        <v>0</v>
      </c>
      <c r="CV7" s="144">
        <f>+Affitto!CU8</f>
        <v>0</v>
      </c>
      <c r="CW7" s="144">
        <f>+Affitto!CV8</f>
        <v>0</v>
      </c>
      <c r="CX7" s="144">
        <f>+Affitto!CW8</f>
        <v>0</v>
      </c>
      <c r="CY7" s="144">
        <f>+Affitto!CX8</f>
        <v>0</v>
      </c>
      <c r="CZ7" s="144">
        <f>+Affitto!CY8</f>
        <v>0</v>
      </c>
      <c r="DA7" s="144">
        <f>+Affitto!CZ8</f>
        <v>0</v>
      </c>
      <c r="DB7" s="144">
        <f>+Affitto!DA8</f>
        <v>0</v>
      </c>
      <c r="DC7" s="144">
        <f>+Affitto!DB8</f>
        <v>0</v>
      </c>
      <c r="DD7" s="144">
        <f>+Affitto!DC8</f>
        <v>0</v>
      </c>
      <c r="DE7" s="144">
        <f>+Affitto!DD8</f>
        <v>0</v>
      </c>
      <c r="DF7" s="144">
        <f>+Affitto!DE8</f>
        <v>0</v>
      </c>
      <c r="DG7" s="144">
        <f>+Affitto!DF8</f>
        <v>0</v>
      </c>
      <c r="DH7" s="144">
        <f>+Affitto!DG8</f>
        <v>0</v>
      </c>
      <c r="DI7" s="144">
        <f>+Affitto!DH8</f>
        <v>0</v>
      </c>
      <c r="DJ7" s="144">
        <f>+Affitto!DI8</f>
        <v>0</v>
      </c>
      <c r="DK7" s="144">
        <f>+Affitto!DJ8</f>
        <v>0</v>
      </c>
      <c r="DL7" s="144">
        <f>+Affitto!DK8</f>
        <v>0</v>
      </c>
      <c r="DM7" s="144">
        <f>+Affitto!DL8</f>
        <v>0</v>
      </c>
      <c r="DN7" s="144">
        <f>+Affitto!DM8</f>
        <v>0</v>
      </c>
      <c r="DO7" s="144">
        <f>+Affitto!DN8</f>
        <v>0</v>
      </c>
      <c r="DP7" s="144">
        <f>+Affitto!DO8</f>
        <v>0</v>
      </c>
      <c r="DQ7" s="144">
        <f>+Affitto!DP8</f>
        <v>0</v>
      </c>
      <c r="DR7" s="144">
        <f>+Affitto!DQ8</f>
        <v>0</v>
      </c>
      <c r="DS7" s="144">
        <f>+Affitto!DR8</f>
        <v>0</v>
      </c>
      <c r="DT7" s="144">
        <f>+Affitto!DS8</f>
        <v>0</v>
      </c>
      <c r="DU7" s="144">
        <f>+Affitto!DT8</f>
        <v>0</v>
      </c>
      <c r="DV7" s="144">
        <f>+Affitto!DU8</f>
        <v>0</v>
      </c>
    </row>
    <row r="8" ht="14.5">
      <c r="E8" s="3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4"/>
      <c r="AF8" s="144"/>
      <c r="AG8" s="144"/>
      <c r="AH8" s="144"/>
      <c r="AI8" s="144"/>
      <c r="AJ8" s="144"/>
      <c r="AK8" s="144"/>
      <c r="AL8" s="144"/>
      <c r="AM8" s="144"/>
      <c r="AN8" s="144"/>
      <c r="AO8" s="144"/>
      <c r="AP8" s="144"/>
      <c r="AQ8" s="144"/>
      <c r="AR8" s="144"/>
      <c r="AS8" s="144"/>
      <c r="AT8" s="144"/>
      <c r="AU8" s="144"/>
      <c r="AV8" s="144"/>
      <c r="AW8" s="144"/>
      <c r="AX8" s="144"/>
      <c r="AY8" s="144"/>
      <c r="AZ8" s="144"/>
      <c r="BA8" s="144"/>
      <c r="BB8" s="144"/>
      <c r="BC8" s="144"/>
      <c r="BD8" s="144"/>
      <c r="BE8" s="144"/>
      <c r="BF8" s="144"/>
      <c r="BG8" s="144"/>
      <c r="BH8" s="144"/>
      <c r="BI8" s="144"/>
      <c r="BJ8" s="144"/>
      <c r="BK8" s="144"/>
      <c r="BL8" s="144"/>
      <c r="BM8" s="144"/>
      <c r="BN8" s="144"/>
      <c r="BO8" s="144"/>
      <c r="BP8" s="144"/>
      <c r="BQ8" s="144"/>
      <c r="BR8" s="144"/>
      <c r="BS8" s="144"/>
      <c r="BT8" s="144"/>
      <c r="BU8" s="144"/>
      <c r="BV8" s="144"/>
      <c r="BW8" s="144"/>
      <c r="BX8" s="144"/>
      <c r="BY8" s="144"/>
      <c r="BZ8" s="144"/>
      <c r="CA8" s="144"/>
      <c r="CB8" s="144"/>
      <c r="CC8" s="144"/>
      <c r="CD8" s="144"/>
      <c r="CE8" s="144"/>
      <c r="CF8" s="144"/>
      <c r="CG8" s="144"/>
      <c r="CH8" s="144"/>
      <c r="CI8" s="144"/>
      <c r="CJ8" s="144"/>
      <c r="CK8" s="144"/>
      <c r="CL8" s="144"/>
      <c r="CM8" s="144"/>
      <c r="CN8" s="144"/>
      <c r="CO8" s="144"/>
      <c r="CP8" s="144"/>
      <c r="CQ8" s="144"/>
      <c r="CR8" s="144"/>
      <c r="CS8" s="144"/>
      <c r="CT8" s="144"/>
      <c r="CU8" s="144"/>
      <c r="CV8" s="144"/>
      <c r="CW8" s="144"/>
      <c r="CX8" s="144"/>
    </row>
    <row r="9" ht="14.5">
      <c r="E9" s="346"/>
      <c r="G9" s="144"/>
      <c r="H9" s="144"/>
      <c r="I9" s="144"/>
      <c r="J9" s="144"/>
      <c r="K9" s="144"/>
      <c r="L9" s="144"/>
      <c r="M9" s="144"/>
      <c r="N9" s="144"/>
      <c r="O9" s="144"/>
      <c r="P9" s="144"/>
      <c r="Q9" s="144"/>
      <c r="R9" s="144"/>
      <c r="S9" s="144"/>
      <c r="T9" s="144"/>
      <c r="U9" s="144"/>
      <c r="V9" s="144"/>
      <c r="W9" s="144"/>
      <c r="X9" s="144"/>
      <c r="Y9" s="144"/>
      <c r="Z9" s="144"/>
      <c r="AA9" s="144"/>
      <c r="AB9" s="144"/>
      <c r="AC9" s="144"/>
      <c r="AD9" s="144"/>
      <c r="AE9" s="144"/>
      <c r="AF9" s="144"/>
      <c r="AG9" s="144"/>
      <c r="AH9" s="144"/>
      <c r="AI9" s="144"/>
      <c r="AJ9" s="144"/>
      <c r="AK9" s="144"/>
      <c r="AL9" s="144"/>
      <c r="AM9" s="144"/>
      <c r="AN9" s="144"/>
      <c r="AO9" s="144"/>
      <c r="AP9" s="144"/>
      <c r="AQ9" s="144"/>
      <c r="AR9" s="144"/>
      <c r="AS9" s="144"/>
      <c r="AT9" s="144"/>
      <c r="AU9" s="144"/>
      <c r="AV9" s="144"/>
      <c r="AW9" s="144"/>
      <c r="AX9" s="144"/>
      <c r="AY9" s="144"/>
      <c r="AZ9" s="144"/>
      <c r="BA9" s="144"/>
      <c r="BB9" s="144"/>
      <c r="BC9" s="144"/>
      <c r="BD9" s="144"/>
      <c r="BE9" s="144"/>
      <c r="BF9" s="144"/>
      <c r="BG9" s="144"/>
      <c r="BH9" s="144"/>
      <c r="BI9" s="144"/>
      <c r="BJ9" s="144"/>
      <c r="BK9" s="144"/>
      <c r="BL9" s="144"/>
      <c r="BM9" s="144"/>
      <c r="BN9" s="144"/>
      <c r="BO9" s="144"/>
      <c r="BP9" s="144"/>
      <c r="BQ9" s="144"/>
      <c r="BR9" s="144"/>
      <c r="BS9" s="144"/>
      <c r="BT9" s="144"/>
      <c r="BU9" s="144"/>
      <c r="BV9" s="144"/>
      <c r="BW9" s="144"/>
      <c r="BX9" s="144"/>
      <c r="BY9" s="144"/>
      <c r="BZ9" s="144"/>
      <c r="CA9" s="144"/>
      <c r="CB9" s="144"/>
      <c r="CC9" s="144"/>
      <c r="CD9" s="144"/>
      <c r="CE9" s="144"/>
      <c r="CF9" s="144"/>
      <c r="CG9" s="144"/>
      <c r="CH9" s="144"/>
      <c r="CI9" s="144"/>
      <c r="CJ9" s="144"/>
      <c r="CK9" s="144"/>
      <c r="CL9" s="144"/>
      <c r="CM9" s="144"/>
      <c r="CN9" s="144"/>
      <c r="CO9" s="144"/>
      <c r="CP9" s="144"/>
      <c r="CQ9" s="144"/>
      <c r="CR9" s="144"/>
      <c r="CS9" s="144"/>
      <c r="CT9" s="144"/>
      <c r="CU9" s="144"/>
      <c r="CV9" s="144"/>
      <c r="CW9" s="144"/>
      <c r="CX9" s="144"/>
    </row>
    <row r="10" ht="14.5">
      <c r="D10" s="3" t="s">
        <v>1356</v>
      </c>
      <c r="E10" s="326"/>
      <c r="G10" s="100">
        <f>+SUM(G11:G16)</f>
        <v>0</v>
      </c>
      <c r="H10" s="100">
        <f t="shared" ref="H10:BS10" si="2">+SUM(H11:H16)</f>
        <v>0</v>
      </c>
      <c r="I10" s="100">
        <f t="shared" si="2"/>
        <v>0</v>
      </c>
      <c r="J10" s="100">
        <f t="shared" si="2"/>
        <v>0</v>
      </c>
      <c r="K10" s="100">
        <f t="shared" si="2"/>
        <v>0</v>
      </c>
      <c r="L10" s="100">
        <f t="shared" si="2"/>
        <v>0</v>
      </c>
      <c r="M10" s="100">
        <f t="shared" si="2"/>
        <v>0</v>
      </c>
      <c r="N10" s="100">
        <f t="shared" si="2"/>
        <v>0</v>
      </c>
      <c r="O10" s="100">
        <f t="shared" si="2"/>
        <v>0</v>
      </c>
      <c r="P10" s="100">
        <f t="shared" si="2"/>
        <v>0</v>
      </c>
      <c r="Q10" s="100">
        <f t="shared" si="2"/>
        <v>0</v>
      </c>
      <c r="R10" s="100">
        <f t="shared" si="2"/>
        <v>0</v>
      </c>
      <c r="S10" s="100">
        <f t="shared" si="2"/>
        <v>0</v>
      </c>
      <c r="T10" s="100">
        <f t="shared" si="2"/>
        <v>0</v>
      </c>
      <c r="U10" s="100">
        <f t="shared" si="2"/>
        <v>0</v>
      </c>
      <c r="V10" s="100">
        <f t="shared" si="2"/>
        <v>0</v>
      </c>
      <c r="W10" s="100">
        <f t="shared" si="2"/>
        <v>0</v>
      </c>
      <c r="X10" s="100">
        <f t="shared" si="2"/>
        <v>0</v>
      </c>
      <c r="Y10" s="100">
        <f t="shared" si="2"/>
        <v>0</v>
      </c>
      <c r="Z10" s="100">
        <f t="shared" si="2"/>
        <v>0</v>
      </c>
      <c r="AA10" s="100">
        <f t="shared" si="2"/>
        <v>0</v>
      </c>
      <c r="AB10" s="100">
        <f t="shared" si="2"/>
        <v>0</v>
      </c>
      <c r="AC10" s="100">
        <f t="shared" si="2"/>
        <v>0</v>
      </c>
      <c r="AD10" s="100">
        <f t="shared" si="2"/>
        <v>0</v>
      </c>
      <c r="AE10" s="100">
        <f t="shared" si="2"/>
        <v>0</v>
      </c>
      <c r="AF10" s="100">
        <f t="shared" si="2"/>
        <v>0</v>
      </c>
      <c r="AG10" s="100">
        <f t="shared" si="2"/>
        <v>0</v>
      </c>
      <c r="AH10" s="100">
        <f t="shared" si="2"/>
        <v>0</v>
      </c>
      <c r="AI10" s="100">
        <f t="shared" si="2"/>
        <v>0</v>
      </c>
      <c r="AJ10" s="100">
        <f t="shared" si="2"/>
        <v>0</v>
      </c>
      <c r="AK10" s="100">
        <f t="shared" si="2"/>
        <v>0</v>
      </c>
      <c r="AL10" s="100">
        <f t="shared" si="2"/>
        <v>0</v>
      </c>
      <c r="AM10" s="100">
        <f t="shared" si="2"/>
        <v>0</v>
      </c>
      <c r="AN10" s="100">
        <f t="shared" si="2"/>
        <v>0</v>
      </c>
      <c r="AO10" s="100">
        <f t="shared" si="2"/>
        <v>0</v>
      </c>
      <c r="AP10" s="100">
        <f t="shared" si="2"/>
        <v>0</v>
      </c>
      <c r="AQ10" s="100">
        <f t="shared" si="2"/>
        <v>0</v>
      </c>
      <c r="AR10" s="100">
        <f t="shared" si="2"/>
        <v>0</v>
      </c>
      <c r="AS10" s="100">
        <f t="shared" si="2"/>
        <v>0</v>
      </c>
      <c r="AT10" s="100">
        <f t="shared" si="2"/>
        <v>0</v>
      </c>
      <c r="AU10" s="100">
        <f t="shared" si="2"/>
        <v>0</v>
      </c>
      <c r="AV10" s="100">
        <f t="shared" si="2"/>
        <v>0</v>
      </c>
      <c r="AW10" s="100">
        <f t="shared" si="2"/>
        <v>0</v>
      </c>
      <c r="AX10" s="100">
        <f t="shared" si="2"/>
        <v>0</v>
      </c>
      <c r="AY10" s="100">
        <f t="shared" si="2"/>
        <v>0</v>
      </c>
      <c r="AZ10" s="100">
        <f t="shared" si="2"/>
        <v>0</v>
      </c>
      <c r="BA10" s="100">
        <f t="shared" si="2"/>
        <v>0</v>
      </c>
      <c r="BB10" s="100">
        <f t="shared" si="2"/>
        <v>0</v>
      </c>
      <c r="BC10" s="100">
        <f t="shared" si="2"/>
        <v>0</v>
      </c>
      <c r="BD10" s="100">
        <f t="shared" si="2"/>
        <v>0</v>
      </c>
      <c r="BE10" s="100">
        <f t="shared" si="2"/>
        <v>0</v>
      </c>
      <c r="BF10" s="100">
        <f t="shared" si="2"/>
        <v>0</v>
      </c>
      <c r="BG10" s="100">
        <f t="shared" si="2"/>
        <v>0</v>
      </c>
      <c r="BH10" s="100">
        <f t="shared" si="2"/>
        <v>0</v>
      </c>
      <c r="BI10" s="100">
        <f t="shared" si="2"/>
        <v>0</v>
      </c>
      <c r="BJ10" s="100">
        <f t="shared" si="2"/>
        <v>0</v>
      </c>
      <c r="BK10" s="100">
        <f t="shared" si="2"/>
        <v>0</v>
      </c>
      <c r="BL10" s="100">
        <f t="shared" si="2"/>
        <v>0</v>
      </c>
      <c r="BM10" s="100">
        <f t="shared" si="2"/>
        <v>0</v>
      </c>
      <c r="BN10" s="100">
        <f t="shared" si="2"/>
        <v>0</v>
      </c>
      <c r="BO10" s="100">
        <f t="shared" si="2"/>
        <v>0</v>
      </c>
      <c r="BP10" s="100">
        <f t="shared" si="2"/>
        <v>0</v>
      </c>
      <c r="BQ10" s="100">
        <f t="shared" si="2"/>
        <v>0</v>
      </c>
      <c r="BR10" s="100">
        <f t="shared" si="2"/>
        <v>0</v>
      </c>
      <c r="BS10" s="100">
        <f t="shared" si="2"/>
        <v>0</v>
      </c>
      <c r="BT10" s="100">
        <f t="shared" ref="BT10:DV10" si="3">+SUM(BT11:BT16)</f>
        <v>0</v>
      </c>
      <c r="BU10" s="100">
        <f t="shared" si="3"/>
        <v>0</v>
      </c>
      <c r="BV10" s="100">
        <f t="shared" si="3"/>
        <v>0</v>
      </c>
      <c r="BW10" s="100">
        <f t="shared" si="3"/>
        <v>0</v>
      </c>
      <c r="BX10" s="100">
        <f t="shared" si="3"/>
        <v>0</v>
      </c>
      <c r="BY10" s="100">
        <f t="shared" si="3"/>
        <v>0</v>
      </c>
      <c r="BZ10" s="100">
        <f t="shared" si="3"/>
        <v>0</v>
      </c>
      <c r="CA10" s="100">
        <f t="shared" si="3"/>
        <v>0</v>
      </c>
      <c r="CB10" s="100">
        <f t="shared" si="3"/>
        <v>0</v>
      </c>
      <c r="CC10" s="100">
        <f t="shared" si="3"/>
        <v>0</v>
      </c>
      <c r="CD10" s="100">
        <f t="shared" si="3"/>
        <v>0</v>
      </c>
      <c r="CE10" s="100">
        <f t="shared" si="3"/>
        <v>0</v>
      </c>
      <c r="CF10" s="100">
        <f t="shared" si="3"/>
        <v>0</v>
      </c>
      <c r="CG10" s="100">
        <f t="shared" si="3"/>
        <v>0</v>
      </c>
      <c r="CH10" s="100">
        <f t="shared" si="3"/>
        <v>0</v>
      </c>
      <c r="CI10" s="100">
        <f t="shared" si="3"/>
        <v>0</v>
      </c>
      <c r="CJ10" s="100">
        <f t="shared" si="3"/>
        <v>0</v>
      </c>
      <c r="CK10" s="100">
        <f t="shared" si="3"/>
        <v>0</v>
      </c>
      <c r="CL10" s="100">
        <f t="shared" si="3"/>
        <v>0</v>
      </c>
      <c r="CM10" s="100">
        <f t="shared" si="3"/>
        <v>0</v>
      </c>
      <c r="CN10" s="100">
        <f t="shared" si="3"/>
        <v>0</v>
      </c>
      <c r="CO10" s="100">
        <f t="shared" si="3"/>
        <v>0</v>
      </c>
      <c r="CP10" s="100">
        <f t="shared" si="3"/>
        <v>0</v>
      </c>
      <c r="CQ10" s="100">
        <f t="shared" si="3"/>
        <v>0</v>
      </c>
      <c r="CR10" s="100">
        <f t="shared" si="3"/>
        <v>0</v>
      </c>
      <c r="CS10" s="100">
        <f t="shared" si="3"/>
        <v>0</v>
      </c>
      <c r="CT10" s="100">
        <f t="shared" si="3"/>
        <v>0</v>
      </c>
      <c r="CU10" s="100">
        <f t="shared" si="3"/>
        <v>0</v>
      </c>
      <c r="CV10" s="100">
        <f t="shared" si="3"/>
        <v>0</v>
      </c>
      <c r="CW10" s="100">
        <f t="shared" si="3"/>
        <v>0</v>
      </c>
      <c r="CX10" s="100">
        <f t="shared" si="3"/>
        <v>0</v>
      </c>
      <c r="CY10" s="261">
        <f t="shared" si="3"/>
        <v>0</v>
      </c>
      <c r="CZ10" s="261">
        <f t="shared" si="3"/>
        <v>0</v>
      </c>
      <c r="DA10" s="261">
        <f t="shared" si="3"/>
        <v>0</v>
      </c>
      <c r="DB10" s="261">
        <f t="shared" si="3"/>
        <v>0</v>
      </c>
      <c r="DC10" s="261">
        <f t="shared" si="3"/>
        <v>0</v>
      </c>
      <c r="DD10" s="261">
        <f t="shared" si="3"/>
        <v>0</v>
      </c>
      <c r="DE10" s="261">
        <f t="shared" si="3"/>
        <v>0</v>
      </c>
      <c r="DF10" s="261">
        <f t="shared" si="3"/>
        <v>0</v>
      </c>
      <c r="DG10" s="261">
        <f t="shared" si="3"/>
        <v>0</v>
      </c>
      <c r="DH10" s="261">
        <f t="shared" si="3"/>
        <v>0</v>
      </c>
      <c r="DI10" s="261">
        <f t="shared" si="3"/>
        <v>0</v>
      </c>
      <c r="DJ10" s="261">
        <f t="shared" si="3"/>
        <v>0</v>
      </c>
      <c r="DK10" s="261">
        <f t="shared" si="3"/>
        <v>0</v>
      </c>
      <c r="DL10" s="261">
        <f t="shared" si="3"/>
        <v>0</v>
      </c>
      <c r="DM10" s="261">
        <f t="shared" si="3"/>
        <v>0</v>
      </c>
      <c r="DN10" s="261">
        <f t="shared" si="3"/>
        <v>0</v>
      </c>
      <c r="DO10" s="261">
        <f t="shared" si="3"/>
        <v>0</v>
      </c>
      <c r="DP10" s="261">
        <f t="shared" si="3"/>
        <v>0</v>
      </c>
      <c r="DQ10" s="261">
        <f t="shared" si="3"/>
        <v>0</v>
      </c>
      <c r="DR10" s="261">
        <f t="shared" si="3"/>
        <v>0</v>
      </c>
      <c r="DS10" s="261">
        <f t="shared" si="3"/>
        <v>0</v>
      </c>
      <c r="DT10" s="261">
        <f t="shared" si="3"/>
        <v>0</v>
      </c>
      <c r="DU10" s="261">
        <f t="shared" si="3"/>
        <v>0</v>
      </c>
      <c r="DV10" s="261">
        <f t="shared" si="3"/>
        <v>0</v>
      </c>
    </row>
    <row r="11" ht="14.5">
      <c r="D11" s="344"/>
      <c r="E11" s="345"/>
      <c r="F11" s="347">
        <f>+IF(Attivo!K63&gt;-Passivo!J26,Attivo!K63-Passivo!J26,0)</f>
        <v>0</v>
      </c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  <c r="AE11" s="144"/>
      <c r="AF11" s="144"/>
      <c r="AG11" s="144"/>
      <c r="AH11" s="144"/>
      <c r="AI11" s="144"/>
      <c r="AJ11" s="144"/>
      <c r="AK11" s="144"/>
      <c r="AL11" s="144"/>
      <c r="AM11" s="144"/>
      <c r="AN11" s="144"/>
      <c r="AO11" s="144"/>
      <c r="AP11" s="144"/>
      <c r="AQ11" s="144"/>
      <c r="AR11" s="144"/>
      <c r="AS11" s="144"/>
      <c r="AT11" s="144"/>
      <c r="AU11" s="144"/>
      <c r="AV11" s="144"/>
      <c r="AW11" s="144"/>
      <c r="AX11" s="144"/>
      <c r="AY11" s="144"/>
      <c r="AZ11" s="144"/>
      <c r="BA11" s="144"/>
      <c r="BB11" s="144"/>
      <c r="BC11" s="144"/>
      <c r="BD11" s="144"/>
      <c r="BE11" s="144"/>
      <c r="BF11" s="144"/>
      <c r="BG11" s="144"/>
      <c r="BH11" s="144"/>
      <c r="BI11" s="144"/>
      <c r="BJ11" s="144"/>
      <c r="BK11" s="144"/>
      <c r="BL11" s="144"/>
      <c r="BM11" s="144"/>
      <c r="BN11" s="144"/>
      <c r="BO11" s="144"/>
      <c r="BP11" s="144"/>
      <c r="BQ11" s="144"/>
      <c r="BR11" s="144"/>
      <c r="BS11" s="144"/>
      <c r="BT11" s="144"/>
      <c r="BU11" s="144"/>
      <c r="BV11" s="144"/>
      <c r="BW11" s="144"/>
      <c r="BX11" s="144"/>
      <c r="BY11" s="144"/>
      <c r="BZ11" s="144"/>
      <c r="CA11" s="144"/>
      <c r="CB11" s="144"/>
      <c r="CC11" s="144"/>
      <c r="CD11" s="144"/>
      <c r="CE11" s="144"/>
      <c r="CF11" s="144"/>
      <c r="CG11" s="144"/>
      <c r="CH11" s="144"/>
      <c r="CI11" s="144"/>
      <c r="CJ11" s="144"/>
      <c r="CK11" s="144"/>
      <c r="CL11" s="144"/>
      <c r="CM11" s="144"/>
      <c r="CN11" s="144"/>
      <c r="CO11" s="144"/>
      <c r="CP11" s="144"/>
      <c r="CQ11" s="144"/>
      <c r="CR11" s="144"/>
      <c r="CS11" s="144"/>
      <c r="CT11" s="144"/>
      <c r="CU11" s="144"/>
      <c r="CV11" s="144"/>
      <c r="CW11" s="144"/>
      <c r="CX11" s="144"/>
      <c r="CY11" s="144"/>
      <c r="CZ11" s="144"/>
      <c r="DA11" s="144"/>
      <c r="DB11" s="144"/>
      <c r="DC11" s="144"/>
      <c r="DD11" s="144"/>
      <c r="DE11" s="144"/>
      <c r="DF11" s="144"/>
      <c r="DG11" s="144"/>
      <c r="DH11" s="144"/>
      <c r="DI11" s="144"/>
      <c r="DJ11" s="144"/>
      <c r="DK11" s="144"/>
      <c r="DL11" s="144"/>
      <c r="DM11" s="144"/>
      <c r="DN11" s="144"/>
      <c r="DO11" s="144"/>
      <c r="DP11" s="144"/>
      <c r="DQ11" s="144"/>
      <c r="DR11" s="144"/>
      <c r="DS11" s="144"/>
      <c r="DT11" s="144"/>
      <c r="DU11" s="144"/>
      <c r="DV11" s="144"/>
    </row>
    <row r="12" ht="14.5">
      <c r="E12" s="345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  <c r="AA12" s="144"/>
      <c r="AB12" s="144"/>
      <c r="AC12" s="144"/>
      <c r="AD12" s="144"/>
      <c r="AE12" s="144"/>
      <c r="AF12" s="144"/>
      <c r="AG12" s="144"/>
      <c r="AH12" s="144"/>
      <c r="AI12" s="144"/>
      <c r="AJ12" s="144"/>
      <c r="AK12" s="144"/>
      <c r="AL12" s="144"/>
      <c r="AM12" s="144"/>
      <c r="AN12" s="144"/>
      <c r="AO12" s="144"/>
      <c r="AP12" s="144"/>
      <c r="AQ12" s="144"/>
      <c r="AR12" s="144"/>
      <c r="AS12" s="144"/>
      <c r="AT12" s="144"/>
      <c r="AU12" s="144"/>
      <c r="AV12" s="144"/>
      <c r="AW12" s="144"/>
      <c r="AX12" s="144"/>
      <c r="AY12" s="144"/>
      <c r="AZ12" s="144"/>
      <c r="BA12" s="144"/>
      <c r="BB12" s="144"/>
      <c r="BC12" s="144"/>
      <c r="BD12" s="144"/>
      <c r="BE12" s="144"/>
      <c r="BF12" s="144"/>
      <c r="BG12" s="144"/>
      <c r="BH12" s="144"/>
      <c r="BI12" s="144"/>
      <c r="BJ12" s="144"/>
      <c r="BK12" s="144"/>
      <c r="BL12" s="144"/>
      <c r="BM12" s="144"/>
      <c r="BN12" s="144"/>
      <c r="BO12" s="144"/>
      <c r="BP12" s="144"/>
      <c r="BQ12" s="144"/>
      <c r="BR12" s="144"/>
      <c r="BS12" s="144"/>
      <c r="BT12" s="144"/>
      <c r="BU12" s="144"/>
      <c r="BV12" s="144"/>
      <c r="BW12" s="144"/>
      <c r="BX12" s="144"/>
      <c r="BY12" s="144"/>
      <c r="BZ12" s="144"/>
      <c r="CA12" s="144"/>
      <c r="CB12" s="144"/>
      <c r="CC12" s="144"/>
      <c r="CD12" s="144"/>
      <c r="CE12" s="144"/>
      <c r="CF12" s="144"/>
      <c r="CG12" s="144"/>
      <c r="CH12" s="144"/>
      <c r="CI12" s="144"/>
      <c r="CJ12" s="144"/>
      <c r="CK12" s="144"/>
      <c r="CL12" s="144"/>
      <c r="CM12" s="144"/>
      <c r="CN12" s="144"/>
      <c r="CO12" s="144"/>
      <c r="CP12" s="144"/>
      <c r="CQ12" s="144"/>
      <c r="CR12" s="144"/>
      <c r="CS12" s="144"/>
      <c r="CT12" s="144"/>
      <c r="CU12" s="144"/>
      <c r="CV12" s="144"/>
      <c r="CW12" s="144"/>
      <c r="CX12" s="144"/>
      <c r="CY12" s="144"/>
      <c r="CZ12" s="144"/>
      <c r="DA12" s="144"/>
      <c r="DB12" s="144"/>
      <c r="DC12" s="144"/>
      <c r="DD12" s="144"/>
      <c r="DE12" s="144"/>
      <c r="DF12" s="144"/>
      <c r="DG12" s="144"/>
      <c r="DH12" s="144"/>
      <c r="DI12" s="144"/>
      <c r="DJ12" s="144"/>
      <c r="DK12" s="144"/>
      <c r="DL12" s="144"/>
      <c r="DM12" s="144"/>
      <c r="DN12" s="144"/>
      <c r="DO12" s="144"/>
      <c r="DP12" s="144"/>
      <c r="DQ12" s="144"/>
      <c r="DR12" s="144"/>
      <c r="DS12" s="144"/>
      <c r="DT12" s="144"/>
      <c r="DU12" s="144"/>
      <c r="DV12" s="144"/>
    </row>
    <row r="13" ht="14.5">
      <c r="E13" s="345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44"/>
      <c r="AQ13" s="144"/>
      <c r="AR13" s="144"/>
      <c r="AS13" s="144"/>
      <c r="AT13" s="144"/>
      <c r="AU13" s="144"/>
      <c r="AV13" s="144"/>
      <c r="AW13" s="144"/>
      <c r="AX13" s="144"/>
      <c r="AY13" s="144"/>
      <c r="AZ13" s="144"/>
      <c r="BA13" s="144"/>
      <c r="BB13" s="144"/>
      <c r="BC13" s="144"/>
      <c r="BD13" s="144"/>
      <c r="BE13" s="144"/>
      <c r="BF13" s="144"/>
      <c r="BG13" s="144"/>
      <c r="BH13" s="144"/>
      <c r="BI13" s="144"/>
      <c r="BJ13" s="144"/>
      <c r="BK13" s="144"/>
      <c r="BL13" s="144"/>
      <c r="BM13" s="144"/>
      <c r="BN13" s="144"/>
      <c r="BO13" s="144"/>
      <c r="BP13" s="144"/>
      <c r="BQ13" s="144"/>
      <c r="BR13" s="144"/>
      <c r="BS13" s="144"/>
      <c r="BT13" s="144"/>
      <c r="BU13" s="144"/>
      <c r="BV13" s="144"/>
      <c r="BW13" s="144"/>
      <c r="BX13" s="144"/>
      <c r="BY13" s="144"/>
      <c r="BZ13" s="144"/>
      <c r="CA13" s="144"/>
      <c r="CB13" s="144"/>
      <c r="CC13" s="144"/>
      <c r="CD13" s="144"/>
      <c r="CE13" s="144"/>
      <c r="CF13" s="144"/>
      <c r="CG13" s="144"/>
      <c r="CH13" s="144"/>
      <c r="CI13" s="144"/>
      <c r="CJ13" s="144"/>
      <c r="CK13" s="144"/>
      <c r="CL13" s="144"/>
      <c r="CM13" s="144"/>
      <c r="CN13" s="144"/>
      <c r="CO13" s="144"/>
      <c r="CP13" s="144"/>
      <c r="CQ13" s="144"/>
      <c r="CR13" s="144"/>
      <c r="CS13" s="144"/>
      <c r="CT13" s="144"/>
      <c r="CU13" s="144"/>
      <c r="CV13" s="144"/>
      <c r="CW13" s="144"/>
      <c r="CX13" s="144"/>
      <c r="CY13" s="144"/>
      <c r="CZ13" s="144"/>
      <c r="DA13" s="144"/>
      <c r="DB13" s="144"/>
      <c r="DC13" s="144"/>
      <c r="DD13" s="144"/>
      <c r="DE13" s="144"/>
      <c r="DF13" s="144"/>
      <c r="DG13" s="144"/>
      <c r="DH13" s="144"/>
      <c r="DI13" s="144"/>
      <c r="DJ13" s="144"/>
      <c r="DK13" s="144"/>
      <c r="DL13" s="144"/>
      <c r="DM13" s="144"/>
      <c r="DN13" s="144"/>
      <c r="DO13" s="144"/>
      <c r="DP13" s="144"/>
      <c r="DQ13" s="144"/>
      <c r="DR13" s="144"/>
      <c r="DS13" s="144"/>
      <c r="DT13" s="144"/>
      <c r="DU13" s="144"/>
      <c r="DV13" s="144"/>
    </row>
    <row r="14" ht="14.5">
      <c r="E14" s="345"/>
      <c r="G14" s="144"/>
      <c r="H14" s="144"/>
      <c r="I14" s="144"/>
      <c r="J14" s="144"/>
      <c r="K14" s="144"/>
      <c r="L14" s="144"/>
      <c r="M14" s="144"/>
      <c r="N14" s="144"/>
      <c r="O14" s="144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4"/>
      <c r="AM14" s="144"/>
      <c r="AN14" s="144"/>
      <c r="AO14" s="144"/>
      <c r="AP14" s="144"/>
      <c r="AQ14" s="144"/>
      <c r="AR14" s="144"/>
      <c r="AS14" s="144"/>
      <c r="AT14" s="144"/>
      <c r="AU14" s="144"/>
      <c r="AV14" s="144"/>
      <c r="AW14" s="144"/>
      <c r="AX14" s="144"/>
      <c r="AY14" s="144"/>
      <c r="AZ14" s="144"/>
      <c r="BA14" s="144"/>
      <c r="BB14" s="144"/>
      <c r="BC14" s="144"/>
      <c r="BD14" s="144"/>
      <c r="BE14" s="144"/>
      <c r="BF14" s="144"/>
      <c r="BG14" s="144"/>
      <c r="BH14" s="144"/>
      <c r="BI14" s="144"/>
      <c r="BJ14" s="144"/>
      <c r="BK14" s="144"/>
      <c r="BL14" s="144"/>
      <c r="BM14" s="144"/>
      <c r="BN14" s="144"/>
      <c r="BO14" s="144"/>
      <c r="BP14" s="144"/>
      <c r="BQ14" s="144"/>
      <c r="BR14" s="144"/>
      <c r="BS14" s="144"/>
      <c r="BT14" s="144"/>
      <c r="BU14" s="144"/>
      <c r="BV14" s="144"/>
      <c r="BW14" s="144"/>
      <c r="BX14" s="144"/>
      <c r="BY14" s="144"/>
      <c r="BZ14" s="144"/>
      <c r="CA14" s="144"/>
      <c r="CB14" s="144"/>
      <c r="CC14" s="144"/>
      <c r="CD14" s="144"/>
      <c r="CE14" s="144"/>
      <c r="CF14" s="144"/>
      <c r="CG14" s="144"/>
      <c r="CH14" s="144"/>
      <c r="CI14" s="144"/>
      <c r="CJ14" s="144"/>
      <c r="CK14" s="144"/>
      <c r="CL14" s="144"/>
      <c r="CM14" s="144"/>
      <c r="CN14" s="144"/>
      <c r="CO14" s="144"/>
      <c r="CP14" s="144"/>
      <c r="CQ14" s="144"/>
      <c r="CR14" s="144"/>
      <c r="CS14" s="144"/>
      <c r="CT14" s="144"/>
      <c r="CU14" s="144"/>
      <c r="CV14" s="144"/>
      <c r="CW14" s="144"/>
      <c r="CX14" s="144"/>
      <c r="CY14" s="144"/>
      <c r="CZ14" s="144"/>
      <c r="DA14" s="144"/>
      <c r="DB14" s="144"/>
      <c r="DC14" s="144"/>
      <c r="DD14" s="144"/>
      <c r="DE14" s="144"/>
      <c r="DF14" s="144"/>
      <c r="DG14" s="144"/>
      <c r="DH14" s="144"/>
      <c r="DI14" s="144"/>
      <c r="DJ14" s="144"/>
      <c r="DK14" s="144"/>
      <c r="DL14" s="144"/>
      <c r="DM14" s="144"/>
      <c r="DN14" s="144"/>
      <c r="DO14" s="144"/>
      <c r="DP14" s="144"/>
      <c r="DQ14" s="144"/>
      <c r="DR14" s="144"/>
      <c r="DS14" s="144"/>
      <c r="DT14" s="144"/>
      <c r="DU14" s="144"/>
      <c r="DV14" s="144"/>
    </row>
    <row r="15" ht="14.5">
      <c r="G15" s="144"/>
      <c r="H15" s="144"/>
      <c r="I15" s="144"/>
      <c r="J15" s="144"/>
      <c r="K15" s="144"/>
      <c r="L15" s="144"/>
      <c r="M15" s="144"/>
      <c r="N15" s="144"/>
      <c r="O15" s="144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4"/>
      <c r="AM15" s="144"/>
      <c r="AN15" s="144"/>
      <c r="AO15" s="144"/>
      <c r="AP15" s="144"/>
      <c r="AQ15" s="144"/>
      <c r="AR15" s="144"/>
      <c r="AS15" s="144"/>
      <c r="AT15" s="144"/>
      <c r="AU15" s="144"/>
      <c r="AV15" s="144"/>
      <c r="AW15" s="144"/>
      <c r="AX15" s="144"/>
      <c r="AY15" s="144"/>
      <c r="AZ15" s="144"/>
      <c r="BA15" s="144"/>
      <c r="BB15" s="144"/>
      <c r="BC15" s="144"/>
      <c r="BD15" s="144"/>
      <c r="BE15" s="144"/>
      <c r="BF15" s="144"/>
      <c r="BG15" s="144"/>
      <c r="BH15" s="144"/>
      <c r="BI15" s="144"/>
      <c r="BJ15" s="144"/>
      <c r="BK15" s="144"/>
      <c r="BL15" s="144"/>
      <c r="BM15" s="144"/>
      <c r="BN15" s="144"/>
      <c r="BO15" s="144"/>
      <c r="BP15" s="144"/>
      <c r="BQ15" s="144"/>
      <c r="BR15" s="144"/>
      <c r="BS15" s="144"/>
      <c r="BT15" s="144"/>
      <c r="BU15" s="144"/>
      <c r="BV15" s="144"/>
      <c r="BW15" s="144"/>
      <c r="BX15" s="144"/>
      <c r="BY15" s="144"/>
      <c r="BZ15" s="144"/>
      <c r="CA15" s="144"/>
      <c r="CB15" s="144"/>
      <c r="CC15" s="144"/>
      <c r="CD15" s="144"/>
      <c r="CE15" s="144"/>
      <c r="CF15" s="144"/>
      <c r="CG15" s="144"/>
      <c r="CH15" s="144"/>
      <c r="CI15" s="144"/>
      <c r="CJ15" s="144"/>
      <c r="CK15" s="144"/>
      <c r="CL15" s="144"/>
      <c r="CM15" s="144"/>
      <c r="CN15" s="144"/>
      <c r="CO15" s="144"/>
      <c r="CP15" s="144"/>
      <c r="CQ15" s="144"/>
      <c r="CR15" s="144"/>
      <c r="CS15" s="144"/>
      <c r="CT15" s="144"/>
      <c r="CU15" s="144"/>
      <c r="CV15" s="144"/>
      <c r="CW15" s="144"/>
      <c r="CX15" s="144"/>
    </row>
    <row r="16" ht="14.5">
      <c r="E16" s="345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4"/>
      <c r="AM16" s="144"/>
      <c r="AN16" s="144"/>
      <c r="AO16" s="144"/>
      <c r="AP16" s="144"/>
      <c r="AQ16" s="144"/>
      <c r="AR16" s="144"/>
      <c r="AS16" s="144"/>
      <c r="AT16" s="144"/>
      <c r="AU16" s="144"/>
      <c r="AV16" s="144"/>
      <c r="AW16" s="144"/>
      <c r="AX16" s="144"/>
      <c r="AY16" s="144"/>
      <c r="AZ16" s="144"/>
      <c r="BA16" s="144"/>
      <c r="BB16" s="144"/>
      <c r="BC16" s="144"/>
      <c r="BD16" s="144"/>
      <c r="BE16" s="144"/>
      <c r="BF16" s="144"/>
      <c r="BG16" s="144"/>
      <c r="BH16" s="144"/>
      <c r="BI16" s="144"/>
      <c r="BJ16" s="144"/>
      <c r="BK16" s="144"/>
      <c r="BL16" s="144"/>
      <c r="BM16" s="144"/>
      <c r="BN16" s="144"/>
      <c r="BO16" s="144"/>
      <c r="BP16" s="144"/>
      <c r="BQ16" s="144"/>
      <c r="BR16" s="144"/>
      <c r="BS16" s="144"/>
      <c r="BT16" s="144"/>
      <c r="BU16" s="144"/>
      <c r="BV16" s="144"/>
      <c r="BW16" s="144"/>
      <c r="BX16" s="144"/>
      <c r="BY16" s="144"/>
      <c r="BZ16" s="144"/>
      <c r="CA16" s="144"/>
      <c r="CB16" s="144"/>
      <c r="CC16" s="144"/>
      <c r="CD16" s="144"/>
      <c r="CE16" s="144"/>
      <c r="CF16" s="144"/>
      <c r="CG16" s="144"/>
      <c r="CH16" s="144"/>
      <c r="CI16" s="144"/>
      <c r="CJ16" s="144"/>
      <c r="CK16" s="144"/>
      <c r="CL16" s="144"/>
      <c r="CM16" s="144"/>
      <c r="CN16" s="144"/>
      <c r="CO16" s="144"/>
      <c r="CP16" s="144"/>
      <c r="CQ16" s="144"/>
      <c r="CR16" s="144"/>
      <c r="CS16" s="144"/>
      <c r="CT16" s="144"/>
      <c r="CU16" s="144"/>
      <c r="CV16" s="144"/>
      <c r="CW16" s="144"/>
      <c r="CX16" s="144"/>
    </row>
    <row r="17" ht="14.5">
      <c r="E17" s="348"/>
      <c r="G17" s="144"/>
      <c r="H17" s="144"/>
      <c r="I17" s="144"/>
      <c r="J17" s="144"/>
      <c r="K17" s="144"/>
      <c r="L17" s="144"/>
      <c r="M17" s="144"/>
      <c r="N17" s="144"/>
      <c r="O17" s="144"/>
      <c r="P17" s="144"/>
      <c r="Q17" s="144"/>
      <c r="R17" s="144"/>
      <c r="S17" s="144"/>
      <c r="T17" s="144"/>
      <c r="U17" s="144"/>
      <c r="V17" s="144"/>
      <c r="W17" s="144"/>
      <c r="X17" s="144"/>
      <c r="Y17" s="144"/>
      <c r="Z17" s="144"/>
      <c r="AA17" s="144"/>
      <c r="AB17" s="144"/>
      <c r="AC17" s="144"/>
      <c r="AD17" s="144"/>
      <c r="AE17" s="144"/>
      <c r="AF17" s="144"/>
      <c r="AG17" s="144"/>
      <c r="AH17" s="144"/>
      <c r="AI17" s="144"/>
      <c r="AJ17" s="144"/>
      <c r="AK17" s="144"/>
      <c r="AL17" s="144"/>
      <c r="AM17" s="144"/>
      <c r="AN17" s="144"/>
      <c r="AO17" s="144"/>
      <c r="AP17" s="144"/>
      <c r="AQ17" s="144"/>
      <c r="AR17" s="144"/>
      <c r="AS17" s="144"/>
      <c r="AT17" s="144"/>
      <c r="AU17" s="144"/>
      <c r="AV17" s="144"/>
      <c r="AW17" s="144"/>
      <c r="AX17" s="144"/>
      <c r="AY17" s="144"/>
      <c r="AZ17" s="144"/>
      <c r="BA17" s="144"/>
      <c r="BB17" s="144"/>
      <c r="BC17" s="144"/>
      <c r="BD17" s="144"/>
      <c r="BE17" s="144"/>
      <c r="BF17" s="144"/>
      <c r="BG17" s="144"/>
      <c r="BH17" s="144"/>
      <c r="BI17" s="144"/>
      <c r="BJ17" s="144"/>
      <c r="BK17" s="144"/>
      <c r="BL17" s="144"/>
      <c r="BM17" s="144"/>
      <c r="BN17" s="144"/>
      <c r="BO17" s="144"/>
      <c r="BP17" s="144"/>
      <c r="BQ17" s="144"/>
      <c r="BR17" s="144"/>
      <c r="BS17" s="144"/>
      <c r="BT17" s="144"/>
      <c r="BU17" s="144"/>
      <c r="BV17" s="144"/>
      <c r="BW17" s="144"/>
      <c r="BX17" s="144"/>
      <c r="BY17" s="144"/>
      <c r="BZ17" s="144"/>
      <c r="CA17" s="144"/>
      <c r="CB17" s="144"/>
      <c r="CC17" s="144"/>
      <c r="CD17" s="144"/>
      <c r="CE17" s="144"/>
      <c r="CF17" s="144"/>
      <c r="CG17" s="144"/>
      <c r="CH17" s="144"/>
      <c r="CI17" s="144"/>
      <c r="CJ17" s="144"/>
      <c r="CK17" s="144"/>
      <c r="CL17" s="144"/>
      <c r="CM17" s="144"/>
      <c r="CN17" s="144"/>
      <c r="CO17" s="144"/>
      <c r="CP17" s="144"/>
      <c r="CQ17" s="144"/>
      <c r="CR17" s="144"/>
      <c r="CS17" s="144"/>
      <c r="CT17" s="144"/>
      <c r="CU17" s="144"/>
      <c r="CV17" s="144"/>
      <c r="CW17" s="144"/>
      <c r="CX17" s="144"/>
    </row>
    <row r="18" ht="14.5">
      <c r="D18" s="3" t="s">
        <v>1353</v>
      </c>
      <c r="E18" s="326"/>
      <c r="G18" s="100">
        <f>+G10-G6</f>
        <v>0</v>
      </c>
      <c r="H18" s="100">
        <f>+H10-H6</f>
        <v>0</v>
      </c>
      <c r="I18" s="100">
        <f t="shared" ref="I18:BT18" si="4">+I10-I6</f>
        <v>0</v>
      </c>
      <c r="J18" s="100">
        <f t="shared" si="4"/>
        <v>0</v>
      </c>
      <c r="K18" s="100">
        <f t="shared" si="4"/>
        <v>0</v>
      </c>
      <c r="L18" s="100">
        <f t="shared" si="4"/>
        <v>0</v>
      </c>
      <c r="M18" s="100">
        <f t="shared" si="4"/>
        <v>0</v>
      </c>
      <c r="N18" s="100">
        <f t="shared" si="4"/>
        <v>0</v>
      </c>
      <c r="O18" s="100">
        <f t="shared" si="4"/>
        <v>0</v>
      </c>
      <c r="P18" s="100">
        <f t="shared" si="4"/>
        <v>0</v>
      </c>
      <c r="Q18" s="100">
        <f t="shared" si="4"/>
        <v>0</v>
      </c>
      <c r="R18" s="100">
        <f t="shared" si="4"/>
        <v>0</v>
      </c>
      <c r="S18" s="100">
        <f t="shared" si="4"/>
        <v>0</v>
      </c>
      <c r="T18" s="100">
        <f t="shared" si="4"/>
        <v>0</v>
      </c>
      <c r="U18" s="100">
        <f t="shared" si="4"/>
        <v>0</v>
      </c>
      <c r="V18" s="100">
        <f t="shared" si="4"/>
        <v>0</v>
      </c>
      <c r="W18" s="100">
        <f t="shared" si="4"/>
        <v>0</v>
      </c>
      <c r="X18" s="100">
        <f t="shared" si="4"/>
        <v>0</v>
      </c>
      <c r="Y18" s="100">
        <f t="shared" si="4"/>
        <v>0</v>
      </c>
      <c r="Z18" s="100">
        <f t="shared" si="4"/>
        <v>0</v>
      </c>
      <c r="AA18" s="100">
        <f t="shared" si="4"/>
        <v>0</v>
      </c>
      <c r="AB18" s="100">
        <f t="shared" si="4"/>
        <v>0</v>
      </c>
      <c r="AC18" s="100">
        <f t="shared" si="4"/>
        <v>0</v>
      </c>
      <c r="AD18" s="100">
        <f t="shared" si="4"/>
        <v>0</v>
      </c>
      <c r="AE18" s="100">
        <f t="shared" si="4"/>
        <v>0</v>
      </c>
      <c r="AF18" s="100">
        <f t="shared" si="4"/>
        <v>0</v>
      </c>
      <c r="AG18" s="100">
        <f t="shared" si="4"/>
        <v>0</v>
      </c>
      <c r="AH18" s="100">
        <f t="shared" si="4"/>
        <v>0</v>
      </c>
      <c r="AI18" s="100">
        <f t="shared" si="4"/>
        <v>0</v>
      </c>
      <c r="AJ18" s="100">
        <f t="shared" si="4"/>
        <v>0</v>
      </c>
      <c r="AK18" s="100">
        <f t="shared" si="4"/>
        <v>0</v>
      </c>
      <c r="AL18" s="100">
        <f t="shared" si="4"/>
        <v>0</v>
      </c>
      <c r="AM18" s="100">
        <f t="shared" si="4"/>
        <v>0</v>
      </c>
      <c r="AN18" s="100">
        <f t="shared" si="4"/>
        <v>0</v>
      </c>
      <c r="AO18" s="100">
        <f t="shared" si="4"/>
        <v>0</v>
      </c>
      <c r="AP18" s="100">
        <f t="shared" si="4"/>
        <v>0</v>
      </c>
      <c r="AQ18" s="100">
        <f t="shared" si="4"/>
        <v>0</v>
      </c>
      <c r="AR18" s="100">
        <f t="shared" si="4"/>
        <v>0</v>
      </c>
      <c r="AS18" s="100">
        <f t="shared" si="4"/>
        <v>0</v>
      </c>
      <c r="AT18" s="100">
        <f t="shared" si="4"/>
        <v>0</v>
      </c>
      <c r="AU18" s="100">
        <f t="shared" si="4"/>
        <v>0</v>
      </c>
      <c r="AV18" s="100">
        <f t="shared" si="4"/>
        <v>0</v>
      </c>
      <c r="AW18" s="100">
        <f t="shared" si="4"/>
        <v>0</v>
      </c>
      <c r="AX18" s="100">
        <f t="shared" si="4"/>
        <v>0</v>
      </c>
      <c r="AY18" s="100">
        <f t="shared" si="4"/>
        <v>0</v>
      </c>
      <c r="AZ18" s="100">
        <f t="shared" si="4"/>
        <v>0</v>
      </c>
      <c r="BA18" s="100">
        <f t="shared" si="4"/>
        <v>0</v>
      </c>
      <c r="BB18" s="100">
        <f t="shared" si="4"/>
        <v>0</v>
      </c>
      <c r="BC18" s="100">
        <f t="shared" si="4"/>
        <v>0</v>
      </c>
      <c r="BD18" s="100">
        <f t="shared" si="4"/>
        <v>0</v>
      </c>
      <c r="BE18" s="100">
        <f t="shared" si="4"/>
        <v>0</v>
      </c>
      <c r="BF18" s="100">
        <f t="shared" si="4"/>
        <v>0</v>
      </c>
      <c r="BG18" s="100">
        <f t="shared" si="4"/>
        <v>0</v>
      </c>
      <c r="BH18" s="100">
        <f t="shared" si="4"/>
        <v>0</v>
      </c>
      <c r="BI18" s="100">
        <f t="shared" si="4"/>
        <v>0</v>
      </c>
      <c r="BJ18" s="100">
        <f t="shared" si="4"/>
        <v>0</v>
      </c>
      <c r="BK18" s="100">
        <f t="shared" si="4"/>
        <v>0</v>
      </c>
      <c r="BL18" s="100">
        <f t="shared" si="4"/>
        <v>0</v>
      </c>
      <c r="BM18" s="100">
        <f t="shared" si="4"/>
        <v>0</v>
      </c>
      <c r="BN18" s="100">
        <f t="shared" si="4"/>
        <v>0</v>
      </c>
      <c r="BO18" s="100">
        <f t="shared" si="4"/>
        <v>0</v>
      </c>
      <c r="BP18" s="100">
        <f t="shared" si="4"/>
        <v>0</v>
      </c>
      <c r="BQ18" s="100">
        <f t="shared" si="4"/>
        <v>0</v>
      </c>
      <c r="BR18" s="100">
        <f t="shared" si="4"/>
        <v>0</v>
      </c>
      <c r="BS18" s="100">
        <f t="shared" si="4"/>
        <v>0</v>
      </c>
      <c r="BT18" s="100">
        <f t="shared" si="4"/>
        <v>0</v>
      </c>
      <c r="BU18" s="100">
        <f t="shared" ref="BU18:DV18" si="5">+BU10-BU6</f>
        <v>0</v>
      </c>
      <c r="BV18" s="100">
        <f t="shared" si="5"/>
        <v>0</v>
      </c>
      <c r="BW18" s="100">
        <f t="shared" si="5"/>
        <v>0</v>
      </c>
      <c r="BX18" s="100">
        <f t="shared" si="5"/>
        <v>0</v>
      </c>
      <c r="BY18" s="100">
        <f t="shared" si="5"/>
        <v>0</v>
      </c>
      <c r="BZ18" s="100">
        <f t="shared" si="5"/>
        <v>0</v>
      </c>
      <c r="CA18" s="100">
        <f t="shared" si="5"/>
        <v>0</v>
      </c>
      <c r="CB18" s="100">
        <f t="shared" si="5"/>
        <v>0</v>
      </c>
      <c r="CC18" s="100">
        <f t="shared" si="5"/>
        <v>0</v>
      </c>
      <c r="CD18" s="100">
        <f t="shared" si="5"/>
        <v>0</v>
      </c>
      <c r="CE18" s="100">
        <f t="shared" si="5"/>
        <v>0</v>
      </c>
      <c r="CF18" s="100">
        <f t="shared" si="5"/>
        <v>0</v>
      </c>
      <c r="CG18" s="100">
        <f t="shared" si="5"/>
        <v>0</v>
      </c>
      <c r="CH18" s="100">
        <f t="shared" si="5"/>
        <v>0</v>
      </c>
      <c r="CI18" s="100">
        <f t="shared" si="5"/>
        <v>0</v>
      </c>
      <c r="CJ18" s="100">
        <f t="shared" si="5"/>
        <v>0</v>
      </c>
      <c r="CK18" s="100">
        <f t="shared" si="5"/>
        <v>0</v>
      </c>
      <c r="CL18" s="100">
        <f t="shared" si="5"/>
        <v>0</v>
      </c>
      <c r="CM18" s="100">
        <f t="shared" si="5"/>
        <v>0</v>
      </c>
      <c r="CN18" s="100">
        <f t="shared" si="5"/>
        <v>0</v>
      </c>
      <c r="CO18" s="100">
        <f t="shared" si="5"/>
        <v>0</v>
      </c>
      <c r="CP18" s="100">
        <f t="shared" si="5"/>
        <v>0</v>
      </c>
      <c r="CQ18" s="100">
        <f t="shared" si="5"/>
        <v>0</v>
      </c>
      <c r="CR18" s="100">
        <f t="shared" si="5"/>
        <v>0</v>
      </c>
      <c r="CS18" s="100">
        <f t="shared" si="5"/>
        <v>0</v>
      </c>
      <c r="CT18" s="100">
        <f t="shared" si="5"/>
        <v>0</v>
      </c>
      <c r="CU18" s="100">
        <f t="shared" si="5"/>
        <v>0</v>
      </c>
      <c r="CV18" s="100">
        <f t="shared" si="5"/>
        <v>0</v>
      </c>
      <c r="CW18" s="100">
        <f t="shared" si="5"/>
        <v>0</v>
      </c>
      <c r="CX18" s="100">
        <f t="shared" si="5"/>
        <v>0</v>
      </c>
      <c r="CY18" s="100">
        <f t="shared" si="5"/>
        <v>0</v>
      </c>
      <c r="CZ18" s="100">
        <f t="shared" si="5"/>
        <v>0</v>
      </c>
      <c r="DA18" s="100">
        <f t="shared" si="5"/>
        <v>0</v>
      </c>
      <c r="DB18" s="100">
        <f t="shared" si="5"/>
        <v>0</v>
      </c>
      <c r="DC18" s="100">
        <f t="shared" si="5"/>
        <v>0</v>
      </c>
      <c r="DD18" s="100">
        <f t="shared" si="5"/>
        <v>0</v>
      </c>
      <c r="DE18" s="100">
        <f t="shared" si="5"/>
        <v>0</v>
      </c>
      <c r="DF18" s="100">
        <f t="shared" si="5"/>
        <v>0</v>
      </c>
      <c r="DG18" s="100">
        <f t="shared" si="5"/>
        <v>0</v>
      </c>
      <c r="DH18" s="100">
        <f t="shared" si="5"/>
        <v>0</v>
      </c>
      <c r="DI18" s="100">
        <f t="shared" si="5"/>
        <v>0</v>
      </c>
      <c r="DJ18" s="100">
        <f t="shared" si="5"/>
        <v>0</v>
      </c>
      <c r="DK18" s="100">
        <f t="shared" si="5"/>
        <v>0</v>
      </c>
      <c r="DL18" s="100">
        <f t="shared" si="5"/>
        <v>0</v>
      </c>
      <c r="DM18" s="100">
        <f t="shared" si="5"/>
        <v>0</v>
      </c>
      <c r="DN18" s="100">
        <f t="shared" si="5"/>
        <v>0</v>
      </c>
      <c r="DO18" s="100">
        <f t="shared" si="5"/>
        <v>0</v>
      </c>
      <c r="DP18" s="100">
        <f t="shared" si="5"/>
        <v>0</v>
      </c>
      <c r="DQ18" s="100">
        <f t="shared" si="5"/>
        <v>0</v>
      </c>
      <c r="DR18" s="100">
        <f t="shared" si="5"/>
        <v>0</v>
      </c>
      <c r="DS18" s="100">
        <f t="shared" si="5"/>
        <v>0</v>
      </c>
      <c r="DT18" s="100">
        <f t="shared" si="5"/>
        <v>0</v>
      </c>
      <c r="DU18" s="100">
        <f t="shared" si="5"/>
        <v>0</v>
      </c>
      <c r="DV18" s="100">
        <f t="shared" si="5"/>
        <v>0</v>
      </c>
    </row>
    <row r="19" ht="14.5">
      <c r="E19" s="346"/>
      <c r="G19" s="144"/>
      <c r="H19" s="144"/>
      <c r="I19" s="144"/>
      <c r="J19" s="144"/>
      <c r="K19" s="144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4"/>
      <c r="AM19" s="144"/>
      <c r="AN19" s="144"/>
      <c r="AO19" s="144"/>
      <c r="AP19" s="144"/>
      <c r="AQ19" s="144"/>
      <c r="AR19" s="144"/>
      <c r="AS19" s="144"/>
      <c r="AT19" s="144"/>
      <c r="AU19" s="144"/>
      <c r="AV19" s="144"/>
      <c r="AW19" s="144"/>
      <c r="AX19" s="144"/>
      <c r="AY19" s="144"/>
      <c r="AZ19" s="144"/>
      <c r="BA19" s="144"/>
      <c r="BB19" s="144"/>
      <c r="BC19" s="144"/>
      <c r="BD19" s="144"/>
      <c r="BE19" s="144"/>
      <c r="BF19" s="144"/>
      <c r="BG19" s="144"/>
      <c r="BH19" s="144"/>
      <c r="BI19" s="144"/>
      <c r="BJ19" s="144"/>
      <c r="BK19" s="144"/>
      <c r="BL19" s="144"/>
      <c r="BM19" s="144"/>
      <c r="BN19" s="144"/>
      <c r="BO19" s="144"/>
      <c r="BP19" s="144"/>
      <c r="BQ19" s="144"/>
      <c r="BR19" s="144"/>
      <c r="BS19" s="144"/>
      <c r="BT19" s="144"/>
      <c r="BU19" s="144"/>
      <c r="BV19" s="144"/>
      <c r="BW19" s="144"/>
      <c r="BX19" s="144"/>
      <c r="BY19" s="144"/>
      <c r="BZ19" s="144"/>
      <c r="CA19" s="144"/>
      <c r="CB19" s="144"/>
      <c r="CC19" s="144"/>
      <c r="CD19" s="144"/>
      <c r="CE19" s="144"/>
      <c r="CF19" s="144"/>
      <c r="CG19" s="144"/>
      <c r="CH19" s="144"/>
      <c r="CI19" s="144"/>
      <c r="CJ19" s="144"/>
      <c r="CK19" s="144"/>
      <c r="CL19" s="144"/>
      <c r="CM19" s="144"/>
      <c r="CN19" s="144"/>
      <c r="CO19" s="144"/>
      <c r="CP19" s="144"/>
      <c r="CQ19" s="144"/>
      <c r="CR19" s="144"/>
      <c r="CS19" s="144"/>
      <c r="CT19" s="144"/>
      <c r="CU19" s="144"/>
      <c r="CV19" s="144"/>
      <c r="CW19" s="144"/>
      <c r="CX19" s="144"/>
    </row>
    <row r="20" ht="14.5">
      <c r="E20" s="346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144"/>
      <c r="AD20" s="144"/>
      <c r="AE20" s="144"/>
      <c r="AF20" s="144"/>
      <c r="AG20" s="144"/>
      <c r="AH20" s="144"/>
      <c r="AI20" s="144"/>
      <c r="AJ20" s="144"/>
      <c r="AK20" s="144"/>
      <c r="AL20" s="144"/>
      <c r="AM20" s="144"/>
      <c r="AN20" s="144"/>
      <c r="AO20" s="144"/>
      <c r="AP20" s="144"/>
      <c r="AQ20" s="144"/>
      <c r="AR20" s="144"/>
      <c r="AS20" s="144"/>
      <c r="AT20" s="144"/>
      <c r="AU20" s="144"/>
      <c r="AV20" s="144"/>
      <c r="AW20" s="144"/>
      <c r="AX20" s="144"/>
      <c r="AY20" s="144"/>
      <c r="AZ20" s="144"/>
      <c r="BA20" s="144"/>
      <c r="BB20" s="144"/>
      <c r="BC20" s="144"/>
      <c r="BD20" s="144"/>
      <c r="BE20" s="144"/>
      <c r="BF20" s="144"/>
      <c r="BG20" s="144"/>
      <c r="BH20" s="144"/>
      <c r="BI20" s="144"/>
      <c r="BJ20" s="144"/>
      <c r="BK20" s="144"/>
      <c r="BL20" s="144"/>
      <c r="BM20" s="144"/>
      <c r="BN20" s="144"/>
      <c r="BO20" s="144"/>
      <c r="BP20" s="144"/>
      <c r="BQ20" s="144"/>
      <c r="BR20" s="144"/>
      <c r="BS20" s="144"/>
      <c r="BT20" s="144"/>
      <c r="BU20" s="144"/>
      <c r="BV20" s="144"/>
      <c r="BW20" s="144"/>
      <c r="BX20" s="144"/>
      <c r="BY20" s="144"/>
      <c r="BZ20" s="144"/>
      <c r="CA20" s="144"/>
      <c r="CB20" s="144"/>
      <c r="CC20" s="144"/>
      <c r="CD20" s="144"/>
      <c r="CE20" s="144"/>
      <c r="CF20" s="144"/>
      <c r="CG20" s="144"/>
      <c r="CH20" s="144"/>
      <c r="CI20" s="144"/>
      <c r="CJ20" s="144"/>
      <c r="CK20" s="144"/>
      <c r="CL20" s="144"/>
      <c r="CM20" s="144"/>
      <c r="CN20" s="144"/>
      <c r="CO20" s="144"/>
      <c r="CP20" s="144"/>
      <c r="CQ20" s="144"/>
      <c r="CR20" s="144"/>
      <c r="CS20" s="144"/>
      <c r="CT20" s="144"/>
      <c r="CU20" s="144"/>
      <c r="CV20" s="144"/>
      <c r="CW20" s="144"/>
      <c r="CX20" s="144"/>
    </row>
    <row r="21" ht="21">
      <c r="C21" s="298" t="s">
        <v>1357</v>
      </c>
      <c r="D21" s="298"/>
      <c r="E21" s="346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4"/>
      <c r="AM21" s="144"/>
      <c r="AN21" s="144"/>
      <c r="AO21" s="144"/>
      <c r="AP21" s="144"/>
      <c r="AQ21" s="144"/>
      <c r="AR21" s="144"/>
      <c r="AS21" s="144"/>
      <c r="AT21" s="144"/>
      <c r="AU21" s="144"/>
      <c r="AV21" s="144"/>
      <c r="AW21" s="144"/>
      <c r="AX21" s="144"/>
      <c r="AY21" s="144"/>
      <c r="AZ21" s="144"/>
      <c r="BA21" s="144"/>
      <c r="BB21" s="144"/>
      <c r="BC21" s="144"/>
      <c r="BD21" s="144"/>
      <c r="BE21" s="144"/>
      <c r="BF21" s="144"/>
      <c r="BG21" s="144"/>
      <c r="BH21" s="144"/>
      <c r="BI21" s="144"/>
      <c r="BJ21" s="144"/>
      <c r="BK21" s="144"/>
      <c r="BL21" s="144"/>
      <c r="BM21" s="144"/>
      <c r="BN21" s="144"/>
      <c r="BO21" s="144"/>
      <c r="BP21" s="144"/>
      <c r="BQ21" s="144"/>
      <c r="BR21" s="144"/>
      <c r="BS21" s="144"/>
      <c r="BT21" s="144"/>
      <c r="BU21" s="144"/>
      <c r="BV21" s="144"/>
      <c r="BW21" s="144"/>
      <c r="BX21" s="144"/>
      <c r="BY21" s="144"/>
      <c r="BZ21" s="144"/>
      <c r="CA21" s="144"/>
      <c r="CB21" s="144"/>
      <c r="CC21" s="144"/>
      <c r="CD21" s="144"/>
      <c r="CE21" s="144"/>
      <c r="CF21" s="144"/>
      <c r="CG21" s="144"/>
      <c r="CH21" s="144"/>
      <c r="CI21" s="144"/>
      <c r="CJ21" s="144"/>
      <c r="CK21" s="144"/>
      <c r="CL21" s="144"/>
      <c r="CM21" s="144"/>
      <c r="CN21" s="144"/>
      <c r="CO21" s="144"/>
      <c r="CP21" s="144"/>
      <c r="CQ21" s="144"/>
      <c r="CR21" s="144"/>
      <c r="CS21" s="144"/>
      <c r="CT21" s="144"/>
      <c r="CU21" s="144"/>
      <c r="CV21" s="144"/>
      <c r="CW21" s="144"/>
      <c r="CX21" s="144"/>
    </row>
    <row r="22" ht="21">
      <c r="C22" s="298"/>
      <c r="D22" s="298"/>
      <c r="E22" s="349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4"/>
      <c r="AM22" s="144"/>
      <c r="AN22" s="144"/>
      <c r="AO22" s="144"/>
      <c r="AP22" s="144"/>
      <c r="AQ22" s="144"/>
      <c r="AR22" s="144"/>
      <c r="AS22" s="144"/>
      <c r="AT22" s="144"/>
      <c r="AU22" s="144"/>
      <c r="AV22" s="144"/>
      <c r="AW22" s="144"/>
      <c r="AX22" s="144"/>
      <c r="AY22" s="144"/>
      <c r="AZ22" s="144"/>
      <c r="BA22" s="144"/>
      <c r="BB22" s="144"/>
      <c r="BC22" s="144"/>
      <c r="BD22" s="144"/>
      <c r="BE22" s="144"/>
      <c r="BF22" s="144"/>
      <c r="BG22" s="144"/>
      <c r="BH22" s="144"/>
      <c r="BI22" s="144"/>
      <c r="BJ22" s="144"/>
      <c r="BK22" s="144"/>
      <c r="BL22" s="144"/>
      <c r="BM22" s="144"/>
      <c r="BN22" s="144"/>
      <c r="BO22" s="144"/>
      <c r="BP22" s="144"/>
      <c r="BQ22" s="144"/>
      <c r="BR22" s="144"/>
      <c r="BS22" s="144"/>
      <c r="BT22" s="144"/>
      <c r="BU22" s="144"/>
      <c r="BV22" s="144"/>
      <c r="BW22" s="144"/>
      <c r="BX22" s="144"/>
      <c r="BY22" s="144"/>
      <c r="BZ22" s="144"/>
      <c r="CA22" s="144"/>
      <c r="CB22" s="144"/>
      <c r="CC22" s="144"/>
      <c r="CD22" s="144"/>
      <c r="CE22" s="144"/>
      <c r="CF22" s="144"/>
      <c r="CG22" s="144"/>
      <c r="CH22" s="144"/>
      <c r="CI22" s="144"/>
      <c r="CJ22" s="144"/>
      <c r="CK22" s="144"/>
      <c r="CL22" s="144"/>
      <c r="CM22" s="144"/>
      <c r="CN22" s="144"/>
      <c r="CO22" s="144"/>
      <c r="CP22" s="144"/>
      <c r="CQ22" s="144"/>
      <c r="CR22" s="144"/>
      <c r="CS22" s="144"/>
      <c r="CT22" s="144"/>
      <c r="CU22" s="144"/>
      <c r="CV22" s="144"/>
      <c r="CW22" s="144"/>
      <c r="CX22" s="144"/>
    </row>
    <row r="23" ht="14.5">
      <c r="D23" s="345" t="s">
        <v>1354</v>
      </c>
      <c r="E23" s="345"/>
      <c r="F23">
        <f>+IF(Attivo!K63&lt;-Passivo!J26,-Attivo!K63+Passivo!J26,0)</f>
        <v>0</v>
      </c>
      <c r="G23" s="144">
        <f>+G6</f>
        <v>0</v>
      </c>
      <c r="H23" s="144">
        <f t="shared" ref="H23:M23" si="6">+H6</f>
        <v>0</v>
      </c>
      <c r="I23" s="144">
        <f t="shared" si="6"/>
        <v>0</v>
      </c>
      <c r="J23" s="144">
        <f t="shared" si="6"/>
        <v>0</v>
      </c>
      <c r="K23" s="144">
        <f t="shared" si="6"/>
        <v>0</v>
      </c>
      <c r="L23" s="144">
        <f t="shared" si="6"/>
        <v>0</v>
      </c>
      <c r="M23" s="144">
        <f t="shared" si="6"/>
        <v>0</v>
      </c>
      <c r="N23" s="144">
        <f t="shared" ref="N23:BY23" si="7">+N6</f>
        <v>0</v>
      </c>
      <c r="O23" s="144">
        <f t="shared" si="7"/>
        <v>0</v>
      </c>
      <c r="P23" s="144">
        <f t="shared" si="7"/>
        <v>0</v>
      </c>
      <c r="Q23" s="144">
        <f t="shared" si="7"/>
        <v>0</v>
      </c>
      <c r="R23" s="144">
        <f t="shared" si="7"/>
        <v>0</v>
      </c>
      <c r="S23" s="144">
        <f t="shared" si="7"/>
        <v>0</v>
      </c>
      <c r="T23" s="144">
        <f t="shared" si="7"/>
        <v>0</v>
      </c>
      <c r="U23" s="144">
        <f t="shared" si="7"/>
        <v>0</v>
      </c>
      <c r="V23" s="144">
        <f t="shared" si="7"/>
        <v>0</v>
      </c>
      <c r="W23" s="144">
        <f t="shared" si="7"/>
        <v>0</v>
      </c>
      <c r="X23" s="144">
        <f t="shared" si="7"/>
        <v>0</v>
      </c>
      <c r="Y23" s="144">
        <f t="shared" si="7"/>
        <v>0</v>
      </c>
      <c r="Z23" s="144">
        <f t="shared" si="7"/>
        <v>0</v>
      </c>
      <c r="AA23" s="144">
        <f t="shared" si="7"/>
        <v>0</v>
      </c>
      <c r="AB23" s="144">
        <f t="shared" si="7"/>
        <v>0</v>
      </c>
      <c r="AC23" s="144">
        <f t="shared" si="7"/>
        <v>0</v>
      </c>
      <c r="AD23" s="144">
        <f t="shared" si="7"/>
        <v>0</v>
      </c>
      <c r="AE23" s="144">
        <f t="shared" si="7"/>
        <v>0</v>
      </c>
      <c r="AF23" s="144">
        <f t="shared" si="7"/>
        <v>0</v>
      </c>
      <c r="AG23" s="144">
        <f t="shared" si="7"/>
        <v>0</v>
      </c>
      <c r="AH23" s="144">
        <f t="shared" si="7"/>
        <v>0</v>
      </c>
      <c r="AI23" s="144">
        <f t="shared" si="7"/>
        <v>0</v>
      </c>
      <c r="AJ23" s="144">
        <f t="shared" si="7"/>
        <v>0</v>
      </c>
      <c r="AK23" s="144">
        <f t="shared" si="7"/>
        <v>0</v>
      </c>
      <c r="AL23" s="144">
        <f t="shared" si="7"/>
        <v>0</v>
      </c>
      <c r="AM23" s="144">
        <f t="shared" si="7"/>
        <v>0</v>
      </c>
      <c r="AN23" s="144">
        <f t="shared" si="7"/>
        <v>0</v>
      </c>
      <c r="AO23" s="144">
        <f t="shared" si="7"/>
        <v>0</v>
      </c>
      <c r="AP23" s="144">
        <f t="shared" si="7"/>
        <v>0</v>
      </c>
      <c r="AQ23" s="144">
        <f t="shared" si="7"/>
        <v>0</v>
      </c>
      <c r="AR23" s="144">
        <f t="shared" si="7"/>
        <v>0</v>
      </c>
      <c r="AS23" s="144">
        <f t="shared" si="7"/>
        <v>0</v>
      </c>
      <c r="AT23" s="144">
        <f t="shared" si="7"/>
        <v>0</v>
      </c>
      <c r="AU23" s="144">
        <f t="shared" si="7"/>
        <v>0</v>
      </c>
      <c r="AV23" s="144">
        <f t="shared" si="7"/>
        <v>0</v>
      </c>
      <c r="AW23" s="144">
        <f t="shared" si="7"/>
        <v>0</v>
      </c>
      <c r="AX23" s="144">
        <f t="shared" si="7"/>
        <v>0</v>
      </c>
      <c r="AY23" s="144">
        <f t="shared" si="7"/>
        <v>0</v>
      </c>
      <c r="AZ23" s="144">
        <f t="shared" si="7"/>
        <v>0</v>
      </c>
      <c r="BA23" s="144">
        <f t="shared" si="7"/>
        <v>0</v>
      </c>
      <c r="BB23" s="144">
        <f t="shared" si="7"/>
        <v>0</v>
      </c>
      <c r="BC23" s="144">
        <f t="shared" si="7"/>
        <v>0</v>
      </c>
      <c r="BD23" s="144">
        <f t="shared" si="7"/>
        <v>0</v>
      </c>
      <c r="BE23" s="144">
        <f t="shared" si="7"/>
        <v>0</v>
      </c>
      <c r="BF23" s="144">
        <f t="shared" si="7"/>
        <v>0</v>
      </c>
      <c r="BG23" s="144">
        <f t="shared" si="7"/>
        <v>0</v>
      </c>
      <c r="BH23" s="144">
        <f t="shared" si="7"/>
        <v>0</v>
      </c>
      <c r="BI23" s="144">
        <f t="shared" si="7"/>
        <v>0</v>
      </c>
      <c r="BJ23" s="144">
        <f t="shared" si="7"/>
        <v>0</v>
      </c>
      <c r="BK23" s="144">
        <f t="shared" si="7"/>
        <v>0</v>
      </c>
      <c r="BL23" s="144">
        <f t="shared" si="7"/>
        <v>0</v>
      </c>
      <c r="BM23" s="144">
        <f t="shared" si="7"/>
        <v>0</v>
      </c>
      <c r="BN23" s="144">
        <f t="shared" si="7"/>
        <v>0</v>
      </c>
      <c r="BO23" s="144">
        <f t="shared" si="7"/>
        <v>0</v>
      </c>
      <c r="BP23" s="144">
        <f t="shared" si="7"/>
        <v>0</v>
      </c>
      <c r="BQ23" s="144">
        <f t="shared" si="7"/>
        <v>0</v>
      </c>
      <c r="BR23" s="144">
        <f t="shared" si="7"/>
        <v>0</v>
      </c>
      <c r="BS23" s="144">
        <f t="shared" si="7"/>
        <v>0</v>
      </c>
      <c r="BT23" s="144">
        <f t="shared" si="7"/>
        <v>0</v>
      </c>
      <c r="BU23" s="144">
        <f t="shared" si="7"/>
        <v>0</v>
      </c>
      <c r="BV23" s="144">
        <f t="shared" si="7"/>
        <v>0</v>
      </c>
      <c r="BW23" s="144">
        <f t="shared" si="7"/>
        <v>0</v>
      </c>
      <c r="BX23" s="144">
        <f t="shared" si="7"/>
        <v>0</v>
      </c>
      <c r="BY23" s="144">
        <f t="shared" si="7"/>
        <v>0</v>
      </c>
      <c r="BZ23" s="144">
        <f t="shared" ref="BZ23:DV23" si="8">+BZ6</f>
        <v>0</v>
      </c>
      <c r="CA23" s="144">
        <f t="shared" si="8"/>
        <v>0</v>
      </c>
      <c r="CB23" s="144">
        <f t="shared" si="8"/>
        <v>0</v>
      </c>
      <c r="CC23" s="144">
        <f t="shared" si="8"/>
        <v>0</v>
      </c>
      <c r="CD23" s="144">
        <f t="shared" si="8"/>
        <v>0</v>
      </c>
      <c r="CE23" s="144">
        <f t="shared" si="8"/>
        <v>0</v>
      </c>
      <c r="CF23" s="144">
        <f t="shared" si="8"/>
        <v>0</v>
      </c>
      <c r="CG23" s="144">
        <f t="shared" si="8"/>
        <v>0</v>
      </c>
      <c r="CH23" s="144">
        <f t="shared" si="8"/>
        <v>0</v>
      </c>
      <c r="CI23" s="144">
        <f t="shared" si="8"/>
        <v>0</v>
      </c>
      <c r="CJ23" s="144">
        <f t="shared" si="8"/>
        <v>0</v>
      </c>
      <c r="CK23" s="144">
        <f t="shared" si="8"/>
        <v>0</v>
      </c>
      <c r="CL23" s="144">
        <f t="shared" si="8"/>
        <v>0</v>
      </c>
      <c r="CM23" s="144">
        <f t="shared" si="8"/>
        <v>0</v>
      </c>
      <c r="CN23" s="144">
        <f t="shared" si="8"/>
        <v>0</v>
      </c>
      <c r="CO23" s="144">
        <f t="shared" si="8"/>
        <v>0</v>
      </c>
      <c r="CP23" s="144">
        <f t="shared" si="8"/>
        <v>0</v>
      </c>
      <c r="CQ23" s="144">
        <f t="shared" si="8"/>
        <v>0</v>
      </c>
      <c r="CR23" s="144">
        <f t="shared" si="8"/>
        <v>0</v>
      </c>
      <c r="CS23" s="144">
        <f t="shared" si="8"/>
        <v>0</v>
      </c>
      <c r="CT23" s="144">
        <f t="shared" si="8"/>
        <v>0</v>
      </c>
      <c r="CU23" s="144">
        <f t="shared" si="8"/>
        <v>0</v>
      </c>
      <c r="CV23" s="144">
        <f t="shared" si="8"/>
        <v>0</v>
      </c>
      <c r="CW23" s="144">
        <f t="shared" si="8"/>
        <v>0</v>
      </c>
      <c r="CX23" s="144">
        <f t="shared" si="8"/>
        <v>0</v>
      </c>
      <c r="CY23" s="144">
        <f t="shared" si="8"/>
        <v>0</v>
      </c>
      <c r="CZ23" s="144">
        <f t="shared" si="8"/>
        <v>0</v>
      </c>
      <c r="DA23" s="144">
        <f t="shared" si="8"/>
        <v>0</v>
      </c>
      <c r="DB23" s="144">
        <f t="shared" si="8"/>
        <v>0</v>
      </c>
      <c r="DC23" s="144">
        <f t="shared" si="8"/>
        <v>0</v>
      </c>
      <c r="DD23" s="144">
        <f t="shared" si="8"/>
        <v>0</v>
      </c>
      <c r="DE23" s="144">
        <f t="shared" si="8"/>
        <v>0</v>
      </c>
      <c r="DF23" s="144">
        <f t="shared" si="8"/>
        <v>0</v>
      </c>
      <c r="DG23" s="144">
        <f t="shared" si="8"/>
        <v>0</v>
      </c>
      <c r="DH23" s="144">
        <f t="shared" si="8"/>
        <v>0</v>
      </c>
      <c r="DI23" s="144">
        <f t="shared" si="8"/>
        <v>0</v>
      </c>
      <c r="DJ23" s="144">
        <f t="shared" si="8"/>
        <v>0</v>
      </c>
      <c r="DK23" s="144">
        <f t="shared" si="8"/>
        <v>0</v>
      </c>
      <c r="DL23" s="144">
        <f t="shared" si="8"/>
        <v>0</v>
      </c>
      <c r="DM23" s="144">
        <f t="shared" si="8"/>
        <v>0</v>
      </c>
      <c r="DN23" s="144">
        <f t="shared" si="8"/>
        <v>0</v>
      </c>
      <c r="DO23" s="144">
        <f t="shared" si="8"/>
        <v>0</v>
      </c>
      <c r="DP23" s="144">
        <f t="shared" si="8"/>
        <v>0</v>
      </c>
      <c r="DQ23" s="144">
        <f t="shared" si="8"/>
        <v>0</v>
      </c>
      <c r="DR23" s="144">
        <f t="shared" si="8"/>
        <v>0</v>
      </c>
      <c r="DS23" s="144">
        <f t="shared" si="8"/>
        <v>0</v>
      </c>
      <c r="DT23" s="144">
        <f t="shared" si="8"/>
        <v>0</v>
      </c>
      <c r="DU23" s="144">
        <f t="shared" si="8"/>
        <v>0</v>
      </c>
      <c r="DV23" s="144">
        <f t="shared" si="8"/>
        <v>0</v>
      </c>
    </row>
    <row r="24" ht="14.5">
      <c r="D24" s="345" t="s">
        <v>1356</v>
      </c>
      <c r="E24" s="345"/>
      <c r="G24" s="144">
        <f>+G10+F26</f>
        <v>0</v>
      </c>
      <c r="H24" s="144">
        <f>+H10+G26</f>
        <v>0</v>
      </c>
      <c r="I24" s="144">
        <f t="shared" ref="I24:M24" si="9">+I10+H26</f>
        <v>0</v>
      </c>
      <c r="J24" s="144">
        <f t="shared" si="9"/>
        <v>0</v>
      </c>
      <c r="K24" s="144">
        <f t="shared" si="9"/>
        <v>0</v>
      </c>
      <c r="L24" s="144">
        <f t="shared" si="9"/>
        <v>0</v>
      </c>
      <c r="M24" s="144">
        <f t="shared" si="9"/>
        <v>0</v>
      </c>
      <c r="N24" s="144">
        <f t="shared" ref="N24:BY24" si="10">+N10+M26</f>
        <v>0</v>
      </c>
      <c r="O24" s="144">
        <f t="shared" si="10"/>
        <v>0</v>
      </c>
      <c r="P24" s="144">
        <f t="shared" si="10"/>
        <v>0</v>
      </c>
      <c r="Q24" s="144">
        <f t="shared" si="10"/>
        <v>0</v>
      </c>
      <c r="R24" s="144">
        <f t="shared" si="10"/>
        <v>0</v>
      </c>
      <c r="S24" s="144">
        <f t="shared" si="10"/>
        <v>0</v>
      </c>
      <c r="T24" s="144">
        <f t="shared" si="10"/>
        <v>0</v>
      </c>
      <c r="U24" s="144">
        <f t="shared" si="10"/>
        <v>0</v>
      </c>
      <c r="V24" s="144">
        <f t="shared" si="10"/>
        <v>0</v>
      </c>
      <c r="W24" s="144">
        <f t="shared" si="10"/>
        <v>0</v>
      </c>
      <c r="X24" s="144">
        <f t="shared" si="10"/>
        <v>0</v>
      </c>
      <c r="Y24" s="144">
        <f t="shared" si="10"/>
        <v>0</v>
      </c>
      <c r="Z24" s="144">
        <f t="shared" si="10"/>
        <v>0</v>
      </c>
      <c r="AA24" s="144">
        <f t="shared" si="10"/>
        <v>0</v>
      </c>
      <c r="AB24" s="144">
        <f t="shared" si="10"/>
        <v>0</v>
      </c>
      <c r="AC24" s="144">
        <f t="shared" si="10"/>
        <v>0</v>
      </c>
      <c r="AD24" s="144">
        <f t="shared" si="10"/>
        <v>0</v>
      </c>
      <c r="AE24" s="144">
        <f t="shared" si="10"/>
        <v>0</v>
      </c>
      <c r="AF24" s="144">
        <f t="shared" si="10"/>
        <v>0</v>
      </c>
      <c r="AG24" s="144">
        <f t="shared" si="10"/>
        <v>0</v>
      </c>
      <c r="AH24" s="144">
        <f t="shared" si="10"/>
        <v>0</v>
      </c>
      <c r="AI24" s="144">
        <f t="shared" si="10"/>
        <v>0</v>
      </c>
      <c r="AJ24" s="144">
        <f t="shared" si="10"/>
        <v>0</v>
      </c>
      <c r="AK24" s="144">
        <f t="shared" si="10"/>
        <v>0</v>
      </c>
      <c r="AL24" s="144">
        <f t="shared" si="10"/>
        <v>0</v>
      </c>
      <c r="AM24" s="144">
        <f t="shared" si="10"/>
        <v>0</v>
      </c>
      <c r="AN24" s="144">
        <f t="shared" si="10"/>
        <v>0</v>
      </c>
      <c r="AO24" s="144">
        <f t="shared" si="10"/>
        <v>0</v>
      </c>
      <c r="AP24" s="144">
        <f t="shared" si="10"/>
        <v>0</v>
      </c>
      <c r="AQ24" s="144">
        <f t="shared" si="10"/>
        <v>0</v>
      </c>
      <c r="AR24" s="144">
        <f t="shared" si="10"/>
        <v>0</v>
      </c>
      <c r="AS24" s="144">
        <f t="shared" si="10"/>
        <v>0</v>
      </c>
      <c r="AT24" s="144">
        <f t="shared" si="10"/>
        <v>0</v>
      </c>
      <c r="AU24" s="144">
        <f t="shared" si="10"/>
        <v>0</v>
      </c>
      <c r="AV24" s="144">
        <f t="shared" si="10"/>
        <v>0</v>
      </c>
      <c r="AW24" s="144">
        <f t="shared" si="10"/>
        <v>0</v>
      </c>
      <c r="AX24" s="144">
        <f t="shared" si="10"/>
        <v>0</v>
      </c>
      <c r="AY24" s="144">
        <f t="shared" si="10"/>
        <v>0</v>
      </c>
      <c r="AZ24" s="144">
        <f t="shared" si="10"/>
        <v>0</v>
      </c>
      <c r="BA24" s="144">
        <f t="shared" si="10"/>
        <v>0</v>
      </c>
      <c r="BB24" s="144">
        <f t="shared" si="10"/>
        <v>0</v>
      </c>
      <c r="BC24" s="144">
        <f t="shared" si="10"/>
        <v>0</v>
      </c>
      <c r="BD24" s="144">
        <f t="shared" si="10"/>
        <v>0</v>
      </c>
      <c r="BE24" s="144">
        <f t="shared" si="10"/>
        <v>0</v>
      </c>
      <c r="BF24" s="144">
        <f t="shared" si="10"/>
        <v>0</v>
      </c>
      <c r="BG24" s="144">
        <f t="shared" si="10"/>
        <v>0</v>
      </c>
      <c r="BH24" s="144">
        <f t="shared" si="10"/>
        <v>0</v>
      </c>
      <c r="BI24" s="144">
        <f t="shared" si="10"/>
        <v>0</v>
      </c>
      <c r="BJ24" s="144">
        <f t="shared" si="10"/>
        <v>0</v>
      </c>
      <c r="BK24" s="144">
        <f t="shared" si="10"/>
        <v>0</v>
      </c>
      <c r="BL24" s="144">
        <f t="shared" si="10"/>
        <v>0</v>
      </c>
      <c r="BM24" s="144">
        <f t="shared" si="10"/>
        <v>0</v>
      </c>
      <c r="BN24" s="144">
        <f t="shared" si="10"/>
        <v>0</v>
      </c>
      <c r="BO24" s="144">
        <f t="shared" si="10"/>
        <v>0</v>
      </c>
      <c r="BP24" s="144">
        <f t="shared" si="10"/>
        <v>0</v>
      </c>
      <c r="BQ24" s="144">
        <f t="shared" si="10"/>
        <v>0</v>
      </c>
      <c r="BR24" s="144">
        <f t="shared" si="10"/>
        <v>0</v>
      </c>
      <c r="BS24" s="144">
        <f t="shared" si="10"/>
        <v>0</v>
      </c>
      <c r="BT24" s="144">
        <f t="shared" si="10"/>
        <v>0</v>
      </c>
      <c r="BU24" s="144">
        <f t="shared" si="10"/>
        <v>0</v>
      </c>
      <c r="BV24" s="144">
        <f t="shared" si="10"/>
        <v>0</v>
      </c>
      <c r="BW24" s="144">
        <f t="shared" si="10"/>
        <v>0</v>
      </c>
      <c r="BX24" s="144">
        <f t="shared" si="10"/>
        <v>0</v>
      </c>
      <c r="BY24" s="144">
        <f t="shared" si="10"/>
        <v>0</v>
      </c>
      <c r="BZ24" s="144">
        <f t="shared" ref="BZ24:DV24" si="11">+BZ10+BY26</f>
        <v>0</v>
      </c>
      <c r="CA24" s="144">
        <f t="shared" si="11"/>
        <v>0</v>
      </c>
      <c r="CB24" s="144">
        <f t="shared" si="11"/>
        <v>0</v>
      </c>
      <c r="CC24" s="144">
        <f t="shared" si="11"/>
        <v>0</v>
      </c>
      <c r="CD24" s="144">
        <f t="shared" si="11"/>
        <v>0</v>
      </c>
      <c r="CE24" s="144">
        <f t="shared" si="11"/>
        <v>0</v>
      </c>
      <c r="CF24" s="144">
        <f t="shared" si="11"/>
        <v>0</v>
      </c>
      <c r="CG24" s="144">
        <f t="shared" si="11"/>
        <v>0</v>
      </c>
      <c r="CH24" s="144">
        <f t="shared" si="11"/>
        <v>0</v>
      </c>
      <c r="CI24" s="144">
        <f t="shared" si="11"/>
        <v>0</v>
      </c>
      <c r="CJ24" s="144">
        <f t="shared" si="11"/>
        <v>0</v>
      </c>
      <c r="CK24" s="144">
        <f t="shared" si="11"/>
        <v>0</v>
      </c>
      <c r="CL24" s="144">
        <f t="shared" si="11"/>
        <v>0</v>
      </c>
      <c r="CM24" s="144">
        <f t="shared" si="11"/>
        <v>0</v>
      </c>
      <c r="CN24" s="144">
        <f t="shared" si="11"/>
        <v>0</v>
      </c>
      <c r="CO24" s="144">
        <f t="shared" si="11"/>
        <v>0</v>
      </c>
      <c r="CP24" s="144">
        <f t="shared" si="11"/>
        <v>0</v>
      </c>
      <c r="CQ24" s="144">
        <f t="shared" si="11"/>
        <v>0</v>
      </c>
      <c r="CR24" s="144">
        <f t="shared" si="11"/>
        <v>0</v>
      </c>
      <c r="CS24" s="144">
        <f t="shared" si="11"/>
        <v>0</v>
      </c>
      <c r="CT24" s="144">
        <f t="shared" si="11"/>
        <v>0</v>
      </c>
      <c r="CU24" s="144">
        <f t="shared" si="11"/>
        <v>0</v>
      </c>
      <c r="CV24" s="144">
        <f t="shared" si="11"/>
        <v>0</v>
      </c>
      <c r="CW24" s="144">
        <f t="shared" si="11"/>
        <v>0</v>
      </c>
      <c r="CX24" s="144">
        <f t="shared" si="11"/>
        <v>0</v>
      </c>
      <c r="CY24" s="144">
        <f t="shared" si="11"/>
        <v>0</v>
      </c>
      <c r="CZ24" s="144">
        <f t="shared" si="11"/>
        <v>0</v>
      </c>
      <c r="DA24" s="144">
        <f t="shared" si="11"/>
        <v>0</v>
      </c>
      <c r="DB24" s="144">
        <f t="shared" si="11"/>
        <v>0</v>
      </c>
      <c r="DC24" s="144">
        <f t="shared" si="11"/>
        <v>0</v>
      </c>
      <c r="DD24" s="144">
        <f t="shared" si="11"/>
        <v>0</v>
      </c>
      <c r="DE24" s="144">
        <f t="shared" si="11"/>
        <v>0</v>
      </c>
      <c r="DF24" s="144">
        <f t="shared" si="11"/>
        <v>0</v>
      </c>
      <c r="DG24" s="144">
        <f t="shared" si="11"/>
        <v>0</v>
      </c>
      <c r="DH24" s="144">
        <f t="shared" si="11"/>
        <v>0</v>
      </c>
      <c r="DI24" s="144">
        <f t="shared" si="11"/>
        <v>0</v>
      </c>
      <c r="DJ24" s="144">
        <f t="shared" si="11"/>
        <v>0</v>
      </c>
      <c r="DK24" s="144">
        <f t="shared" si="11"/>
        <v>0</v>
      </c>
      <c r="DL24" s="144">
        <f t="shared" si="11"/>
        <v>0</v>
      </c>
      <c r="DM24" s="144">
        <f t="shared" si="11"/>
        <v>0</v>
      </c>
      <c r="DN24" s="144">
        <f t="shared" si="11"/>
        <v>0</v>
      </c>
      <c r="DO24" s="144">
        <f t="shared" si="11"/>
        <v>0</v>
      </c>
      <c r="DP24" s="144">
        <f t="shared" si="11"/>
        <v>0</v>
      </c>
      <c r="DQ24" s="144">
        <f t="shared" si="11"/>
        <v>0</v>
      </c>
      <c r="DR24" s="144">
        <f t="shared" si="11"/>
        <v>0</v>
      </c>
      <c r="DS24" s="144">
        <f t="shared" si="11"/>
        <v>0</v>
      </c>
      <c r="DT24" s="144">
        <f t="shared" si="11"/>
        <v>0</v>
      </c>
      <c r="DU24" s="144">
        <f t="shared" si="11"/>
        <v>0</v>
      </c>
      <c r="DV24" s="144">
        <f t="shared" si="11"/>
        <v>0</v>
      </c>
    </row>
    <row r="25" ht="14.5">
      <c r="D25" s="345" t="s">
        <v>782</v>
      </c>
      <c r="E25" s="345"/>
      <c r="G25" s="144">
        <f>+F23</f>
        <v>0</v>
      </c>
      <c r="H25" s="144">
        <f>IF(G23&gt;G24,+G23-G24,0)</f>
        <v>0</v>
      </c>
      <c r="I25" s="144">
        <f t="shared" ref="I25:BT25" si="12">IF(H23&gt;H24,+H23-H24,0)</f>
        <v>0</v>
      </c>
      <c r="J25" s="144">
        <f t="shared" si="12"/>
        <v>0</v>
      </c>
      <c r="K25" s="144">
        <f t="shared" si="12"/>
        <v>0</v>
      </c>
      <c r="L25" s="144">
        <f t="shared" si="12"/>
        <v>0</v>
      </c>
      <c r="M25" s="144">
        <f t="shared" si="12"/>
        <v>0</v>
      </c>
      <c r="N25" s="144">
        <f t="shared" si="12"/>
        <v>0</v>
      </c>
      <c r="O25" s="144">
        <f t="shared" si="12"/>
        <v>0</v>
      </c>
      <c r="P25" s="144">
        <f t="shared" si="12"/>
        <v>0</v>
      </c>
      <c r="Q25" s="144">
        <f t="shared" si="12"/>
        <v>0</v>
      </c>
      <c r="R25" s="144">
        <f t="shared" si="12"/>
        <v>0</v>
      </c>
      <c r="S25" s="144">
        <f t="shared" si="12"/>
        <v>0</v>
      </c>
      <c r="T25" s="144">
        <f t="shared" si="12"/>
        <v>0</v>
      </c>
      <c r="U25" s="144">
        <f t="shared" si="12"/>
        <v>0</v>
      </c>
      <c r="V25" s="144">
        <f t="shared" si="12"/>
        <v>0</v>
      </c>
      <c r="W25" s="144">
        <f t="shared" si="12"/>
        <v>0</v>
      </c>
      <c r="X25" s="144">
        <f t="shared" si="12"/>
        <v>0</v>
      </c>
      <c r="Y25" s="144">
        <f t="shared" si="12"/>
        <v>0</v>
      </c>
      <c r="Z25" s="144">
        <f t="shared" si="12"/>
        <v>0</v>
      </c>
      <c r="AA25" s="144">
        <f t="shared" si="12"/>
        <v>0</v>
      </c>
      <c r="AB25" s="144">
        <f t="shared" si="12"/>
        <v>0</v>
      </c>
      <c r="AC25" s="144">
        <f t="shared" si="12"/>
        <v>0</v>
      </c>
      <c r="AD25" s="144">
        <f t="shared" si="12"/>
        <v>0</v>
      </c>
      <c r="AE25" s="144">
        <f t="shared" si="12"/>
        <v>0</v>
      </c>
      <c r="AF25" s="144">
        <f t="shared" si="12"/>
        <v>0</v>
      </c>
      <c r="AG25" s="144">
        <f t="shared" si="12"/>
        <v>0</v>
      </c>
      <c r="AH25" s="144">
        <f t="shared" si="12"/>
        <v>0</v>
      </c>
      <c r="AI25" s="144">
        <f t="shared" si="12"/>
        <v>0</v>
      </c>
      <c r="AJ25" s="144">
        <f t="shared" si="12"/>
        <v>0</v>
      </c>
      <c r="AK25" s="144">
        <f t="shared" si="12"/>
        <v>0</v>
      </c>
      <c r="AL25" s="144">
        <f t="shared" si="12"/>
        <v>0</v>
      </c>
      <c r="AM25" s="144">
        <f t="shared" si="12"/>
        <v>0</v>
      </c>
      <c r="AN25" s="144">
        <f t="shared" si="12"/>
        <v>0</v>
      </c>
      <c r="AO25" s="144">
        <f t="shared" si="12"/>
        <v>0</v>
      </c>
      <c r="AP25" s="144">
        <f t="shared" si="12"/>
        <v>0</v>
      </c>
      <c r="AQ25" s="144">
        <f t="shared" si="12"/>
        <v>0</v>
      </c>
      <c r="AR25" s="144">
        <f t="shared" si="12"/>
        <v>0</v>
      </c>
      <c r="AS25" s="144">
        <f t="shared" si="12"/>
        <v>0</v>
      </c>
      <c r="AT25" s="144">
        <f t="shared" si="12"/>
        <v>0</v>
      </c>
      <c r="AU25" s="144">
        <f t="shared" si="12"/>
        <v>0</v>
      </c>
      <c r="AV25" s="144">
        <f t="shared" si="12"/>
        <v>0</v>
      </c>
      <c r="AW25" s="144">
        <f t="shared" si="12"/>
        <v>0</v>
      </c>
      <c r="AX25" s="144">
        <f t="shared" si="12"/>
        <v>0</v>
      </c>
      <c r="AY25" s="144">
        <f t="shared" si="12"/>
        <v>0</v>
      </c>
      <c r="AZ25" s="144">
        <f t="shared" si="12"/>
        <v>0</v>
      </c>
      <c r="BA25" s="144">
        <f t="shared" si="12"/>
        <v>0</v>
      </c>
      <c r="BB25" s="144">
        <f t="shared" si="12"/>
        <v>0</v>
      </c>
      <c r="BC25" s="144">
        <f t="shared" si="12"/>
        <v>0</v>
      </c>
      <c r="BD25" s="144">
        <f t="shared" si="12"/>
        <v>0</v>
      </c>
      <c r="BE25" s="144">
        <f t="shared" si="12"/>
        <v>0</v>
      </c>
      <c r="BF25" s="144">
        <f t="shared" si="12"/>
        <v>0</v>
      </c>
      <c r="BG25" s="144">
        <f t="shared" si="12"/>
        <v>0</v>
      </c>
      <c r="BH25" s="144">
        <f t="shared" si="12"/>
        <v>0</v>
      </c>
      <c r="BI25" s="144">
        <f t="shared" si="12"/>
        <v>0</v>
      </c>
      <c r="BJ25" s="144">
        <f t="shared" si="12"/>
        <v>0</v>
      </c>
      <c r="BK25" s="144">
        <f t="shared" si="12"/>
        <v>0</v>
      </c>
      <c r="BL25" s="144">
        <f t="shared" si="12"/>
        <v>0</v>
      </c>
      <c r="BM25" s="144">
        <f t="shared" si="12"/>
        <v>0</v>
      </c>
      <c r="BN25" s="144">
        <f t="shared" si="12"/>
        <v>0</v>
      </c>
      <c r="BO25" s="144">
        <f t="shared" si="12"/>
        <v>0</v>
      </c>
      <c r="BP25" s="144">
        <f t="shared" si="12"/>
        <v>0</v>
      </c>
      <c r="BQ25" s="144">
        <f t="shared" si="12"/>
        <v>0</v>
      </c>
      <c r="BR25" s="144">
        <f t="shared" si="12"/>
        <v>0</v>
      </c>
      <c r="BS25" s="144">
        <f t="shared" si="12"/>
        <v>0</v>
      </c>
      <c r="BT25" s="144">
        <f t="shared" si="12"/>
        <v>0</v>
      </c>
      <c r="BU25" s="144">
        <f t="shared" ref="BU25:DV25" si="13">IF(BT23&gt;BT24,+BT23-BT24,0)</f>
        <v>0</v>
      </c>
      <c r="BV25" s="144">
        <f t="shared" si="13"/>
        <v>0</v>
      </c>
      <c r="BW25" s="144">
        <f t="shared" si="13"/>
        <v>0</v>
      </c>
      <c r="BX25" s="144">
        <f t="shared" si="13"/>
        <v>0</v>
      </c>
      <c r="BY25" s="144">
        <f t="shared" si="13"/>
        <v>0</v>
      </c>
      <c r="BZ25" s="144">
        <f t="shared" si="13"/>
        <v>0</v>
      </c>
      <c r="CA25" s="144">
        <f t="shared" si="13"/>
        <v>0</v>
      </c>
      <c r="CB25" s="144">
        <f t="shared" si="13"/>
        <v>0</v>
      </c>
      <c r="CC25" s="144">
        <f t="shared" si="13"/>
        <v>0</v>
      </c>
      <c r="CD25" s="144">
        <f t="shared" si="13"/>
        <v>0</v>
      </c>
      <c r="CE25" s="144">
        <f t="shared" si="13"/>
        <v>0</v>
      </c>
      <c r="CF25" s="144">
        <f t="shared" si="13"/>
        <v>0</v>
      </c>
      <c r="CG25" s="144">
        <f t="shared" si="13"/>
        <v>0</v>
      </c>
      <c r="CH25" s="144">
        <f t="shared" si="13"/>
        <v>0</v>
      </c>
      <c r="CI25" s="144">
        <f t="shared" si="13"/>
        <v>0</v>
      </c>
      <c r="CJ25" s="144">
        <f t="shared" si="13"/>
        <v>0</v>
      </c>
      <c r="CK25" s="144">
        <f t="shared" si="13"/>
        <v>0</v>
      </c>
      <c r="CL25" s="144">
        <f t="shared" si="13"/>
        <v>0</v>
      </c>
      <c r="CM25" s="144">
        <f t="shared" si="13"/>
        <v>0</v>
      </c>
      <c r="CN25" s="144">
        <f t="shared" si="13"/>
        <v>0</v>
      </c>
      <c r="CO25" s="144">
        <f t="shared" si="13"/>
        <v>0</v>
      </c>
      <c r="CP25" s="144">
        <f t="shared" si="13"/>
        <v>0</v>
      </c>
      <c r="CQ25" s="144">
        <f t="shared" si="13"/>
        <v>0</v>
      </c>
      <c r="CR25" s="144">
        <f t="shared" si="13"/>
        <v>0</v>
      </c>
      <c r="CS25" s="144">
        <f t="shared" si="13"/>
        <v>0</v>
      </c>
      <c r="CT25" s="144">
        <f t="shared" si="13"/>
        <v>0</v>
      </c>
      <c r="CU25" s="144">
        <f t="shared" si="13"/>
        <v>0</v>
      </c>
      <c r="CV25" s="144">
        <f t="shared" si="13"/>
        <v>0</v>
      </c>
      <c r="CW25" s="144">
        <f t="shared" si="13"/>
        <v>0</v>
      </c>
      <c r="CX25" s="144">
        <f t="shared" si="13"/>
        <v>0</v>
      </c>
      <c r="CY25" s="144">
        <f t="shared" si="13"/>
        <v>0</v>
      </c>
      <c r="CZ25" s="144">
        <f t="shared" si="13"/>
        <v>0</v>
      </c>
      <c r="DA25" s="144">
        <f t="shared" si="13"/>
        <v>0</v>
      </c>
      <c r="DB25" s="144">
        <f t="shared" si="13"/>
        <v>0</v>
      </c>
      <c r="DC25" s="144">
        <f t="shared" si="13"/>
        <v>0</v>
      </c>
      <c r="DD25" s="144">
        <f t="shared" si="13"/>
        <v>0</v>
      </c>
      <c r="DE25" s="144">
        <f t="shared" si="13"/>
        <v>0</v>
      </c>
      <c r="DF25" s="144">
        <f t="shared" si="13"/>
        <v>0</v>
      </c>
      <c r="DG25" s="144">
        <f t="shared" si="13"/>
        <v>0</v>
      </c>
      <c r="DH25" s="144">
        <f t="shared" si="13"/>
        <v>0</v>
      </c>
      <c r="DI25" s="144">
        <f t="shared" si="13"/>
        <v>0</v>
      </c>
      <c r="DJ25" s="144">
        <f t="shared" si="13"/>
        <v>0</v>
      </c>
      <c r="DK25" s="144">
        <f t="shared" si="13"/>
        <v>0</v>
      </c>
      <c r="DL25" s="144">
        <f t="shared" si="13"/>
        <v>0</v>
      </c>
      <c r="DM25" s="144">
        <f t="shared" si="13"/>
        <v>0</v>
      </c>
      <c r="DN25" s="144">
        <f t="shared" si="13"/>
        <v>0</v>
      </c>
      <c r="DO25" s="144">
        <f t="shared" si="13"/>
        <v>0</v>
      </c>
      <c r="DP25" s="144">
        <f t="shared" si="13"/>
        <v>0</v>
      </c>
      <c r="DQ25" s="144">
        <f t="shared" si="13"/>
        <v>0</v>
      </c>
      <c r="DR25" s="144">
        <f t="shared" si="13"/>
        <v>0</v>
      </c>
      <c r="DS25" s="144">
        <f t="shared" si="13"/>
        <v>0</v>
      </c>
      <c r="DT25" s="144">
        <f t="shared" si="13"/>
        <v>0</v>
      </c>
      <c r="DU25" s="144">
        <f t="shared" si="13"/>
        <v>0</v>
      </c>
      <c r="DV25" s="144">
        <f t="shared" si="13"/>
        <v>0</v>
      </c>
    </row>
    <row r="26" ht="14.5">
      <c r="D26" s="345" t="s">
        <v>1358</v>
      </c>
      <c r="E26" s="345"/>
      <c r="F26" s="212">
        <f>+F11</f>
        <v>0</v>
      </c>
      <c r="G26" s="144">
        <f>IF(G24&gt;G23,+G24-G23,0)</f>
        <v>0</v>
      </c>
      <c r="H26" s="144">
        <f>IF(H24&gt;H23,+H24-H23,0)</f>
        <v>0</v>
      </c>
      <c r="I26" s="144">
        <f t="shared" ref="I26:M26" si="14">IF(I24&gt;I23,+I24-I23,0)</f>
        <v>0</v>
      </c>
      <c r="J26" s="144">
        <f t="shared" si="14"/>
        <v>0</v>
      </c>
      <c r="K26" s="144">
        <f t="shared" si="14"/>
        <v>0</v>
      </c>
      <c r="L26" s="144">
        <f t="shared" si="14"/>
        <v>0</v>
      </c>
      <c r="M26" s="144">
        <f t="shared" si="14"/>
        <v>0</v>
      </c>
      <c r="N26" s="144">
        <f t="shared" ref="N26:BY26" si="15">IF(N24&gt;N23,+N24-N23,0)</f>
        <v>0</v>
      </c>
      <c r="O26" s="144">
        <f t="shared" si="15"/>
        <v>0</v>
      </c>
      <c r="P26" s="144">
        <f t="shared" si="15"/>
        <v>0</v>
      </c>
      <c r="Q26" s="144">
        <f t="shared" si="15"/>
        <v>0</v>
      </c>
      <c r="R26" s="144">
        <f t="shared" si="15"/>
        <v>0</v>
      </c>
      <c r="S26" s="144">
        <f t="shared" si="15"/>
        <v>0</v>
      </c>
      <c r="T26" s="144">
        <f t="shared" si="15"/>
        <v>0</v>
      </c>
      <c r="U26" s="144">
        <f t="shared" si="15"/>
        <v>0</v>
      </c>
      <c r="V26" s="144">
        <f t="shared" si="15"/>
        <v>0</v>
      </c>
      <c r="W26" s="144">
        <f t="shared" si="15"/>
        <v>0</v>
      </c>
      <c r="X26" s="144">
        <f t="shared" si="15"/>
        <v>0</v>
      </c>
      <c r="Y26" s="144">
        <f t="shared" si="15"/>
        <v>0</v>
      </c>
      <c r="Z26" s="144">
        <f t="shared" si="15"/>
        <v>0</v>
      </c>
      <c r="AA26" s="144">
        <f t="shared" si="15"/>
        <v>0</v>
      </c>
      <c r="AB26" s="144">
        <f t="shared" si="15"/>
        <v>0</v>
      </c>
      <c r="AC26" s="144">
        <f t="shared" si="15"/>
        <v>0</v>
      </c>
      <c r="AD26" s="144">
        <f t="shared" si="15"/>
        <v>0</v>
      </c>
      <c r="AE26" s="144">
        <f t="shared" si="15"/>
        <v>0</v>
      </c>
      <c r="AF26" s="144">
        <f t="shared" si="15"/>
        <v>0</v>
      </c>
      <c r="AG26" s="144">
        <f t="shared" si="15"/>
        <v>0</v>
      </c>
      <c r="AH26" s="144">
        <f t="shared" si="15"/>
        <v>0</v>
      </c>
      <c r="AI26" s="144">
        <f t="shared" si="15"/>
        <v>0</v>
      </c>
      <c r="AJ26" s="144">
        <f t="shared" si="15"/>
        <v>0</v>
      </c>
      <c r="AK26" s="144">
        <f t="shared" si="15"/>
        <v>0</v>
      </c>
      <c r="AL26" s="144">
        <f t="shared" si="15"/>
        <v>0</v>
      </c>
      <c r="AM26" s="144">
        <f t="shared" si="15"/>
        <v>0</v>
      </c>
      <c r="AN26" s="144">
        <f t="shared" si="15"/>
        <v>0</v>
      </c>
      <c r="AO26" s="144">
        <f t="shared" si="15"/>
        <v>0</v>
      </c>
      <c r="AP26" s="144">
        <f t="shared" si="15"/>
        <v>0</v>
      </c>
      <c r="AQ26" s="144">
        <f t="shared" si="15"/>
        <v>0</v>
      </c>
      <c r="AR26" s="144">
        <f t="shared" si="15"/>
        <v>0</v>
      </c>
      <c r="AS26" s="144">
        <f t="shared" si="15"/>
        <v>0</v>
      </c>
      <c r="AT26" s="144">
        <f t="shared" si="15"/>
        <v>0</v>
      </c>
      <c r="AU26" s="144">
        <f t="shared" si="15"/>
        <v>0</v>
      </c>
      <c r="AV26" s="144">
        <f t="shared" si="15"/>
        <v>0</v>
      </c>
      <c r="AW26" s="144">
        <f t="shared" si="15"/>
        <v>0</v>
      </c>
      <c r="AX26" s="144">
        <f t="shared" si="15"/>
        <v>0</v>
      </c>
      <c r="AY26" s="144">
        <f t="shared" si="15"/>
        <v>0</v>
      </c>
      <c r="AZ26" s="144">
        <f t="shared" si="15"/>
        <v>0</v>
      </c>
      <c r="BA26" s="144">
        <f t="shared" si="15"/>
        <v>0</v>
      </c>
      <c r="BB26" s="144">
        <f t="shared" si="15"/>
        <v>0</v>
      </c>
      <c r="BC26" s="144">
        <f t="shared" si="15"/>
        <v>0</v>
      </c>
      <c r="BD26" s="144">
        <f t="shared" si="15"/>
        <v>0</v>
      </c>
      <c r="BE26" s="144">
        <f t="shared" si="15"/>
        <v>0</v>
      </c>
      <c r="BF26" s="144">
        <f t="shared" si="15"/>
        <v>0</v>
      </c>
      <c r="BG26" s="144">
        <f t="shared" si="15"/>
        <v>0</v>
      </c>
      <c r="BH26" s="144">
        <f t="shared" si="15"/>
        <v>0</v>
      </c>
      <c r="BI26" s="144">
        <f t="shared" si="15"/>
        <v>0</v>
      </c>
      <c r="BJ26" s="144">
        <f t="shared" si="15"/>
        <v>0</v>
      </c>
      <c r="BK26" s="144">
        <f t="shared" si="15"/>
        <v>0</v>
      </c>
      <c r="BL26" s="144">
        <f t="shared" si="15"/>
        <v>0</v>
      </c>
      <c r="BM26" s="144">
        <f t="shared" si="15"/>
        <v>0</v>
      </c>
      <c r="BN26" s="144">
        <f t="shared" si="15"/>
        <v>0</v>
      </c>
      <c r="BO26" s="144">
        <f t="shared" si="15"/>
        <v>0</v>
      </c>
      <c r="BP26" s="144">
        <f t="shared" si="15"/>
        <v>0</v>
      </c>
      <c r="BQ26" s="144">
        <f t="shared" si="15"/>
        <v>0</v>
      </c>
      <c r="BR26" s="144">
        <f t="shared" si="15"/>
        <v>0</v>
      </c>
      <c r="BS26" s="144">
        <f t="shared" si="15"/>
        <v>0</v>
      </c>
      <c r="BT26" s="144">
        <f t="shared" si="15"/>
        <v>0</v>
      </c>
      <c r="BU26" s="144">
        <f t="shared" si="15"/>
        <v>0</v>
      </c>
      <c r="BV26" s="144">
        <f t="shared" si="15"/>
        <v>0</v>
      </c>
      <c r="BW26" s="144">
        <f t="shared" si="15"/>
        <v>0</v>
      </c>
      <c r="BX26" s="144">
        <f t="shared" si="15"/>
        <v>0</v>
      </c>
      <c r="BY26" s="144">
        <f t="shared" si="15"/>
        <v>0</v>
      </c>
      <c r="BZ26" s="144">
        <f t="shared" ref="BZ26:DV26" si="16">IF(BZ24&gt;BZ23,+BZ24-BZ23,0)</f>
        <v>0</v>
      </c>
      <c r="CA26" s="144">
        <f t="shared" si="16"/>
        <v>0</v>
      </c>
      <c r="CB26" s="144">
        <f t="shared" si="16"/>
        <v>0</v>
      </c>
      <c r="CC26" s="144">
        <f t="shared" si="16"/>
        <v>0</v>
      </c>
      <c r="CD26" s="144">
        <f t="shared" si="16"/>
        <v>0</v>
      </c>
      <c r="CE26" s="144">
        <f t="shared" si="16"/>
        <v>0</v>
      </c>
      <c r="CF26" s="144">
        <f t="shared" si="16"/>
        <v>0</v>
      </c>
      <c r="CG26" s="144">
        <f t="shared" si="16"/>
        <v>0</v>
      </c>
      <c r="CH26" s="144">
        <f t="shared" si="16"/>
        <v>0</v>
      </c>
      <c r="CI26" s="144">
        <f t="shared" si="16"/>
        <v>0</v>
      </c>
      <c r="CJ26" s="144">
        <f t="shared" si="16"/>
        <v>0</v>
      </c>
      <c r="CK26" s="144">
        <f t="shared" si="16"/>
        <v>0</v>
      </c>
      <c r="CL26" s="144">
        <f t="shared" si="16"/>
        <v>0</v>
      </c>
      <c r="CM26" s="144">
        <f t="shared" si="16"/>
        <v>0</v>
      </c>
      <c r="CN26" s="144">
        <f t="shared" si="16"/>
        <v>0</v>
      </c>
      <c r="CO26" s="144">
        <f t="shared" si="16"/>
        <v>0</v>
      </c>
      <c r="CP26" s="144">
        <f t="shared" si="16"/>
        <v>0</v>
      </c>
      <c r="CQ26" s="144">
        <f t="shared" si="16"/>
        <v>0</v>
      </c>
      <c r="CR26" s="144">
        <f t="shared" si="16"/>
        <v>0</v>
      </c>
      <c r="CS26" s="144">
        <f t="shared" si="16"/>
        <v>0</v>
      </c>
      <c r="CT26" s="144">
        <f t="shared" si="16"/>
        <v>0</v>
      </c>
      <c r="CU26" s="144">
        <f t="shared" si="16"/>
        <v>0</v>
      </c>
      <c r="CV26" s="144">
        <f t="shared" si="16"/>
        <v>0</v>
      </c>
      <c r="CW26" s="144">
        <f t="shared" si="16"/>
        <v>0</v>
      </c>
      <c r="CX26" s="144">
        <f t="shared" si="16"/>
        <v>0</v>
      </c>
      <c r="CY26" s="144">
        <f t="shared" si="16"/>
        <v>0</v>
      </c>
      <c r="CZ26" s="144">
        <f t="shared" si="16"/>
        <v>0</v>
      </c>
      <c r="DA26" s="144">
        <f t="shared" si="16"/>
        <v>0</v>
      </c>
      <c r="DB26" s="144">
        <f t="shared" si="16"/>
        <v>0</v>
      </c>
      <c r="DC26" s="144">
        <f t="shared" si="16"/>
        <v>0</v>
      </c>
      <c r="DD26" s="144">
        <f t="shared" si="16"/>
        <v>0</v>
      </c>
      <c r="DE26" s="144">
        <f t="shared" si="16"/>
        <v>0</v>
      </c>
      <c r="DF26" s="144">
        <f t="shared" si="16"/>
        <v>0</v>
      </c>
      <c r="DG26" s="144">
        <f t="shared" si="16"/>
        <v>0</v>
      </c>
      <c r="DH26" s="144">
        <f t="shared" si="16"/>
        <v>0</v>
      </c>
      <c r="DI26" s="144">
        <f t="shared" si="16"/>
        <v>0</v>
      </c>
      <c r="DJ26" s="144">
        <f t="shared" si="16"/>
        <v>0</v>
      </c>
      <c r="DK26" s="144">
        <f t="shared" si="16"/>
        <v>0</v>
      </c>
      <c r="DL26" s="144">
        <f t="shared" si="16"/>
        <v>0</v>
      </c>
      <c r="DM26" s="144">
        <f t="shared" si="16"/>
        <v>0</v>
      </c>
      <c r="DN26" s="144">
        <f t="shared" si="16"/>
        <v>0</v>
      </c>
      <c r="DO26" s="144">
        <f t="shared" si="16"/>
        <v>0</v>
      </c>
      <c r="DP26" s="144">
        <f t="shared" si="16"/>
        <v>0</v>
      </c>
      <c r="DQ26" s="144">
        <f t="shared" si="16"/>
        <v>0</v>
      </c>
      <c r="DR26" s="144">
        <f t="shared" si="16"/>
        <v>0</v>
      </c>
      <c r="DS26" s="144">
        <f t="shared" si="16"/>
        <v>0</v>
      </c>
      <c r="DT26" s="144">
        <f t="shared" si="16"/>
        <v>0</v>
      </c>
      <c r="DU26" s="144">
        <f t="shared" si="16"/>
        <v>0</v>
      </c>
      <c r="DV26" s="144">
        <f t="shared" si="16"/>
        <v>0</v>
      </c>
    </row>
    <row r="27" ht="14.5">
      <c r="D27" s="345" t="s">
        <v>1359</v>
      </c>
      <c r="E27" s="345"/>
      <c r="G27" s="144"/>
      <c r="H27" s="144">
        <f>+G25</f>
        <v>0</v>
      </c>
      <c r="I27" s="144">
        <f>+H25</f>
        <v>0</v>
      </c>
      <c r="J27" s="144">
        <f>+I25</f>
        <v>0</v>
      </c>
      <c r="K27" s="144">
        <f t="shared" ref="K27:M27" si="17">+J25</f>
        <v>0</v>
      </c>
      <c r="L27" s="144">
        <f t="shared" si="17"/>
        <v>0</v>
      </c>
      <c r="M27" s="144">
        <f t="shared" si="17"/>
        <v>0</v>
      </c>
      <c r="N27" s="144">
        <f t="shared" ref="N27:BY27" si="18">+M25</f>
        <v>0</v>
      </c>
      <c r="O27" s="144">
        <f t="shared" si="18"/>
        <v>0</v>
      </c>
      <c r="P27" s="144">
        <f t="shared" si="18"/>
        <v>0</v>
      </c>
      <c r="Q27" s="144">
        <f t="shared" si="18"/>
        <v>0</v>
      </c>
      <c r="R27" s="144">
        <f t="shared" si="18"/>
        <v>0</v>
      </c>
      <c r="S27" s="144">
        <f t="shared" si="18"/>
        <v>0</v>
      </c>
      <c r="T27" s="144">
        <f t="shared" si="18"/>
        <v>0</v>
      </c>
      <c r="U27" s="144">
        <f t="shared" si="18"/>
        <v>0</v>
      </c>
      <c r="V27" s="144">
        <f t="shared" si="18"/>
        <v>0</v>
      </c>
      <c r="W27" s="144">
        <f t="shared" si="18"/>
        <v>0</v>
      </c>
      <c r="X27" s="144">
        <f t="shared" si="18"/>
        <v>0</v>
      </c>
      <c r="Y27" s="144">
        <f t="shared" si="18"/>
        <v>0</v>
      </c>
      <c r="Z27" s="144">
        <f t="shared" si="18"/>
        <v>0</v>
      </c>
      <c r="AA27" s="144">
        <f t="shared" si="18"/>
        <v>0</v>
      </c>
      <c r="AB27" s="144">
        <f t="shared" si="18"/>
        <v>0</v>
      </c>
      <c r="AC27" s="144">
        <f t="shared" si="18"/>
        <v>0</v>
      </c>
      <c r="AD27" s="144">
        <f t="shared" si="18"/>
        <v>0</v>
      </c>
      <c r="AE27" s="144">
        <f t="shared" si="18"/>
        <v>0</v>
      </c>
      <c r="AF27" s="144">
        <f t="shared" si="18"/>
        <v>0</v>
      </c>
      <c r="AG27" s="144">
        <f t="shared" si="18"/>
        <v>0</v>
      </c>
      <c r="AH27" s="144">
        <f t="shared" si="18"/>
        <v>0</v>
      </c>
      <c r="AI27" s="144">
        <f t="shared" si="18"/>
        <v>0</v>
      </c>
      <c r="AJ27" s="144">
        <f t="shared" si="18"/>
        <v>0</v>
      </c>
      <c r="AK27" s="144">
        <f t="shared" si="18"/>
        <v>0</v>
      </c>
      <c r="AL27" s="144">
        <f t="shared" si="18"/>
        <v>0</v>
      </c>
      <c r="AM27" s="144">
        <f t="shared" si="18"/>
        <v>0</v>
      </c>
      <c r="AN27" s="144">
        <f t="shared" si="18"/>
        <v>0</v>
      </c>
      <c r="AO27" s="144">
        <f t="shared" si="18"/>
        <v>0</v>
      </c>
      <c r="AP27" s="144">
        <f t="shared" si="18"/>
        <v>0</v>
      </c>
      <c r="AQ27" s="144">
        <f t="shared" si="18"/>
        <v>0</v>
      </c>
      <c r="AR27" s="144">
        <f t="shared" si="18"/>
        <v>0</v>
      </c>
      <c r="AS27" s="144">
        <f t="shared" si="18"/>
        <v>0</v>
      </c>
      <c r="AT27" s="144">
        <f t="shared" si="18"/>
        <v>0</v>
      </c>
      <c r="AU27" s="144">
        <f t="shared" si="18"/>
        <v>0</v>
      </c>
      <c r="AV27" s="144">
        <f t="shared" si="18"/>
        <v>0</v>
      </c>
      <c r="AW27" s="144">
        <f t="shared" si="18"/>
        <v>0</v>
      </c>
      <c r="AX27" s="144">
        <f t="shared" si="18"/>
        <v>0</v>
      </c>
      <c r="AY27" s="144">
        <f t="shared" si="18"/>
        <v>0</v>
      </c>
      <c r="AZ27" s="144">
        <f t="shared" si="18"/>
        <v>0</v>
      </c>
      <c r="BA27" s="144">
        <f t="shared" si="18"/>
        <v>0</v>
      </c>
      <c r="BB27" s="144">
        <f t="shared" si="18"/>
        <v>0</v>
      </c>
      <c r="BC27" s="144">
        <f t="shared" si="18"/>
        <v>0</v>
      </c>
      <c r="BD27" s="144">
        <f t="shared" si="18"/>
        <v>0</v>
      </c>
      <c r="BE27" s="144">
        <f t="shared" si="18"/>
        <v>0</v>
      </c>
      <c r="BF27" s="144">
        <f t="shared" si="18"/>
        <v>0</v>
      </c>
      <c r="BG27" s="144">
        <f t="shared" si="18"/>
        <v>0</v>
      </c>
      <c r="BH27" s="144">
        <f t="shared" si="18"/>
        <v>0</v>
      </c>
      <c r="BI27" s="144">
        <f t="shared" si="18"/>
        <v>0</v>
      </c>
      <c r="BJ27" s="144">
        <f t="shared" si="18"/>
        <v>0</v>
      </c>
      <c r="BK27" s="144">
        <f t="shared" si="18"/>
        <v>0</v>
      </c>
      <c r="BL27" s="144">
        <f t="shared" si="18"/>
        <v>0</v>
      </c>
      <c r="BM27" s="144">
        <f t="shared" si="18"/>
        <v>0</v>
      </c>
      <c r="BN27" s="144">
        <f t="shared" si="18"/>
        <v>0</v>
      </c>
      <c r="BO27" s="144">
        <f t="shared" si="18"/>
        <v>0</v>
      </c>
      <c r="BP27" s="144">
        <f t="shared" si="18"/>
        <v>0</v>
      </c>
      <c r="BQ27" s="144">
        <f t="shared" si="18"/>
        <v>0</v>
      </c>
      <c r="BR27" s="144">
        <f t="shared" si="18"/>
        <v>0</v>
      </c>
      <c r="BS27" s="144">
        <f t="shared" si="18"/>
        <v>0</v>
      </c>
      <c r="BT27" s="144">
        <f t="shared" si="18"/>
        <v>0</v>
      </c>
      <c r="BU27" s="144">
        <f t="shared" si="18"/>
        <v>0</v>
      </c>
      <c r="BV27" s="144">
        <f t="shared" si="18"/>
        <v>0</v>
      </c>
      <c r="BW27" s="144">
        <f t="shared" si="18"/>
        <v>0</v>
      </c>
      <c r="BX27" s="144">
        <f t="shared" si="18"/>
        <v>0</v>
      </c>
      <c r="BY27" s="144">
        <f t="shared" si="18"/>
        <v>0</v>
      </c>
      <c r="BZ27" s="144">
        <f t="shared" ref="BZ27:DV27" si="19">+BY25</f>
        <v>0</v>
      </c>
      <c r="CA27" s="144">
        <f t="shared" si="19"/>
        <v>0</v>
      </c>
      <c r="CB27" s="144">
        <f t="shared" si="19"/>
        <v>0</v>
      </c>
      <c r="CC27" s="144">
        <f t="shared" si="19"/>
        <v>0</v>
      </c>
      <c r="CD27" s="144">
        <f t="shared" si="19"/>
        <v>0</v>
      </c>
      <c r="CE27" s="144">
        <f t="shared" si="19"/>
        <v>0</v>
      </c>
      <c r="CF27" s="144">
        <f t="shared" si="19"/>
        <v>0</v>
      </c>
      <c r="CG27" s="144">
        <f t="shared" si="19"/>
        <v>0</v>
      </c>
      <c r="CH27" s="144">
        <f t="shared" si="19"/>
        <v>0</v>
      </c>
      <c r="CI27" s="144">
        <f t="shared" si="19"/>
        <v>0</v>
      </c>
      <c r="CJ27" s="144">
        <f t="shared" si="19"/>
        <v>0</v>
      </c>
      <c r="CK27" s="144">
        <f t="shared" si="19"/>
        <v>0</v>
      </c>
      <c r="CL27" s="144">
        <f t="shared" si="19"/>
        <v>0</v>
      </c>
      <c r="CM27" s="144">
        <f t="shared" si="19"/>
        <v>0</v>
      </c>
      <c r="CN27" s="144">
        <f t="shared" si="19"/>
        <v>0</v>
      </c>
      <c r="CO27" s="144">
        <f t="shared" si="19"/>
        <v>0</v>
      </c>
      <c r="CP27" s="144">
        <f t="shared" si="19"/>
        <v>0</v>
      </c>
      <c r="CQ27" s="144">
        <f t="shared" si="19"/>
        <v>0</v>
      </c>
      <c r="CR27" s="144">
        <f t="shared" si="19"/>
        <v>0</v>
      </c>
      <c r="CS27" s="144">
        <f t="shared" si="19"/>
        <v>0</v>
      </c>
      <c r="CT27" s="144">
        <f t="shared" si="19"/>
        <v>0</v>
      </c>
      <c r="CU27" s="144">
        <f t="shared" si="19"/>
        <v>0</v>
      </c>
      <c r="CV27" s="144">
        <f t="shared" si="19"/>
        <v>0</v>
      </c>
      <c r="CW27" s="144">
        <f t="shared" si="19"/>
        <v>0</v>
      </c>
      <c r="CX27" s="144">
        <f t="shared" si="19"/>
        <v>0</v>
      </c>
      <c r="CY27" s="144">
        <f t="shared" si="19"/>
        <v>0</v>
      </c>
      <c r="CZ27" s="144">
        <f t="shared" si="19"/>
        <v>0</v>
      </c>
      <c r="DA27" s="144">
        <f t="shared" si="19"/>
        <v>0</v>
      </c>
      <c r="DB27" s="144">
        <f t="shared" si="19"/>
        <v>0</v>
      </c>
      <c r="DC27" s="144">
        <f t="shared" si="19"/>
        <v>0</v>
      </c>
      <c r="DD27" s="144">
        <f t="shared" si="19"/>
        <v>0</v>
      </c>
      <c r="DE27" s="144">
        <f t="shared" si="19"/>
        <v>0</v>
      </c>
      <c r="DF27" s="144">
        <f t="shared" si="19"/>
        <v>0</v>
      </c>
      <c r="DG27" s="144">
        <f t="shared" si="19"/>
        <v>0</v>
      </c>
      <c r="DH27" s="144">
        <f t="shared" si="19"/>
        <v>0</v>
      </c>
      <c r="DI27" s="144">
        <f t="shared" si="19"/>
        <v>0</v>
      </c>
      <c r="DJ27" s="144">
        <f t="shared" si="19"/>
        <v>0</v>
      </c>
      <c r="DK27" s="144">
        <f t="shared" si="19"/>
        <v>0</v>
      </c>
      <c r="DL27" s="144">
        <f t="shared" si="19"/>
        <v>0</v>
      </c>
      <c r="DM27" s="144">
        <f t="shared" si="19"/>
        <v>0</v>
      </c>
      <c r="DN27" s="144">
        <f t="shared" si="19"/>
        <v>0</v>
      </c>
      <c r="DO27" s="144">
        <f t="shared" si="19"/>
        <v>0</v>
      </c>
      <c r="DP27" s="144">
        <f t="shared" si="19"/>
        <v>0</v>
      </c>
      <c r="DQ27" s="144">
        <f t="shared" si="19"/>
        <v>0</v>
      </c>
      <c r="DR27" s="144">
        <f t="shared" si="19"/>
        <v>0</v>
      </c>
      <c r="DS27" s="144">
        <f t="shared" si="19"/>
        <v>0</v>
      </c>
      <c r="DT27" s="144">
        <f t="shared" si="19"/>
        <v>0</v>
      </c>
      <c r="DU27" s="144">
        <f t="shared" si="19"/>
        <v>0</v>
      </c>
      <c r="DV27" s="144">
        <f t="shared" si="19"/>
        <v>0</v>
      </c>
    </row>
    <row r="28" ht="21">
      <c r="C28" s="298" t="s">
        <v>45</v>
      </c>
      <c r="D28" s="298"/>
      <c r="E28" s="346"/>
      <c r="R28" s="144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4"/>
      <c r="AM28" s="144"/>
      <c r="AN28" s="144"/>
      <c r="AO28" s="144"/>
      <c r="AP28" s="144"/>
      <c r="AQ28" s="144"/>
      <c r="AR28" s="144"/>
      <c r="AS28" s="144"/>
      <c r="AT28" s="144"/>
      <c r="AU28" s="144"/>
      <c r="AV28" s="144"/>
      <c r="AW28" s="144"/>
      <c r="AX28" s="144"/>
      <c r="AY28" s="144"/>
      <c r="AZ28" s="144"/>
      <c r="BA28" s="144"/>
      <c r="BB28" s="144"/>
      <c r="BC28" s="144"/>
      <c r="BD28" s="144"/>
      <c r="BE28" s="144"/>
      <c r="BF28" s="144"/>
      <c r="BG28" s="144"/>
      <c r="BH28" s="144"/>
      <c r="BI28" s="144"/>
      <c r="BJ28" s="144"/>
      <c r="BK28" s="144"/>
      <c r="BL28" s="144"/>
      <c r="BM28" s="144"/>
      <c r="BN28" s="144"/>
      <c r="BO28" s="144"/>
      <c r="BP28" s="144"/>
      <c r="BQ28" s="144"/>
      <c r="BR28" s="144"/>
      <c r="BS28" s="144"/>
      <c r="BT28" s="144"/>
      <c r="BU28" s="144"/>
      <c r="BV28" s="144"/>
      <c r="BW28" s="144"/>
      <c r="BX28" s="144"/>
      <c r="BY28" s="144"/>
      <c r="BZ28" s="144"/>
      <c r="CA28" s="144"/>
      <c r="CB28" s="144"/>
      <c r="CC28" s="144"/>
      <c r="CD28" s="144"/>
      <c r="CE28" s="144"/>
      <c r="CF28" s="144"/>
      <c r="CG28" s="144"/>
      <c r="CH28" s="144"/>
      <c r="CI28" s="144"/>
      <c r="CJ28" s="144"/>
      <c r="CK28" s="144"/>
      <c r="CL28" s="144"/>
      <c r="CM28" s="144"/>
      <c r="CN28" s="144"/>
      <c r="CO28" s="144"/>
      <c r="CP28" s="144"/>
      <c r="CQ28" s="144"/>
      <c r="CR28" s="144"/>
      <c r="CS28" s="144"/>
      <c r="CT28" s="144"/>
      <c r="CU28" s="144"/>
      <c r="CV28" s="144"/>
      <c r="CW28" s="144"/>
      <c r="CX28" s="144"/>
    </row>
    <row r="29" ht="21">
      <c r="C29" s="298"/>
      <c r="D29" s="298"/>
      <c r="E29" s="346"/>
      <c r="R29" s="144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4"/>
      <c r="AM29" s="144"/>
      <c r="AN29" s="144"/>
      <c r="AO29" s="144"/>
      <c r="AP29" s="144"/>
      <c r="AQ29" s="144"/>
      <c r="AR29" s="144"/>
      <c r="AS29" s="144"/>
      <c r="AT29" s="144"/>
      <c r="AU29" s="144"/>
      <c r="AV29" s="144"/>
      <c r="AW29" s="144"/>
      <c r="AX29" s="144"/>
      <c r="AY29" s="144"/>
      <c r="AZ29" s="144"/>
      <c r="BA29" s="144"/>
      <c r="BB29" s="144"/>
      <c r="BC29" s="144"/>
      <c r="BD29" s="144"/>
      <c r="BE29" s="144"/>
      <c r="BF29" s="144"/>
      <c r="BG29" s="144"/>
      <c r="BH29" s="144"/>
      <c r="BI29" s="144"/>
      <c r="BJ29" s="144"/>
      <c r="BK29" s="144"/>
      <c r="BL29" s="144"/>
      <c r="BM29" s="144"/>
      <c r="BN29" s="144"/>
      <c r="BO29" s="144"/>
      <c r="BP29" s="144"/>
      <c r="BQ29" s="144"/>
      <c r="BR29" s="144"/>
      <c r="BS29" s="144"/>
      <c r="BT29" s="144"/>
      <c r="BU29" s="144"/>
      <c r="BV29" s="144"/>
      <c r="BW29" s="144"/>
      <c r="BX29" s="144"/>
      <c r="BY29" s="144"/>
      <c r="BZ29" s="144"/>
      <c r="CA29" s="144"/>
      <c r="CB29" s="144"/>
      <c r="CC29" s="144"/>
      <c r="CD29" s="144"/>
      <c r="CE29" s="144"/>
      <c r="CF29" s="144"/>
      <c r="CG29" s="144"/>
      <c r="CH29" s="144"/>
      <c r="CI29" s="144"/>
      <c r="CJ29" s="144"/>
      <c r="CK29" s="144"/>
      <c r="CL29" s="144"/>
      <c r="CM29" s="144"/>
      <c r="CN29" s="144"/>
      <c r="CO29" s="144"/>
      <c r="CP29" s="144"/>
      <c r="CQ29" s="144"/>
      <c r="CR29" s="144"/>
      <c r="CS29" s="144"/>
      <c r="CT29" s="144"/>
      <c r="CU29" s="144"/>
      <c r="CV29" s="144"/>
      <c r="CW29" s="144"/>
      <c r="CX29" s="144"/>
    </row>
    <row r="30" ht="21">
      <c r="C30" s="298"/>
      <c r="D30" s="298"/>
      <c r="E30" s="346"/>
      <c r="R30" s="144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4"/>
      <c r="AM30" s="144"/>
      <c r="AN30" s="144"/>
      <c r="AO30" s="144"/>
      <c r="AP30" s="144"/>
      <c r="AQ30" s="144"/>
      <c r="AR30" s="144"/>
      <c r="AS30" s="144"/>
      <c r="AT30" s="144"/>
      <c r="AU30" s="144"/>
      <c r="AV30" s="144"/>
      <c r="AW30" s="144"/>
      <c r="AX30" s="144"/>
      <c r="AY30" s="144"/>
      <c r="AZ30" s="144"/>
      <c r="BA30" s="144"/>
      <c r="BB30" s="144"/>
      <c r="BC30" s="144"/>
      <c r="BD30" s="144"/>
      <c r="BE30" s="144"/>
      <c r="BF30" s="144"/>
      <c r="BG30" s="144"/>
      <c r="BH30" s="144"/>
      <c r="BI30" s="144"/>
      <c r="BJ30" s="144"/>
      <c r="BK30" s="144"/>
      <c r="BL30" s="144"/>
      <c r="BM30" s="144"/>
      <c r="BN30" s="144"/>
      <c r="BO30" s="144"/>
      <c r="BP30" s="144"/>
      <c r="BQ30" s="144"/>
      <c r="BR30" s="144"/>
      <c r="BS30" s="144"/>
      <c r="BT30" s="144"/>
      <c r="BU30" s="144"/>
      <c r="BV30" s="144"/>
      <c r="BW30" s="144"/>
      <c r="BX30" s="144"/>
      <c r="BY30" s="144"/>
      <c r="BZ30" s="144"/>
      <c r="CA30" s="144"/>
      <c r="CB30" s="144"/>
      <c r="CC30" s="144"/>
      <c r="CD30" s="144"/>
      <c r="CE30" s="144"/>
      <c r="CF30" s="144"/>
      <c r="CG30" s="144"/>
      <c r="CH30" s="144"/>
      <c r="CI30" s="144"/>
      <c r="CJ30" s="144"/>
      <c r="CK30" s="144"/>
      <c r="CL30" s="144"/>
      <c r="CM30" s="144"/>
      <c r="CN30" s="144"/>
      <c r="CO30" s="144"/>
      <c r="CP30" s="144"/>
      <c r="CQ30" s="144"/>
      <c r="CR30" s="144"/>
      <c r="CS30" s="144"/>
      <c r="CT30" s="144"/>
      <c r="CU30" s="144"/>
      <c r="CV30" s="144"/>
      <c r="CW30" s="144"/>
      <c r="CX30" s="144"/>
    </row>
    <row r="31" ht="21">
      <c r="C31" s="298"/>
      <c r="D31" s="298"/>
      <c r="E31" s="349"/>
      <c r="R31" s="144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4"/>
      <c r="AM31" s="144"/>
      <c r="AN31" s="144"/>
      <c r="AO31" s="144"/>
      <c r="AP31" s="144"/>
      <c r="AQ31" s="144"/>
      <c r="AR31" s="144"/>
      <c r="AS31" s="144"/>
      <c r="AT31" s="144"/>
      <c r="AU31" s="144"/>
      <c r="AV31" s="144"/>
      <c r="AW31" s="144"/>
      <c r="AX31" s="144"/>
      <c r="AY31" s="144"/>
      <c r="AZ31" s="144"/>
      <c r="BA31" s="144"/>
      <c r="BB31" s="144"/>
      <c r="BC31" s="144"/>
      <c r="BD31" s="144"/>
      <c r="BE31" s="144"/>
      <c r="BF31" s="144"/>
      <c r="BG31" s="144"/>
      <c r="BH31" s="144"/>
      <c r="BI31" s="144"/>
      <c r="BJ31" s="144"/>
      <c r="BK31" s="144"/>
      <c r="BL31" s="144"/>
      <c r="BM31" s="144"/>
      <c r="BN31" s="144"/>
      <c r="BO31" s="144"/>
      <c r="BP31" s="144"/>
      <c r="BQ31" s="144"/>
      <c r="BR31" s="144"/>
      <c r="BS31" s="144"/>
      <c r="BT31" s="144"/>
      <c r="BU31" s="144"/>
      <c r="BV31" s="144"/>
      <c r="BW31" s="144"/>
      <c r="BX31" s="144"/>
      <c r="BY31" s="144"/>
      <c r="BZ31" s="144"/>
      <c r="CA31" s="144"/>
      <c r="CB31" s="144"/>
      <c r="CC31" s="144"/>
      <c r="CD31" s="144"/>
      <c r="CE31" s="144"/>
      <c r="CF31" s="144"/>
      <c r="CG31" s="144"/>
      <c r="CH31" s="144"/>
      <c r="CI31" s="144"/>
      <c r="CJ31" s="144"/>
      <c r="CK31" s="144"/>
      <c r="CL31" s="144"/>
      <c r="CM31" s="144"/>
      <c r="CN31" s="144"/>
      <c r="CO31" s="144"/>
      <c r="CP31" s="144"/>
      <c r="CQ31" s="144"/>
      <c r="CR31" s="144"/>
      <c r="CS31" s="144"/>
      <c r="CT31" s="144"/>
      <c r="CU31" s="144"/>
      <c r="CV31" s="144"/>
      <c r="CW31" s="144"/>
      <c r="CX31" s="144"/>
    </row>
    <row r="32" ht="14.5">
      <c r="D32" s="345" t="s">
        <v>1360</v>
      </c>
      <c r="E32" s="345"/>
      <c r="G32" s="144">
        <f>IF(G26=0,-F26,G26-F26)</f>
        <v>0</v>
      </c>
      <c r="H32" s="144">
        <f t="shared" ref="H32:N32" si="20">IF(H26=0,-G26,H26-G26)</f>
        <v>0</v>
      </c>
      <c r="I32" s="144">
        <f t="shared" si="20"/>
        <v>0</v>
      </c>
      <c r="J32" s="144">
        <f t="shared" si="20"/>
        <v>0</v>
      </c>
      <c r="K32" s="144">
        <f t="shared" si="20"/>
        <v>0</v>
      </c>
      <c r="L32" s="144">
        <f t="shared" si="20"/>
        <v>0</v>
      </c>
      <c r="M32" s="144">
        <f t="shared" si="20"/>
        <v>0</v>
      </c>
      <c r="N32" s="144">
        <f t="shared" si="20"/>
        <v>0</v>
      </c>
      <c r="O32" s="144">
        <f>IF(O26=0,-N26,O26-N26)</f>
        <v>0</v>
      </c>
      <c r="P32" s="144">
        <f>IF(P26=0,-O26,P26-O26)</f>
        <v>0</v>
      </c>
      <c r="Q32" s="144">
        <f t="shared" ref="Q32:CB32" si="21">IF(Q26=0,-P26,Q26-P26)</f>
        <v>0</v>
      </c>
      <c r="R32" s="144">
        <f t="shared" si="21"/>
        <v>0</v>
      </c>
      <c r="S32" s="144">
        <f t="shared" si="21"/>
        <v>0</v>
      </c>
      <c r="T32" s="144">
        <f t="shared" si="21"/>
        <v>0</v>
      </c>
      <c r="U32" s="144">
        <f t="shared" si="21"/>
        <v>0</v>
      </c>
      <c r="V32" s="144">
        <f t="shared" si="21"/>
        <v>0</v>
      </c>
      <c r="W32" s="144">
        <f t="shared" si="21"/>
        <v>0</v>
      </c>
      <c r="X32" s="144">
        <f t="shared" si="21"/>
        <v>0</v>
      </c>
      <c r="Y32" s="144">
        <f t="shared" si="21"/>
        <v>0</v>
      </c>
      <c r="Z32" s="144">
        <f t="shared" si="21"/>
        <v>0</v>
      </c>
      <c r="AA32" s="144">
        <f t="shared" si="21"/>
        <v>0</v>
      </c>
      <c r="AB32" s="144">
        <f t="shared" si="21"/>
        <v>0</v>
      </c>
      <c r="AC32" s="144">
        <f t="shared" si="21"/>
        <v>0</v>
      </c>
      <c r="AD32" s="144">
        <f t="shared" si="21"/>
        <v>0</v>
      </c>
      <c r="AE32" s="144">
        <f t="shared" si="21"/>
        <v>0</v>
      </c>
      <c r="AF32" s="144">
        <f t="shared" si="21"/>
        <v>0</v>
      </c>
      <c r="AG32" s="144">
        <f t="shared" si="21"/>
        <v>0</v>
      </c>
      <c r="AH32" s="144">
        <f t="shared" si="21"/>
        <v>0</v>
      </c>
      <c r="AI32" s="144">
        <f t="shared" si="21"/>
        <v>0</v>
      </c>
      <c r="AJ32" s="144">
        <f t="shared" si="21"/>
        <v>0</v>
      </c>
      <c r="AK32" s="144">
        <f t="shared" si="21"/>
        <v>0</v>
      </c>
      <c r="AL32" s="144">
        <f t="shared" si="21"/>
        <v>0</v>
      </c>
      <c r="AM32" s="144">
        <f t="shared" si="21"/>
        <v>0</v>
      </c>
      <c r="AN32" s="144">
        <f t="shared" si="21"/>
        <v>0</v>
      </c>
      <c r="AO32" s="144">
        <f t="shared" si="21"/>
        <v>0</v>
      </c>
      <c r="AP32" s="144">
        <f t="shared" si="21"/>
        <v>0</v>
      </c>
      <c r="AQ32" s="144">
        <f t="shared" si="21"/>
        <v>0</v>
      </c>
      <c r="AR32" s="144">
        <f t="shared" si="21"/>
        <v>0</v>
      </c>
      <c r="AS32" s="144">
        <f t="shared" si="21"/>
        <v>0</v>
      </c>
      <c r="AT32" s="144">
        <f t="shared" si="21"/>
        <v>0</v>
      </c>
      <c r="AU32" s="144">
        <f t="shared" si="21"/>
        <v>0</v>
      </c>
      <c r="AV32" s="144">
        <f t="shared" si="21"/>
        <v>0</v>
      </c>
      <c r="AW32" s="144">
        <f t="shared" si="21"/>
        <v>0</v>
      </c>
      <c r="AX32" s="144">
        <f t="shared" si="21"/>
        <v>0</v>
      </c>
      <c r="AY32" s="144">
        <f t="shared" si="21"/>
        <v>0</v>
      </c>
      <c r="AZ32" s="144">
        <f t="shared" si="21"/>
        <v>0</v>
      </c>
      <c r="BA32" s="144">
        <f t="shared" si="21"/>
        <v>0</v>
      </c>
      <c r="BB32" s="144">
        <f t="shared" si="21"/>
        <v>0</v>
      </c>
      <c r="BC32" s="144">
        <f t="shared" si="21"/>
        <v>0</v>
      </c>
      <c r="BD32" s="144">
        <f t="shared" si="21"/>
        <v>0</v>
      </c>
      <c r="BE32" s="144">
        <f t="shared" si="21"/>
        <v>0</v>
      </c>
      <c r="BF32" s="144">
        <f t="shared" si="21"/>
        <v>0</v>
      </c>
      <c r="BG32" s="144">
        <f t="shared" si="21"/>
        <v>0</v>
      </c>
      <c r="BH32" s="144">
        <f t="shared" si="21"/>
        <v>0</v>
      </c>
      <c r="BI32" s="144">
        <f t="shared" si="21"/>
        <v>0</v>
      </c>
      <c r="BJ32" s="144">
        <f t="shared" si="21"/>
        <v>0</v>
      </c>
      <c r="BK32" s="144">
        <f t="shared" si="21"/>
        <v>0</v>
      </c>
      <c r="BL32" s="144">
        <f t="shared" si="21"/>
        <v>0</v>
      </c>
      <c r="BM32" s="144">
        <f t="shared" si="21"/>
        <v>0</v>
      </c>
      <c r="BN32" s="144">
        <f t="shared" si="21"/>
        <v>0</v>
      </c>
      <c r="BO32" s="144">
        <f t="shared" si="21"/>
        <v>0</v>
      </c>
      <c r="BP32" s="144">
        <f t="shared" si="21"/>
        <v>0</v>
      </c>
      <c r="BQ32" s="144">
        <f t="shared" si="21"/>
        <v>0</v>
      </c>
      <c r="BR32" s="144">
        <f t="shared" si="21"/>
        <v>0</v>
      </c>
      <c r="BS32" s="144">
        <f t="shared" si="21"/>
        <v>0</v>
      </c>
      <c r="BT32" s="144">
        <f t="shared" si="21"/>
        <v>0</v>
      </c>
      <c r="BU32" s="144">
        <f t="shared" si="21"/>
        <v>0</v>
      </c>
      <c r="BV32" s="144">
        <f t="shared" si="21"/>
        <v>0</v>
      </c>
      <c r="BW32" s="144">
        <f t="shared" si="21"/>
        <v>0</v>
      </c>
      <c r="BX32" s="144">
        <f t="shared" si="21"/>
        <v>0</v>
      </c>
      <c r="BY32" s="144">
        <f t="shared" si="21"/>
        <v>0</v>
      </c>
      <c r="BZ32" s="144">
        <f t="shared" si="21"/>
        <v>0</v>
      </c>
      <c r="CA32" s="144">
        <f t="shared" si="21"/>
        <v>0</v>
      </c>
      <c r="CB32" s="144">
        <f t="shared" si="21"/>
        <v>0</v>
      </c>
      <c r="CC32" s="144">
        <f t="shared" ref="CC32:DV32" si="22">IF(CC26=0,-CB26,CC26-CB26)</f>
        <v>0</v>
      </c>
      <c r="CD32" s="144">
        <f t="shared" si="22"/>
        <v>0</v>
      </c>
      <c r="CE32" s="144">
        <f t="shared" si="22"/>
        <v>0</v>
      </c>
      <c r="CF32" s="144">
        <f t="shared" si="22"/>
        <v>0</v>
      </c>
      <c r="CG32" s="144">
        <f t="shared" si="22"/>
        <v>0</v>
      </c>
      <c r="CH32" s="144">
        <f t="shared" si="22"/>
        <v>0</v>
      </c>
      <c r="CI32" s="144">
        <f t="shared" si="22"/>
        <v>0</v>
      </c>
      <c r="CJ32" s="144">
        <f t="shared" si="22"/>
        <v>0</v>
      </c>
      <c r="CK32" s="144">
        <f t="shared" si="22"/>
        <v>0</v>
      </c>
      <c r="CL32" s="144">
        <f t="shared" si="22"/>
        <v>0</v>
      </c>
      <c r="CM32" s="144">
        <f t="shared" si="22"/>
        <v>0</v>
      </c>
      <c r="CN32" s="144">
        <f t="shared" si="22"/>
        <v>0</v>
      </c>
      <c r="CO32" s="144">
        <f t="shared" si="22"/>
        <v>0</v>
      </c>
      <c r="CP32" s="144">
        <f t="shared" si="22"/>
        <v>0</v>
      </c>
      <c r="CQ32" s="144">
        <f t="shared" si="22"/>
        <v>0</v>
      </c>
      <c r="CR32" s="144">
        <f t="shared" si="22"/>
        <v>0</v>
      </c>
      <c r="CS32" s="144">
        <f t="shared" si="22"/>
        <v>0</v>
      </c>
      <c r="CT32" s="144">
        <f t="shared" si="22"/>
        <v>0</v>
      </c>
      <c r="CU32" s="144">
        <f t="shared" si="22"/>
        <v>0</v>
      </c>
      <c r="CV32" s="144">
        <f t="shared" si="22"/>
        <v>0</v>
      </c>
      <c r="CW32" s="144">
        <f t="shared" si="22"/>
        <v>0</v>
      </c>
      <c r="CX32" s="144">
        <f t="shared" si="22"/>
        <v>0</v>
      </c>
      <c r="CY32" s="144">
        <f t="shared" si="22"/>
        <v>0</v>
      </c>
      <c r="CZ32" s="144">
        <f t="shared" si="22"/>
        <v>0</v>
      </c>
      <c r="DA32" s="144">
        <f t="shared" si="22"/>
        <v>0</v>
      </c>
      <c r="DB32" s="144">
        <f t="shared" si="22"/>
        <v>0</v>
      </c>
      <c r="DC32" s="144">
        <f t="shared" si="22"/>
        <v>0</v>
      </c>
      <c r="DD32" s="144">
        <f t="shared" si="22"/>
        <v>0</v>
      </c>
      <c r="DE32" s="144">
        <f t="shared" si="22"/>
        <v>0</v>
      </c>
      <c r="DF32" s="144">
        <f t="shared" si="22"/>
        <v>0</v>
      </c>
      <c r="DG32" s="144">
        <f t="shared" si="22"/>
        <v>0</v>
      </c>
      <c r="DH32" s="144">
        <f t="shared" si="22"/>
        <v>0</v>
      </c>
      <c r="DI32" s="144">
        <f t="shared" si="22"/>
        <v>0</v>
      </c>
      <c r="DJ32" s="144">
        <f t="shared" si="22"/>
        <v>0</v>
      </c>
      <c r="DK32" s="144">
        <f t="shared" si="22"/>
        <v>0</v>
      </c>
      <c r="DL32" s="144">
        <f t="shared" si="22"/>
        <v>0</v>
      </c>
      <c r="DM32" s="144">
        <f t="shared" si="22"/>
        <v>0</v>
      </c>
      <c r="DN32" s="144">
        <f t="shared" si="22"/>
        <v>0</v>
      </c>
      <c r="DO32" s="144">
        <f t="shared" si="22"/>
        <v>0</v>
      </c>
      <c r="DP32" s="144">
        <f t="shared" si="22"/>
        <v>0</v>
      </c>
      <c r="DQ32" s="144">
        <f t="shared" si="22"/>
        <v>0</v>
      </c>
      <c r="DR32" s="144">
        <f t="shared" si="22"/>
        <v>0</v>
      </c>
      <c r="DS32" s="144">
        <f t="shared" si="22"/>
        <v>0</v>
      </c>
      <c r="DT32" s="144">
        <f t="shared" si="22"/>
        <v>0</v>
      </c>
      <c r="DU32" s="144">
        <f t="shared" si="22"/>
        <v>0</v>
      </c>
      <c r="DV32" s="144">
        <f t="shared" si="22"/>
        <v>0</v>
      </c>
    </row>
    <row r="33" ht="14.5">
      <c r="D33" s="345" t="s">
        <v>1361</v>
      </c>
      <c r="E33" s="345"/>
      <c r="G33" s="144">
        <f>+G25-G27</f>
        <v>0</v>
      </c>
      <c r="H33" s="144">
        <f t="shared" ref="H33:O33" si="23">+H25-H27</f>
        <v>0</v>
      </c>
      <c r="I33" s="144">
        <f t="shared" si="23"/>
        <v>0</v>
      </c>
      <c r="J33" s="144">
        <f t="shared" si="23"/>
        <v>0</v>
      </c>
      <c r="K33" s="144">
        <f t="shared" si="23"/>
        <v>0</v>
      </c>
      <c r="L33" s="144">
        <f t="shared" si="23"/>
        <v>0</v>
      </c>
      <c r="M33" s="144">
        <f t="shared" si="23"/>
        <v>0</v>
      </c>
      <c r="N33" s="144">
        <f t="shared" si="23"/>
        <v>0</v>
      </c>
      <c r="O33" s="144">
        <f t="shared" si="23"/>
        <v>0</v>
      </c>
      <c r="P33" s="144">
        <f>+P25-P27</f>
        <v>0</v>
      </c>
      <c r="Q33" s="144">
        <f t="shared" ref="Q33:CB33" si="24">+Q25-Q27</f>
        <v>0</v>
      </c>
      <c r="R33" s="144">
        <f t="shared" si="24"/>
        <v>0</v>
      </c>
      <c r="S33" s="144">
        <f t="shared" si="24"/>
        <v>0</v>
      </c>
      <c r="T33" s="144">
        <f t="shared" si="24"/>
        <v>0</v>
      </c>
      <c r="U33" s="144">
        <f t="shared" si="24"/>
        <v>0</v>
      </c>
      <c r="V33" s="144">
        <f t="shared" si="24"/>
        <v>0</v>
      </c>
      <c r="W33" s="144">
        <f t="shared" si="24"/>
        <v>0</v>
      </c>
      <c r="X33" s="144">
        <f t="shared" si="24"/>
        <v>0</v>
      </c>
      <c r="Y33" s="144">
        <f t="shared" si="24"/>
        <v>0</v>
      </c>
      <c r="Z33" s="144">
        <f t="shared" si="24"/>
        <v>0</v>
      </c>
      <c r="AA33" s="144">
        <f t="shared" si="24"/>
        <v>0</v>
      </c>
      <c r="AB33" s="144">
        <f t="shared" si="24"/>
        <v>0</v>
      </c>
      <c r="AC33" s="144">
        <f t="shared" si="24"/>
        <v>0</v>
      </c>
      <c r="AD33" s="144">
        <f t="shared" si="24"/>
        <v>0</v>
      </c>
      <c r="AE33" s="144">
        <f t="shared" si="24"/>
        <v>0</v>
      </c>
      <c r="AF33" s="144">
        <f t="shared" si="24"/>
        <v>0</v>
      </c>
      <c r="AG33" s="144">
        <f t="shared" si="24"/>
        <v>0</v>
      </c>
      <c r="AH33" s="144">
        <f t="shared" si="24"/>
        <v>0</v>
      </c>
      <c r="AI33" s="144">
        <f t="shared" si="24"/>
        <v>0</v>
      </c>
      <c r="AJ33" s="144">
        <f t="shared" si="24"/>
        <v>0</v>
      </c>
      <c r="AK33" s="144">
        <f t="shared" si="24"/>
        <v>0</v>
      </c>
      <c r="AL33" s="144">
        <f t="shared" si="24"/>
        <v>0</v>
      </c>
      <c r="AM33" s="144">
        <f t="shared" si="24"/>
        <v>0</v>
      </c>
      <c r="AN33" s="144">
        <f t="shared" si="24"/>
        <v>0</v>
      </c>
      <c r="AO33" s="144">
        <f t="shared" si="24"/>
        <v>0</v>
      </c>
      <c r="AP33" s="144">
        <f t="shared" si="24"/>
        <v>0</v>
      </c>
      <c r="AQ33" s="144">
        <f t="shared" si="24"/>
        <v>0</v>
      </c>
      <c r="AR33" s="144">
        <f t="shared" si="24"/>
        <v>0</v>
      </c>
      <c r="AS33" s="144">
        <f t="shared" si="24"/>
        <v>0</v>
      </c>
      <c r="AT33" s="144">
        <f t="shared" si="24"/>
        <v>0</v>
      </c>
      <c r="AU33" s="144">
        <f t="shared" si="24"/>
        <v>0</v>
      </c>
      <c r="AV33" s="144">
        <f t="shared" si="24"/>
        <v>0</v>
      </c>
      <c r="AW33" s="144">
        <f t="shared" si="24"/>
        <v>0</v>
      </c>
      <c r="AX33" s="144">
        <f t="shared" si="24"/>
        <v>0</v>
      </c>
      <c r="AY33" s="144">
        <f t="shared" si="24"/>
        <v>0</v>
      </c>
      <c r="AZ33" s="144">
        <f t="shared" si="24"/>
        <v>0</v>
      </c>
      <c r="BA33" s="144">
        <f t="shared" si="24"/>
        <v>0</v>
      </c>
      <c r="BB33" s="144">
        <f t="shared" si="24"/>
        <v>0</v>
      </c>
      <c r="BC33" s="144">
        <f t="shared" si="24"/>
        <v>0</v>
      </c>
      <c r="BD33" s="144">
        <f t="shared" si="24"/>
        <v>0</v>
      </c>
      <c r="BE33" s="144">
        <f t="shared" si="24"/>
        <v>0</v>
      </c>
      <c r="BF33" s="144">
        <f t="shared" si="24"/>
        <v>0</v>
      </c>
      <c r="BG33" s="144">
        <f t="shared" si="24"/>
        <v>0</v>
      </c>
      <c r="BH33" s="144">
        <f t="shared" si="24"/>
        <v>0</v>
      </c>
      <c r="BI33" s="144">
        <f t="shared" si="24"/>
        <v>0</v>
      </c>
      <c r="BJ33" s="144">
        <f t="shared" si="24"/>
        <v>0</v>
      </c>
      <c r="BK33" s="144">
        <f t="shared" si="24"/>
        <v>0</v>
      </c>
      <c r="BL33" s="144">
        <f t="shared" si="24"/>
        <v>0</v>
      </c>
      <c r="BM33" s="144">
        <f t="shared" si="24"/>
        <v>0</v>
      </c>
      <c r="BN33" s="144">
        <f t="shared" si="24"/>
        <v>0</v>
      </c>
      <c r="BO33" s="144">
        <f t="shared" si="24"/>
        <v>0</v>
      </c>
      <c r="BP33" s="144">
        <f t="shared" si="24"/>
        <v>0</v>
      </c>
      <c r="BQ33" s="144">
        <f t="shared" si="24"/>
        <v>0</v>
      </c>
      <c r="BR33" s="144">
        <f t="shared" si="24"/>
        <v>0</v>
      </c>
      <c r="BS33" s="144">
        <f t="shared" si="24"/>
        <v>0</v>
      </c>
      <c r="BT33" s="144">
        <f t="shared" si="24"/>
        <v>0</v>
      </c>
      <c r="BU33" s="144">
        <f t="shared" si="24"/>
        <v>0</v>
      </c>
      <c r="BV33" s="144">
        <f t="shared" si="24"/>
        <v>0</v>
      </c>
      <c r="BW33" s="144">
        <f t="shared" si="24"/>
        <v>0</v>
      </c>
      <c r="BX33" s="144">
        <f t="shared" si="24"/>
        <v>0</v>
      </c>
      <c r="BY33" s="144">
        <f t="shared" si="24"/>
        <v>0</v>
      </c>
      <c r="BZ33" s="144">
        <f t="shared" si="24"/>
        <v>0</v>
      </c>
      <c r="CA33" s="144">
        <f t="shared" si="24"/>
        <v>0</v>
      </c>
      <c r="CB33" s="144">
        <f t="shared" si="24"/>
        <v>0</v>
      </c>
      <c r="CC33" s="144">
        <f t="shared" ref="CC33:DV33" si="25">+CC25-CC27</f>
        <v>0</v>
      </c>
      <c r="CD33" s="144">
        <f t="shared" si="25"/>
        <v>0</v>
      </c>
      <c r="CE33" s="144">
        <f t="shared" si="25"/>
        <v>0</v>
      </c>
      <c r="CF33" s="144">
        <f t="shared" si="25"/>
        <v>0</v>
      </c>
      <c r="CG33" s="144">
        <f t="shared" si="25"/>
        <v>0</v>
      </c>
      <c r="CH33" s="144">
        <f t="shared" si="25"/>
        <v>0</v>
      </c>
      <c r="CI33" s="144">
        <f t="shared" si="25"/>
        <v>0</v>
      </c>
      <c r="CJ33" s="144">
        <f t="shared" si="25"/>
        <v>0</v>
      </c>
      <c r="CK33" s="144">
        <f t="shared" si="25"/>
        <v>0</v>
      </c>
      <c r="CL33" s="144">
        <f t="shared" si="25"/>
        <v>0</v>
      </c>
      <c r="CM33" s="144">
        <f t="shared" si="25"/>
        <v>0</v>
      </c>
      <c r="CN33" s="144">
        <f t="shared" si="25"/>
        <v>0</v>
      </c>
      <c r="CO33" s="144">
        <f t="shared" si="25"/>
        <v>0</v>
      </c>
      <c r="CP33" s="144">
        <f t="shared" si="25"/>
        <v>0</v>
      </c>
      <c r="CQ33" s="144">
        <f t="shared" si="25"/>
        <v>0</v>
      </c>
      <c r="CR33" s="144">
        <f t="shared" si="25"/>
        <v>0</v>
      </c>
      <c r="CS33" s="144">
        <f t="shared" si="25"/>
        <v>0</v>
      </c>
      <c r="CT33" s="144">
        <f t="shared" si="25"/>
        <v>0</v>
      </c>
      <c r="CU33" s="144">
        <f t="shared" si="25"/>
        <v>0</v>
      </c>
      <c r="CV33" s="144">
        <f t="shared" si="25"/>
        <v>0</v>
      </c>
      <c r="CW33" s="144">
        <f t="shared" si="25"/>
        <v>0</v>
      </c>
      <c r="CX33" s="144">
        <f t="shared" si="25"/>
        <v>0</v>
      </c>
      <c r="CY33" s="144">
        <f t="shared" si="25"/>
        <v>0</v>
      </c>
      <c r="CZ33" s="144">
        <f t="shared" si="25"/>
        <v>0</v>
      </c>
      <c r="DA33" s="144">
        <f t="shared" si="25"/>
        <v>0</v>
      </c>
      <c r="DB33" s="144">
        <f t="shared" si="25"/>
        <v>0</v>
      </c>
      <c r="DC33" s="144">
        <f t="shared" si="25"/>
        <v>0</v>
      </c>
      <c r="DD33" s="144">
        <f t="shared" si="25"/>
        <v>0</v>
      </c>
      <c r="DE33" s="144">
        <f t="shared" si="25"/>
        <v>0</v>
      </c>
      <c r="DF33" s="144">
        <f t="shared" si="25"/>
        <v>0</v>
      </c>
      <c r="DG33" s="144">
        <f t="shared" si="25"/>
        <v>0</v>
      </c>
      <c r="DH33" s="144">
        <f t="shared" si="25"/>
        <v>0</v>
      </c>
      <c r="DI33" s="144">
        <f t="shared" si="25"/>
        <v>0</v>
      </c>
      <c r="DJ33" s="144">
        <f t="shared" si="25"/>
        <v>0</v>
      </c>
      <c r="DK33" s="144">
        <f t="shared" si="25"/>
        <v>0</v>
      </c>
      <c r="DL33" s="144">
        <f t="shared" si="25"/>
        <v>0</v>
      </c>
      <c r="DM33" s="144">
        <f t="shared" si="25"/>
        <v>0</v>
      </c>
      <c r="DN33" s="144">
        <f t="shared" si="25"/>
        <v>0</v>
      </c>
      <c r="DO33" s="144">
        <f t="shared" si="25"/>
        <v>0</v>
      </c>
      <c r="DP33" s="144">
        <f t="shared" si="25"/>
        <v>0</v>
      </c>
      <c r="DQ33" s="144">
        <f t="shared" si="25"/>
        <v>0</v>
      </c>
      <c r="DR33" s="144">
        <f t="shared" si="25"/>
        <v>0</v>
      </c>
      <c r="DS33" s="144">
        <f t="shared" si="25"/>
        <v>0</v>
      </c>
      <c r="DT33" s="144">
        <f t="shared" si="25"/>
        <v>0</v>
      </c>
      <c r="DU33" s="144">
        <f t="shared" si="25"/>
        <v>0</v>
      </c>
      <c r="DV33" s="144">
        <f t="shared" si="25"/>
        <v>0</v>
      </c>
    </row>
    <row r="34" ht="14.5">
      <c r="D34" s="345" t="s">
        <v>1362</v>
      </c>
      <c r="E34" s="345"/>
      <c r="G34" s="144">
        <f>+G27</f>
        <v>0</v>
      </c>
      <c r="H34" s="144">
        <f t="shared" ref="H34:BS34" si="26">+H27</f>
        <v>0</v>
      </c>
      <c r="I34" s="144">
        <f t="shared" si="26"/>
        <v>0</v>
      </c>
      <c r="J34" s="144">
        <f t="shared" si="26"/>
        <v>0</v>
      </c>
      <c r="K34" s="144">
        <f t="shared" si="26"/>
        <v>0</v>
      </c>
      <c r="L34" s="144">
        <f t="shared" si="26"/>
        <v>0</v>
      </c>
      <c r="M34" s="144">
        <f t="shared" si="26"/>
        <v>0</v>
      </c>
      <c r="N34" s="144">
        <f t="shared" si="26"/>
        <v>0</v>
      </c>
      <c r="O34" s="144">
        <f t="shared" si="26"/>
        <v>0</v>
      </c>
      <c r="P34" s="144">
        <f t="shared" si="26"/>
        <v>0</v>
      </c>
      <c r="Q34" s="144">
        <f t="shared" si="26"/>
        <v>0</v>
      </c>
      <c r="R34" s="144">
        <f t="shared" si="26"/>
        <v>0</v>
      </c>
      <c r="S34" s="144">
        <f t="shared" si="26"/>
        <v>0</v>
      </c>
      <c r="T34" s="144">
        <f t="shared" si="26"/>
        <v>0</v>
      </c>
      <c r="U34" s="144">
        <f t="shared" si="26"/>
        <v>0</v>
      </c>
      <c r="V34" s="144">
        <f t="shared" si="26"/>
        <v>0</v>
      </c>
      <c r="W34" s="144">
        <f t="shared" si="26"/>
        <v>0</v>
      </c>
      <c r="X34" s="144">
        <f t="shared" si="26"/>
        <v>0</v>
      </c>
      <c r="Y34" s="144">
        <f t="shared" si="26"/>
        <v>0</v>
      </c>
      <c r="Z34" s="144">
        <f t="shared" si="26"/>
        <v>0</v>
      </c>
      <c r="AA34" s="144">
        <f t="shared" si="26"/>
        <v>0</v>
      </c>
      <c r="AB34" s="144">
        <f t="shared" si="26"/>
        <v>0</v>
      </c>
      <c r="AC34" s="144">
        <f t="shared" si="26"/>
        <v>0</v>
      </c>
      <c r="AD34" s="144">
        <f t="shared" si="26"/>
        <v>0</v>
      </c>
      <c r="AE34" s="144">
        <f t="shared" si="26"/>
        <v>0</v>
      </c>
      <c r="AF34" s="144">
        <f t="shared" si="26"/>
        <v>0</v>
      </c>
      <c r="AG34" s="144">
        <f t="shared" si="26"/>
        <v>0</v>
      </c>
      <c r="AH34" s="144">
        <f t="shared" si="26"/>
        <v>0</v>
      </c>
      <c r="AI34" s="144">
        <f t="shared" si="26"/>
        <v>0</v>
      </c>
      <c r="AJ34" s="144">
        <f t="shared" si="26"/>
        <v>0</v>
      </c>
      <c r="AK34" s="144">
        <f t="shared" si="26"/>
        <v>0</v>
      </c>
      <c r="AL34" s="144">
        <f t="shared" si="26"/>
        <v>0</v>
      </c>
      <c r="AM34" s="144">
        <f t="shared" si="26"/>
        <v>0</v>
      </c>
      <c r="AN34" s="144">
        <f t="shared" si="26"/>
        <v>0</v>
      </c>
      <c r="AO34" s="144">
        <f t="shared" si="26"/>
        <v>0</v>
      </c>
      <c r="AP34" s="144">
        <f t="shared" si="26"/>
        <v>0</v>
      </c>
      <c r="AQ34" s="144">
        <f t="shared" si="26"/>
        <v>0</v>
      </c>
      <c r="AR34" s="144">
        <f t="shared" si="26"/>
        <v>0</v>
      </c>
      <c r="AS34" s="144">
        <f t="shared" si="26"/>
        <v>0</v>
      </c>
      <c r="AT34" s="144">
        <f t="shared" si="26"/>
        <v>0</v>
      </c>
      <c r="AU34" s="144">
        <f t="shared" si="26"/>
        <v>0</v>
      </c>
      <c r="AV34" s="144">
        <f t="shared" si="26"/>
        <v>0</v>
      </c>
      <c r="AW34" s="144">
        <f t="shared" si="26"/>
        <v>0</v>
      </c>
      <c r="AX34" s="144">
        <f t="shared" si="26"/>
        <v>0</v>
      </c>
      <c r="AY34" s="144">
        <f t="shared" si="26"/>
        <v>0</v>
      </c>
      <c r="AZ34" s="144">
        <f t="shared" si="26"/>
        <v>0</v>
      </c>
      <c r="BA34" s="144">
        <f t="shared" si="26"/>
        <v>0</v>
      </c>
      <c r="BB34" s="144">
        <f t="shared" si="26"/>
        <v>0</v>
      </c>
      <c r="BC34" s="144">
        <f t="shared" si="26"/>
        <v>0</v>
      </c>
      <c r="BD34" s="144">
        <f t="shared" si="26"/>
        <v>0</v>
      </c>
      <c r="BE34" s="144">
        <f t="shared" si="26"/>
        <v>0</v>
      </c>
      <c r="BF34" s="144">
        <f t="shared" si="26"/>
        <v>0</v>
      </c>
      <c r="BG34" s="144">
        <f t="shared" si="26"/>
        <v>0</v>
      </c>
      <c r="BH34" s="144">
        <f t="shared" si="26"/>
        <v>0</v>
      </c>
      <c r="BI34" s="144">
        <f t="shared" si="26"/>
        <v>0</v>
      </c>
      <c r="BJ34" s="144">
        <f t="shared" si="26"/>
        <v>0</v>
      </c>
      <c r="BK34" s="144">
        <f t="shared" si="26"/>
        <v>0</v>
      </c>
      <c r="BL34" s="144">
        <f t="shared" si="26"/>
        <v>0</v>
      </c>
      <c r="BM34" s="144">
        <f t="shared" si="26"/>
        <v>0</v>
      </c>
      <c r="BN34" s="144">
        <f t="shared" si="26"/>
        <v>0</v>
      </c>
      <c r="BO34" s="144">
        <f t="shared" si="26"/>
        <v>0</v>
      </c>
      <c r="BP34" s="144">
        <f t="shared" si="26"/>
        <v>0</v>
      </c>
      <c r="BQ34" s="144">
        <f t="shared" si="26"/>
        <v>0</v>
      </c>
      <c r="BR34" s="144">
        <f t="shared" si="26"/>
        <v>0</v>
      </c>
      <c r="BS34" s="144">
        <f t="shared" si="26"/>
        <v>0</v>
      </c>
      <c r="BT34" s="144">
        <f t="shared" ref="BT34:DV34" si="27">+BT27</f>
        <v>0</v>
      </c>
      <c r="BU34" s="144">
        <f t="shared" si="27"/>
        <v>0</v>
      </c>
      <c r="BV34" s="144">
        <f t="shared" si="27"/>
        <v>0</v>
      </c>
      <c r="BW34" s="144">
        <f t="shared" si="27"/>
        <v>0</v>
      </c>
      <c r="BX34" s="144">
        <f t="shared" si="27"/>
        <v>0</v>
      </c>
      <c r="BY34" s="144">
        <f t="shared" si="27"/>
        <v>0</v>
      </c>
      <c r="BZ34" s="144">
        <f t="shared" si="27"/>
        <v>0</v>
      </c>
      <c r="CA34" s="144">
        <f t="shared" si="27"/>
        <v>0</v>
      </c>
      <c r="CB34" s="144">
        <f t="shared" si="27"/>
        <v>0</v>
      </c>
      <c r="CC34" s="144">
        <f t="shared" si="27"/>
        <v>0</v>
      </c>
      <c r="CD34" s="144">
        <f t="shared" si="27"/>
        <v>0</v>
      </c>
      <c r="CE34" s="144">
        <f t="shared" si="27"/>
        <v>0</v>
      </c>
      <c r="CF34" s="144">
        <f t="shared" si="27"/>
        <v>0</v>
      </c>
      <c r="CG34" s="144">
        <f t="shared" si="27"/>
        <v>0</v>
      </c>
      <c r="CH34" s="144">
        <f t="shared" si="27"/>
        <v>0</v>
      </c>
      <c r="CI34" s="144">
        <f t="shared" si="27"/>
        <v>0</v>
      </c>
      <c r="CJ34" s="144">
        <f t="shared" si="27"/>
        <v>0</v>
      </c>
      <c r="CK34" s="144">
        <f t="shared" si="27"/>
        <v>0</v>
      </c>
      <c r="CL34" s="144">
        <f t="shared" si="27"/>
        <v>0</v>
      </c>
      <c r="CM34" s="144">
        <f t="shared" si="27"/>
        <v>0</v>
      </c>
      <c r="CN34" s="144">
        <f t="shared" si="27"/>
        <v>0</v>
      </c>
      <c r="CO34" s="144">
        <f t="shared" si="27"/>
        <v>0</v>
      </c>
      <c r="CP34" s="144">
        <f t="shared" si="27"/>
        <v>0</v>
      </c>
      <c r="CQ34" s="144">
        <f t="shared" si="27"/>
        <v>0</v>
      </c>
      <c r="CR34" s="144">
        <f t="shared" si="27"/>
        <v>0</v>
      </c>
      <c r="CS34" s="144">
        <f t="shared" si="27"/>
        <v>0</v>
      </c>
      <c r="CT34" s="144">
        <f t="shared" si="27"/>
        <v>0</v>
      </c>
      <c r="CU34" s="144">
        <f t="shared" si="27"/>
        <v>0</v>
      </c>
      <c r="CV34" s="144">
        <f t="shared" si="27"/>
        <v>0</v>
      </c>
      <c r="CW34" s="144">
        <f t="shared" si="27"/>
        <v>0</v>
      </c>
      <c r="CX34" s="144">
        <f t="shared" si="27"/>
        <v>0</v>
      </c>
      <c r="CY34" s="144">
        <f t="shared" si="27"/>
        <v>0</v>
      </c>
      <c r="CZ34" s="144">
        <f t="shared" si="27"/>
        <v>0</v>
      </c>
      <c r="DA34" s="144">
        <f t="shared" si="27"/>
        <v>0</v>
      </c>
      <c r="DB34" s="144">
        <f t="shared" si="27"/>
        <v>0</v>
      </c>
      <c r="DC34" s="144">
        <f t="shared" si="27"/>
        <v>0</v>
      </c>
      <c r="DD34" s="144">
        <f t="shared" si="27"/>
        <v>0</v>
      </c>
      <c r="DE34" s="144">
        <f t="shared" si="27"/>
        <v>0</v>
      </c>
      <c r="DF34" s="144">
        <f t="shared" si="27"/>
        <v>0</v>
      </c>
      <c r="DG34" s="144">
        <f t="shared" si="27"/>
        <v>0</v>
      </c>
      <c r="DH34" s="144">
        <f t="shared" si="27"/>
        <v>0</v>
      </c>
      <c r="DI34" s="144">
        <f t="shared" si="27"/>
        <v>0</v>
      </c>
      <c r="DJ34" s="144">
        <f t="shared" si="27"/>
        <v>0</v>
      </c>
      <c r="DK34" s="144">
        <f t="shared" si="27"/>
        <v>0</v>
      </c>
      <c r="DL34" s="144">
        <f t="shared" si="27"/>
        <v>0</v>
      </c>
      <c r="DM34" s="144">
        <f t="shared" si="27"/>
        <v>0</v>
      </c>
      <c r="DN34" s="144">
        <f t="shared" si="27"/>
        <v>0</v>
      </c>
      <c r="DO34" s="144">
        <f t="shared" si="27"/>
        <v>0</v>
      </c>
      <c r="DP34" s="144">
        <f t="shared" si="27"/>
        <v>0</v>
      </c>
      <c r="DQ34" s="144">
        <f t="shared" si="27"/>
        <v>0</v>
      </c>
      <c r="DR34" s="144">
        <f t="shared" si="27"/>
        <v>0</v>
      </c>
      <c r="DS34" s="144">
        <f t="shared" si="27"/>
        <v>0</v>
      </c>
      <c r="DT34" s="144">
        <f t="shared" si="27"/>
        <v>0</v>
      </c>
      <c r="DU34" s="144">
        <f t="shared" si="27"/>
        <v>0</v>
      </c>
      <c r="DV34" s="144">
        <f t="shared" si="27"/>
        <v>0</v>
      </c>
    </row>
    <row r="35" ht="14.5">
      <c r="R35" s="144"/>
      <c r="S35" s="144"/>
      <c r="T35" s="144"/>
      <c r="U35" s="144"/>
      <c r="V35" s="144"/>
      <c r="W35" s="144"/>
      <c r="X35" s="144"/>
      <c r="Y35" s="144"/>
      <c r="Z35" s="144"/>
      <c r="AA35" s="144"/>
      <c r="AB35" s="144"/>
      <c r="AC35" s="144"/>
      <c r="AD35" s="144"/>
      <c r="AE35" s="144"/>
      <c r="AF35" s="144"/>
      <c r="AG35" s="144"/>
      <c r="AH35" s="144"/>
      <c r="AI35" s="144"/>
      <c r="AJ35" s="144"/>
      <c r="AK35" s="144"/>
      <c r="AL35" s="144"/>
      <c r="AM35" s="144"/>
      <c r="AN35" s="144"/>
      <c r="AO35" s="144"/>
      <c r="AP35" s="144"/>
      <c r="AQ35" s="144"/>
      <c r="AR35" s="144"/>
      <c r="AS35" s="144"/>
      <c r="AT35" s="144"/>
      <c r="AU35" s="144"/>
      <c r="AV35" s="144"/>
      <c r="AW35" s="144"/>
      <c r="AX35" s="144"/>
      <c r="AY35" s="144"/>
      <c r="AZ35" s="144"/>
      <c r="BA35" s="144"/>
      <c r="BB35" s="144"/>
      <c r="BC35" s="144"/>
      <c r="BD35" s="144"/>
      <c r="BE35" s="144"/>
      <c r="BF35" s="144"/>
      <c r="BG35" s="144"/>
      <c r="BH35" s="144"/>
      <c r="BI35" s="144"/>
      <c r="BJ35" s="144"/>
      <c r="BK35" s="144"/>
      <c r="BL35" s="144"/>
      <c r="BM35" s="144"/>
      <c r="BN35" s="144"/>
      <c r="BO35" s="144"/>
      <c r="BP35" s="144"/>
      <c r="BQ35" s="144"/>
      <c r="BR35" s="144"/>
      <c r="BS35" s="144"/>
      <c r="BT35" s="144"/>
      <c r="BU35" s="144"/>
      <c r="BV35" s="144"/>
      <c r="BW35" s="144"/>
      <c r="BX35" s="144"/>
      <c r="BY35" s="144"/>
      <c r="BZ35" s="144"/>
      <c r="CA35" s="144"/>
      <c r="CB35" s="144"/>
      <c r="CC35" s="144"/>
      <c r="CD35" s="144"/>
      <c r="CE35" s="144"/>
      <c r="CF35" s="144"/>
      <c r="CG35" s="144"/>
      <c r="CH35" s="144"/>
      <c r="CI35" s="144"/>
      <c r="CJ35" s="144"/>
      <c r="CK35" s="144"/>
      <c r="CL35" s="144"/>
      <c r="CM35" s="144"/>
      <c r="CN35" s="144"/>
      <c r="CO35" s="144"/>
      <c r="CP35" s="144"/>
      <c r="CQ35" s="144"/>
      <c r="CR35" s="144"/>
      <c r="CS35" s="144"/>
      <c r="CT35" s="144"/>
      <c r="CU35" s="144"/>
      <c r="CV35" s="144"/>
      <c r="CW35" s="144"/>
      <c r="CX35" s="144"/>
    </row>
  </sheetData>
  <hyperlinks>
    <hyperlink ref="B1" location="Input!A1" display="MENU"/>
  </hyperlinks>
  <pageSetup r:id="rId1" paperSize="9" orientation="portrait"/>
</worksheet>
</file>

<file path=xl/worksheets/sheet37.xml><?xml version="1.0" encoding="utf-8"?>
<worksheet xmlns:r="http://schemas.openxmlformats.org/officeDocument/2006/relationships" xmlns="http://schemas.openxmlformats.org/spreadsheetml/2006/main">
  <sheetPr>
    <tabColor theme="7" tint="0.799768059327982"/>
  </sheetPr>
  <sheetViews>
    <sheetView showGridLines="0" workbookViewId="0">
      <selection activeCell="H17" sqref="H17"/>
    </sheetView>
  </sheetViews>
  <sheetFormatPr defaultColWidth="8.855469" defaultRowHeight="15"/>
  <cols>
    <col min="2" max="2" width="31.14063" bestFit="1" customWidth="1"/>
  </cols>
  <sheetData>
    <row r="1" thickBot="1"/>
    <row r="2" thickTop="1" thickBot="1" ht="22">
      <c r="B2" s="150" t="s">
        <v>962</v>
      </c>
      <c r="C2" s="298"/>
      <c r="E2" s="350"/>
    </row>
    <row r="3" thickTop="1" thickBot="1" ht="22">
      <c r="B3" s="150"/>
      <c r="C3" s="298"/>
    </row>
    <row r="4" thickTop="1" thickBot="1" ht="22">
      <c r="B4" s="150" t="s">
        <v>1203</v>
      </c>
      <c r="C4" s="298"/>
      <c r="E4" s="350"/>
    </row>
    <row r="5" thickTop="1" thickBot="1" ht="19.5">
      <c r="B5" s="150" t="s">
        <v>1204</v>
      </c>
      <c r="C5" s="292"/>
      <c r="E5" s="350"/>
    </row>
    <row r="6" thickTop="1" thickBot="1" ht="19.5">
      <c r="B6" s="351" t="s">
        <v>1205</v>
      </c>
      <c r="C6" s="352"/>
      <c r="E6" s="353">
        <f>+E4-E5</f>
        <v>0</v>
      </c>
    </row>
    <row r="7" thickTop="1" thickBot="1" ht="19.5">
      <c r="B7" s="150"/>
      <c r="C7" s="292"/>
    </row>
    <row r="8" thickTop="1" thickBot="1" ht="19.5">
      <c r="B8" s="351" t="s">
        <v>963</v>
      </c>
      <c r="C8" s="352"/>
      <c r="E8" s="353">
        <f>+E2-E6</f>
        <v>0</v>
      </c>
    </row>
    <row r="9" thickTop="1" thickBot="1" ht="19.5">
      <c r="B9" s="150"/>
      <c r="C9" s="292"/>
    </row>
    <row r="10" thickTop="1" thickBot="1" ht="22">
      <c r="B10" s="150" t="s">
        <v>1207</v>
      </c>
      <c r="C10" s="298"/>
      <c r="E10" s="350"/>
    </row>
    <row r="11" thickTop="1" thickBot="1" ht="19.5">
      <c r="B11" s="150"/>
      <c r="C11" s="303"/>
    </row>
    <row r="12" thickTop="1" thickBot="1" ht="19.5">
      <c r="B12" s="351" t="s">
        <v>964</v>
      </c>
      <c r="C12" s="352"/>
    </row>
    <row r="13" thickTop="1" ht="19">
      <c r="B13" s="150"/>
      <c r="C13" s="303"/>
    </row>
    <row r="14" ht="21">
      <c r="B14" s="150" t="s">
        <v>1208</v>
      </c>
      <c r="C14" s="298"/>
    </row>
    <row r="15" ht="18.5">
      <c r="B15" s="150"/>
      <c r="C15" s="303"/>
    </row>
    <row r="16" ht="18.5">
      <c r="B16" s="150"/>
      <c r="C16" s="297" t="e">
        <f>+'CE-mese'!A19</f>
        <v>#REF!</v>
      </c>
    </row>
    <row r="17" ht="18.5">
      <c r="B17" s="150"/>
      <c r="C17" s="297" t="e">
        <f>+'CE-mese'!A20</f>
        <v>#REF!</v>
      </c>
    </row>
    <row r="18" ht="18.5">
      <c r="B18" s="150"/>
      <c r="C18" s="297" t="e">
        <f>+'CE-mese'!A21</f>
        <v>#REF!</v>
      </c>
    </row>
    <row r="19" ht="18.5">
      <c r="B19" s="150"/>
      <c r="C19" s="297" t="e">
        <f>+'CE-mese'!A22</f>
        <v>#REF!</v>
      </c>
    </row>
    <row r="20" ht="18.5">
      <c r="B20" s="150"/>
      <c r="C20" s="297" t="e">
        <f>+'CE-mese'!A23</f>
        <v>#REF!</v>
      </c>
    </row>
    <row r="21" ht="18.5">
      <c r="B21" s="150"/>
      <c r="C21" s="297" t="e">
        <f>+'CE-mese'!A24</f>
        <v>#REF!</v>
      </c>
    </row>
    <row r="22" ht="18.5">
      <c r="B22" s="150"/>
      <c r="C22" s="297" t="e">
        <f>+'CE-mese'!A25</f>
        <v>#REF!</v>
      </c>
    </row>
    <row r="23" ht="18.5">
      <c r="B23" s="150"/>
      <c r="C23" s="297" t="e">
        <f>+'CE-mese'!A26</f>
        <v>#REF!</v>
      </c>
    </row>
    <row r="24" ht="18.5">
      <c r="B24" s="150"/>
      <c r="C24" s="297" t="e">
        <f>+'CE-mese'!A27</f>
        <v>#REF!</v>
      </c>
    </row>
    <row r="25" ht="18.5">
      <c r="B25" s="150"/>
      <c r="C25" s="297" t="e">
        <f>+'CE-mese'!A28</f>
        <v>#REF!</v>
      </c>
    </row>
    <row r="26" ht="18.5">
      <c r="B26" s="150"/>
      <c r="C26" s="297" t="e">
        <f>+'CE-mese'!A29</f>
        <v>#REF!</v>
      </c>
    </row>
    <row r="27" ht="18.5">
      <c r="B27" s="150"/>
      <c r="C27" s="297" t="e">
        <f>+'CE-mese'!A30</f>
        <v>#REF!</v>
      </c>
    </row>
    <row r="28" ht="18.5">
      <c r="B28" s="150"/>
      <c r="C28" s="297" t="e">
        <f>+'CE-mese'!A31</f>
        <v>#REF!</v>
      </c>
    </row>
    <row r="29" ht="18.5">
      <c r="B29" s="150"/>
      <c r="C29" s="297" t="e">
        <f>+'CE-mese'!A32</f>
        <v>#REF!</v>
      </c>
    </row>
    <row r="30" ht="18.5">
      <c r="B30" s="150"/>
      <c r="C30" s="297" t="e">
        <f>+'CE-mese'!A33</f>
        <v>#REF!</v>
      </c>
    </row>
    <row r="31" ht="18.5">
      <c r="B31" s="150"/>
      <c r="C31" s="297" t="e">
        <f>+'CE-mese'!A34</f>
        <v>#REF!</v>
      </c>
    </row>
    <row r="32" ht="18.5">
      <c r="B32" s="150"/>
      <c r="C32" s="297" t="e">
        <f>+'CE-mese'!A35</f>
        <v>#REF!</v>
      </c>
    </row>
    <row r="33" ht="18.5">
      <c r="B33" s="150"/>
      <c r="C33" s="297" t="e">
        <f>+'CE-mese'!A36</f>
        <v>#REF!</v>
      </c>
    </row>
    <row r="34" ht="18.5">
      <c r="B34" s="150"/>
      <c r="C34" s="297" t="e">
        <f>+'CE-mese'!A37</f>
        <v>#REF!</v>
      </c>
    </row>
    <row r="35" ht="18.5">
      <c r="B35" s="150"/>
      <c r="C35" s="305" t="s">
        <v>1209</v>
      </c>
    </row>
    <row r="36" ht="18.5">
      <c r="B36" s="150" t="s">
        <v>1210</v>
      </c>
      <c r="C36" s="305"/>
    </row>
    <row r="37" ht="18.5">
      <c r="B37" s="150"/>
      <c r="C37" s="297" t="s">
        <v>1363</v>
      </c>
    </row>
    <row r="38" ht="18.5">
      <c r="B38" s="150"/>
      <c r="C38" s="297" t="s">
        <v>1364</v>
      </c>
    </row>
    <row r="39" ht="18.5">
      <c r="B39" s="150"/>
      <c r="C39" s="305" t="s">
        <v>1215</v>
      </c>
    </row>
    <row r="40" ht="18.5">
      <c r="B40" s="150" t="s">
        <v>1216</v>
      </c>
      <c r="C40" s="292"/>
    </row>
    <row r="41" ht="18.5">
      <c r="B41" s="150"/>
      <c r="C41" s="297" t="s">
        <v>1217</v>
      </c>
    </row>
    <row r="42" ht="18.5">
      <c r="B42" s="150"/>
      <c r="C42" s="297" t="s">
        <v>1218</v>
      </c>
    </row>
    <row r="43" ht="18.5">
      <c r="B43" s="150"/>
      <c r="C43" s="305" t="s">
        <v>1219</v>
      </c>
    </row>
    <row r="44" ht="18.5">
      <c r="B44" s="150"/>
      <c r="C44" s="304"/>
    </row>
    <row r="45" ht="18.5">
      <c r="B45" s="150" t="s">
        <v>1220</v>
      </c>
      <c r="C45" s="304"/>
    </row>
    <row r="46" thickBot="1" ht="19">
      <c r="B46" s="150"/>
      <c r="C46" s="304"/>
    </row>
    <row r="47" thickTop="1" thickBot="1" ht="19.5">
      <c r="B47" s="351" t="s">
        <v>965</v>
      </c>
      <c r="C47" s="352"/>
    </row>
    <row r="48" thickTop="1" ht="21.5">
      <c r="B48" s="150"/>
      <c r="C48" s="298"/>
    </row>
    <row r="49" ht="21">
      <c r="B49" s="150" t="s">
        <v>1222</v>
      </c>
      <c r="C49" s="298"/>
    </row>
    <row r="50" ht="18.5">
      <c r="B50" s="150"/>
      <c r="C50" s="297" t="s">
        <v>1223</v>
      </c>
    </row>
    <row r="51" ht="18.5">
      <c r="B51" s="150"/>
      <c r="C51" s="297" t="s">
        <v>1224</v>
      </c>
    </row>
    <row r="52" ht="18.5">
      <c r="B52" s="150"/>
      <c r="C52" s="305" t="s">
        <v>1225</v>
      </c>
    </row>
    <row r="53" thickBot="1" ht="19">
      <c r="B53" s="150"/>
      <c r="C53" s="292"/>
    </row>
    <row r="54" thickTop="1" thickBot="1" ht="19.5">
      <c r="B54" s="351" t="s">
        <v>1226</v>
      </c>
      <c r="C54" s="352"/>
    </row>
    <row r="55" thickTop="1" ht="19">
      <c r="B55" s="150"/>
      <c r="C55" s="304"/>
    </row>
    <row r="56" ht="18.5">
      <c r="B56" s="150" t="s">
        <v>1227</v>
      </c>
      <c r="C56" s="304"/>
    </row>
    <row r="57" ht="18.5">
      <c r="B57" s="150"/>
      <c r="C57" s="304"/>
    </row>
    <row r="58" ht="18.5">
      <c r="B58" s="150"/>
      <c r="C58" s="297" t="s">
        <v>1228</v>
      </c>
    </row>
    <row r="59" ht="18.5">
      <c r="B59" s="150"/>
      <c r="C59" s="297" t="s">
        <v>1229</v>
      </c>
    </row>
    <row r="60" ht="18.5">
      <c r="B60" s="150"/>
      <c r="C60" s="305" t="s">
        <v>1230</v>
      </c>
    </row>
    <row r="61" ht="18.5">
      <c r="B61" s="150"/>
      <c r="C61" s="292"/>
    </row>
    <row r="62" thickBot="1" ht="19">
      <c r="B62" s="150"/>
      <c r="C62" s="292"/>
    </row>
    <row r="63" thickTop="1" thickBot="1" ht="19.5">
      <c r="B63" s="351" t="s">
        <v>966</v>
      </c>
      <c r="C63" s="352"/>
    </row>
    <row r="64" thickTop="1"/>
  </sheetData>
  <pageSetup r:id="rId1" paperSize="9" orientation="portrait"/>
</worksheet>
</file>

<file path=customXml/_rels/item1.xml.rels>&#65279;<?xml version="1.0" encoding="utf-8"?><Relationships xmlns="http://schemas.openxmlformats.org/package/2006/relationships"><Relationship Id="rId1" Type="http://schemas.openxmlformats.org/officeDocument/2006/relationships/customXmlProps" Target="itemProps1.xml" /></Relationships>
</file>

<file path=customXml/item1.xml><?xml version="1.0" encoding="utf-8"?>
<DataMashup xmlns="http://schemas.microsoft.com/DataMashup">AAAAAAsDAABQSwMEFAACAAgAY3KMWSbzgwSkAAAA9gAAABIAHABDb25maWcvUGFja2FnZS54bWwgohgAKKAUAAAAAAAAAAAAAAAAAAAAAAAAAAAAhY+9DoIwGEVfhXSnP7AQ8lEGJxNJTDTGtSkVGqAYWizv5uAj+QpiFHVzvOee4d779Qb51LXBRQ1W9yZDDFMUKCP7UpsqQ6M7hQnKOWyFbESlglk2Np1smaHauXNKiPce+xj3Q0UiShk5FpudrFUn0EfW/+VQG+uEkQpxOLzG8AizOMEsoZgCWSAU2nyFaN77bH8grMbWjYPi2oXrPZAlAnl/4A9QSwMEFAACAAgAY3KMWVNyOCybAAAA4QAAABMAHABbQ29udGVudF9UeXBlc10ueG1sIKIYACigFAAAAAAAAAAAAAAAAAAAAAAAAAAAAG2OPQ7CMAxGrxJ5b10YEEJNGYAbcIEouD+icaLGReVsDByJK5C2a0d/fs+ff59veZ5cr140xM6zhl1egCK2/tFxo2GUOjvCuSrv70BRJZSjhlYknBCjbcmZmPtAnDa1H5yRNA4NBmOfpiHcF8UBrWchlkzmG1CVV6rN2Iu6TSlea5MO6rJyc5UGoUlwiXHTcFt86E3Hi4HLw9UfUEsDBBQAAgAIAGNyjFkoike4DgAAABEAAAATABwARm9ybXVsYXMvU2VjdGlvbjEubSCiGAAooBQAAAAAAAAAAAAAAAAAAAAAAAAAAAArTk0uyczPUwiG0IbWAFBLAQItABQAAgAIAGNyjFkm84MEpAAAAPYAAAASAAAAAAAAAAAAAAAAAAAAAABDb25maWcvUGFja2FnZS54bWxQSwECLQAUAAIACABjcoxZU3I4LJsAAADhAAAAEwAAAAAAAAAAAAAAAADwAAAAW0NvbnRlbnRfVHlwZXNdLnhtbFBLAQItABQAAgAIAGNyjFkoike4DgAAABEAAAATAAAAAAAAAAAAAAAAANgBAABGb3JtdWxhcy9TZWN0aW9uMS5tUEsFBgAAAAADAAMAwgAAADMCAAAAABABAADvu788P3htbCB2ZXJzaW9uPSIxLjAiIGVuY29kaW5nPSJ1dGYtOCI/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sUBAAAAAAAAowEAAO+7vzw/eG1sIHZlcnNpb249IjEuMCIgZW5jb2Rpbmc9InV0Zi04Ij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RdWVyeUdyb3VwcyIgVmFsdWU9InNBQUFBQUE9PSIgLz48RW50cnkgVHlwZT0iUmVsYXRpb25zaGlwcyIgVmFsdWU9InNBQUFBQUE9PSIgLz48L1N0YWJsZUVudHJpZXM+PC9JdGVtPjwvSXRlbXM+PC9Mb2NhbFBhY2thZ2VNZXRhZGF0YUZpbGU+FgAAAFBLBQYAAAAAAAAAAAAAAAAAAAAAAAAmAQAAAQAAANCMnd8BFdERjHoAwE/Cl+sBAAAAdJ1L1U52WUKLfkbRmwM3jAAAAAACAAAAAAAQZgAAAAEAACAAAADbyonbQco3HOjxP1AOnRS5kR1YyLVXUo/nrg4feq0zWwAAAAAOgAAAAAIAACAAAABRABd8QLPZnC3RN1AvchO3/4NkqOOFjIRAH6EmZLR/aFAAAADH7c0R7PVYB/nRTNP07RDEtjxiwO1/xUiX39JWd8DzEX6E0TCw1eYiDILf9KCGyKSRyoBxNumGK7OWw8syc+gcjBMosC5as78S9wQ296zpSkAAAADaEIZvH8RUF59SRgpHQz/goNlllQRxmTNWhQ+D8DAeVcLp8WIRJsBgpy7dXnZlArhS6oAQDdVx7t42NmCzlRYm</DataMashup>
</file>

<file path=customXml/itemProps1.xml><?xml version="1.0" encoding="utf-8"?>
<ds:datastoreItem xmlns:ds="http://schemas.openxmlformats.org/officeDocument/2006/customXml" ds:itemID="{754736A9-C3F2-4FC3-8642-09659459114F}">
  <ds:schemaRefs>
    <ds:schemaRef ds:uri="http://schemas.microsoft.com/vsto/samples"/>
  </ds:schemaRefs>
</ds:datastoreItem>
</file>

<file path=docProps/app.xml><?xml version="1.0" encoding="utf-8"?>
<Properties xmlns="http://schemas.openxmlformats.org/officeDocument/2006/extended-properties">
  <Application>DevExpress Office File API/24.2.5.0</Application>
  <AppVersion>24.2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PM</dc:creator>
  <cp:lastPrinted>2019-12-27T17:14:07Z</cp:lastPrinted>
  <dcterms:created xsi:type="dcterms:W3CDTF">2019-10-30T10:08:41Z</dcterms:created>
  <dcterms:modified xsi:type="dcterms:W3CDTF">2025-09-17T16:42:41Z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MSIP_Label_5f5fe31f-9de1-4167-a753-111c0df8115f_Enabled">
    <vt:lpwstr>True</vt:lpwstr>
  </property>
  <property fmtid="{D5CDD505-2E9C-101B-9397-08002B2CF9AE}" pid="3" name="MSIP_Label_5f5fe31f-9de1-4167-a753-111c0df8115f_SiteId">
    <vt:lpwstr>cc4baf00-15c9-48dd-9f59-88c98bde2be7</vt:lpwstr>
  </property>
  <property fmtid="{D5CDD505-2E9C-101B-9397-08002B2CF9AE}" pid="4" name="MSIP_Label_5f5fe31f-9de1-4167-a753-111c0df8115f_Owner">
    <vt:lpwstr>paolo.mariani1@intesasanpaolo.com</vt:lpwstr>
  </property>
  <property fmtid="{D5CDD505-2E9C-101B-9397-08002B2CF9AE}" pid="5" name="MSIP_Label_5f5fe31f-9de1-4167-a753-111c0df8115f_SetDate">
    <vt:lpwstr>2020-09-30T14:13:26.6532180Z</vt:lpwstr>
  </property>
  <property fmtid="{D5CDD505-2E9C-101B-9397-08002B2CF9AE}" pid="6" name="MSIP_Label_5f5fe31f-9de1-4167-a753-111c0df8115f_Name">
    <vt:lpwstr>Public</vt:lpwstr>
  </property>
  <property fmtid="{D5CDD505-2E9C-101B-9397-08002B2CF9AE}" pid="7" name="MSIP_Label_5f5fe31f-9de1-4167-a753-111c0df8115f_Application">
    <vt:lpwstr>Microsoft Azure Information Protection</vt:lpwstr>
  </property>
  <property fmtid="{D5CDD505-2E9C-101B-9397-08002B2CF9AE}" pid="8" name="MSIP_Label_5f5fe31f-9de1-4167-a753-111c0df8115f_ActionId">
    <vt:lpwstr>2897ab2c-7d04-4120-b0b3-59e73a81f184</vt:lpwstr>
  </property>
  <property fmtid="{D5CDD505-2E9C-101B-9397-08002B2CF9AE}" pid="9" name="MSIP_Label_5f5fe31f-9de1-4167-a753-111c0df8115f_Extended_MSFT_Method">
    <vt:lpwstr>Automatic</vt:lpwstr>
  </property>
  <property fmtid="{D5CDD505-2E9C-101B-9397-08002B2CF9AE}" pid="10" name="Sensitivity">
    <vt:lpwstr>Public</vt:lpwstr>
  </property>
</Properties>
</file>